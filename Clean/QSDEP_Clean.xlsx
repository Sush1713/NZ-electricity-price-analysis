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https://d.docs.live.net/bed08adbe5f3bfb1/Desktop/GIT Portfolio/NZ_Electricity_Project/Clean/"/>
    </mc:Choice>
  </mc:AlternateContent>
  <xr:revisionPtr revIDLastSave="156" documentId="13_ncr:1_{E4D2C10C-13B0-49AF-BB4F-EB984CE49779}" xr6:coauthVersionLast="47" xr6:coauthVersionMax="47" xr10:uidLastSave="{1785FFD3-AD4F-47C3-97D3-D37666A721B5}"/>
  <bookViews>
    <workbookView xWindow="-110" yWindow="-110" windowWidth="19420" windowHeight="10300" firstSheet="1" activeTab="5" xr2:uid="{8714A993-79B0-43BC-9554-8760FFF60811}"/>
  </bookViews>
  <sheets>
    <sheet name="Introduction" sheetId="39" r:id="rId1"/>
    <sheet name="QSDEP_Summary_Report" sheetId="31" r:id="rId2"/>
    <sheet name="qsdep_long" sheetId="41" r:id="rId3"/>
    <sheet name="CPI" sheetId="43" r:id="rId4"/>
    <sheet name="RawData" sheetId="36" r:id="rId5"/>
    <sheet name="Q5_Scenarios" sheetId="44" r:id="rId6"/>
  </sheets>
  <definedNames>
    <definedName name="CurrentSurvey" localSheetId="1">QSDEP_Summary_Report!#REF!</definedName>
    <definedName name="CurrentSurvey" localSheetId="4">#REF!</definedName>
    <definedName name="CurrentSurvey">#REF!</definedName>
    <definedName name="DOM_LRG" localSheetId="1">#REF!</definedName>
    <definedName name="DOM_LRG" localSheetId="4">#REF!</definedName>
    <definedName name="DOM_LRG">#REF!</definedName>
    <definedName name="DOM_MED" localSheetId="1">#REF!</definedName>
    <definedName name="DOM_MED">#REF!</definedName>
    <definedName name="DOM_SM" localSheetId="1">#REF!</definedName>
    <definedName name="DOM_SM">#REF!</definedName>
    <definedName name="ExternalData_1" localSheetId="3" hidden="1">CPI!$A$1:$C$32</definedName>
    <definedName name="ExternalData_1" localSheetId="2" hidden="1">qsdep_long!$A$1:$D$4000</definedName>
    <definedName name="FARM_LRG" localSheetId="1">#REF!</definedName>
    <definedName name="FARM_LRG">#REF!</definedName>
    <definedName name="FARM_MED" localSheetId="1">#REF!</definedName>
    <definedName name="FARM_MED">#REF!</definedName>
    <definedName name="FARM_SM" localSheetId="1">#REF!</definedName>
    <definedName name="FARM_SM">#REF!</definedName>
    <definedName name="_xlnm.Print_Area" localSheetId="1">QSDEP_Summary_Report!$A$1:$Q$92</definedName>
    <definedName name="_xlnm.Print_Titles" localSheetId="1">QSDEP_Summary_Report!$1:$13</definedName>
    <definedName name="qryNorthpowerInfoRequestAugust03Part2" localSheetId="1">#REF!</definedName>
    <definedName name="qryNorthpowerInfoRequestAugust03Part2" localSheetId="4">#REF!</definedName>
    <definedName name="qryNorthpowerInfoRequestAugust03Part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44" l="1"/>
  <c r="F17" i="44"/>
  <c r="E16" i="44"/>
  <c r="E17" i="44"/>
  <c r="D16" i="44"/>
  <c r="D17" i="44"/>
  <c r="C16" i="44"/>
  <c r="C17" i="44"/>
  <c r="B17" i="44"/>
  <c r="B16" i="44"/>
  <c r="F15" i="44"/>
  <c r="E15" i="44"/>
  <c r="D15" i="44"/>
  <c r="C15" i="44"/>
  <c r="B15" i="44"/>
  <c r="E4" i="44"/>
  <c r="F5" i="44" s="1"/>
  <c r="B9" i="44" s="1"/>
  <c r="B11" i="44"/>
  <c r="F6" i="44"/>
  <c r="F7" i="44"/>
  <c r="F8" i="44"/>
  <c r="F9" i="44"/>
  <c r="F10" i="44"/>
  <c r="F11" i="44"/>
  <c r="E5" i="44"/>
  <c r="E6" i="44"/>
  <c r="E7" i="44"/>
  <c r="E8" i="44"/>
  <c r="E9" i="44"/>
  <c r="E10" i="44"/>
  <c r="E11" i="44"/>
  <c r="B5" i="44"/>
  <c r="B4" i="44"/>
  <c r="B6" i="44" s="1"/>
  <c r="B10" i="4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D2AAF0-7ED8-455B-BD72-2B8053CE311A}" keepAlive="1" name="Query - q_CPI" description="Connection to the 'q_CPI' query in the workbook." type="5" refreshedVersion="8" background="1" saveData="1">
    <dbPr connection="Provider=Microsoft.Mashup.OleDb.1;Data Source=$Workbook$;Location=q_CPI;Extended Properties=&quot;&quot;" command="SELECT * FROM [q_CPI]"/>
  </connection>
  <connection id="2" xr16:uid="{DEB115AC-7C07-4256-9FAE-A9B24A37C4F8}" keepAlive="1" name="Query - q_Energy" description="Connection to the 'q_Energy' query in the workbook." type="5" refreshedVersion="0" background="1">
    <dbPr connection="Provider=Microsoft.Mashup.OleDb.1;Data Source=$Workbook$;Location=q_Energy;Extended Properties=&quot;&quot;" command="SELECT * FROM [q_Energy]"/>
  </connection>
  <connection id="3" xr16:uid="{1DD6B14B-64FF-43F6-8DD8-57221D8C2CBF}" keepAlive="1" name="Query - q_Lines" description="Connection to the 'q_Lines' query in the workbook." type="5" refreshedVersion="0" background="1">
    <dbPr connection="Provider=Microsoft.Mashup.OleDb.1;Data Source=$Workbook$;Location=q_Lines;Extended Properties=&quot;&quot;" command="SELECT * FROM [q_Lines]"/>
  </connection>
  <connection id="4" xr16:uid="{E3E7062B-940A-4066-B5C3-A39E3783F3FF}" keepAlive="1" name="Query - q_Retail" description="Connection to the 'q_Retail' query in the workbook." type="5" refreshedVersion="0" background="1">
    <dbPr connection="Provider=Microsoft.Mashup.OleDb.1;Data Source=$Workbook$;Location=q_Retail;Extended Properties=&quot;&quot;" command="SELECT * FROM [q_Retail]"/>
  </connection>
  <connection id="5" xr16:uid="{DAC3FC9E-3340-4FFC-A140-6CF83FB9EDC5}" keepAlive="1" name="Query - qsdep_long" description="Connection to the 'qsdep_long' query in the workbook." type="5" refreshedVersion="8" background="1" saveData="1">
    <dbPr connection="Provider=Microsoft.Mashup.OleDb.1;Data Source=$Workbook$;Location=qsdep_long;Extended Properties=&quot;&quot;" command="SELECT * FROM [qsdep_long]"/>
  </connection>
</connections>
</file>

<file path=xl/sharedStrings.xml><?xml version="1.0" encoding="utf-8"?>
<sst xmlns="http://schemas.openxmlformats.org/spreadsheetml/2006/main" count="8786" uniqueCount="305">
  <si>
    <t>Buller Electricity</t>
  </si>
  <si>
    <t>Centralines</t>
  </si>
  <si>
    <t>Counties Power</t>
  </si>
  <si>
    <t>Aurora Energy (Dunedin)</t>
  </si>
  <si>
    <t>Electra</t>
  </si>
  <si>
    <t>Electricity Invercargill</t>
  </si>
  <si>
    <t>Unison (Hawke's Bay)</t>
  </si>
  <si>
    <t>Marlborough Lines</t>
  </si>
  <si>
    <t>Nelson Electricity</t>
  </si>
  <si>
    <t>Network Tasman</t>
  </si>
  <si>
    <t>Network Waitaki</t>
  </si>
  <si>
    <t>Northpower</t>
  </si>
  <si>
    <t>Orion NZ</t>
  </si>
  <si>
    <t>Scanpower</t>
  </si>
  <si>
    <t>The Power Company</t>
  </si>
  <si>
    <t>Top Energy</t>
  </si>
  <si>
    <t>Unison (Rotorua)</t>
  </si>
  <si>
    <t>Unison (Taupo)</t>
  </si>
  <si>
    <t>Powerco (Tauranga)</t>
  </si>
  <si>
    <t>Powerco (Thames Valley)</t>
  </si>
  <si>
    <t>Waipa Networks</t>
  </si>
  <si>
    <t>WEL Networks</t>
  </si>
  <si>
    <t>Westpower</t>
  </si>
  <si>
    <t>Aurora Energy (Queenstown)</t>
  </si>
  <si>
    <t>Timaru</t>
  </si>
  <si>
    <t>Aurora Energy (Clyde/Cromwell)</t>
  </si>
  <si>
    <t>Westport</t>
  </si>
  <si>
    <t>Queenstown</t>
  </si>
  <si>
    <t>Alpine Energy (Low Cost Area)</t>
  </si>
  <si>
    <t>Gisborne</t>
  </si>
  <si>
    <t>Ashburton</t>
  </si>
  <si>
    <t>EA Networks</t>
  </si>
  <si>
    <t>Invercargill</t>
  </si>
  <si>
    <t>Waipukurau</t>
  </si>
  <si>
    <t>Pukekohe</t>
  </si>
  <si>
    <t>Cromwell</t>
  </si>
  <si>
    <t>Paraparaumu</t>
  </si>
  <si>
    <t>Napier</t>
  </si>
  <si>
    <t>Whakatane</t>
  </si>
  <si>
    <t>Rangiora</t>
  </si>
  <si>
    <t>Mainpower (North Canterbury)</t>
  </si>
  <si>
    <t>Mainpower (Kaiapoi)</t>
  </si>
  <si>
    <t>Kaiapoi</t>
  </si>
  <si>
    <t>Blenhiem</t>
  </si>
  <si>
    <t>Horizon Energy (Urban)</t>
  </si>
  <si>
    <t>Marlborough Lines (Non-remote)</t>
  </si>
  <si>
    <t>Nelson</t>
  </si>
  <si>
    <t>Richmond</t>
  </si>
  <si>
    <t>Oamaru</t>
  </si>
  <si>
    <t>Whangarei</t>
  </si>
  <si>
    <t>Balclutha</t>
  </si>
  <si>
    <t>OtagoNet Joint Venture</t>
  </si>
  <si>
    <t>New Plymouth</t>
  </si>
  <si>
    <t>Powerco (Western A - Manawatu)</t>
  </si>
  <si>
    <t>Powerco (Western A - Whanganui)</t>
  </si>
  <si>
    <t>Whanganui</t>
  </si>
  <si>
    <t>Palmerston North</t>
  </si>
  <si>
    <t>Powerco (Western B - Wairarapa)</t>
  </si>
  <si>
    <t>Masterton</t>
  </si>
  <si>
    <t>Powerco (Western A - Nth Taranaki)</t>
  </si>
  <si>
    <t>Powerco (Western B - Sth Taranaki)</t>
  </si>
  <si>
    <t>Hawera</t>
  </si>
  <si>
    <t>Dannevirke</t>
  </si>
  <si>
    <t>Otorohanga</t>
  </si>
  <si>
    <t>Taumaranui</t>
  </si>
  <si>
    <t>Winton</t>
  </si>
  <si>
    <t>Christchurch</t>
  </si>
  <si>
    <t>Rotorua</t>
  </si>
  <si>
    <t>Taupo</t>
  </si>
  <si>
    <t>Tauranga</t>
  </si>
  <si>
    <t>Thames</t>
  </si>
  <si>
    <t>Vector (Northern)</t>
  </si>
  <si>
    <t>Auckland North Shore</t>
  </si>
  <si>
    <t>Auckland Central</t>
  </si>
  <si>
    <t xml:space="preserve">Wellington Electricity Lines </t>
  </si>
  <si>
    <t>Wellington City</t>
  </si>
  <si>
    <t>Hamilton</t>
  </si>
  <si>
    <t>Greymouth</t>
  </si>
  <si>
    <t>The Power Company (Urban)</t>
  </si>
  <si>
    <t>The Lines Company (Hangatiki GXP - LV High Density)</t>
  </si>
  <si>
    <t>The Lines Company (Ongarue GXP - LV High Density)</t>
  </si>
  <si>
    <t>Dunedin</t>
  </si>
  <si>
    <t>Cambridge</t>
  </si>
  <si>
    <t>c/kWh</t>
  </si>
  <si>
    <t>%</t>
  </si>
  <si>
    <t>New Zealand</t>
  </si>
  <si>
    <t>Kerikeri</t>
  </si>
  <si>
    <t>* indicates an area where, due to GXP based billing, it is not possible to completely align lines charges with retails charges. Therefore the breakdown into components is an approximation.</t>
  </si>
  <si>
    <t>Type</t>
  </si>
  <si>
    <t>Lines company discount</t>
  </si>
  <si>
    <t>Lines trust distribution</t>
  </si>
  <si>
    <t>Retailer trust distribution</t>
  </si>
  <si>
    <t>Amount for model customer</t>
  </si>
  <si>
    <t>Waitomo Energy Services Consumer Trust</t>
  </si>
  <si>
    <t>King Country Electric Power Trust</t>
  </si>
  <si>
    <t>Hawkes Bay Power Consumers Trust</t>
  </si>
  <si>
    <t>Tauranga Energy Consumers Trust</t>
  </si>
  <si>
    <t>Made by</t>
  </si>
  <si>
    <t>Network Tasman Trust</t>
  </si>
  <si>
    <t>Mainpower</t>
  </si>
  <si>
    <t>Line Trust South Canterbury</t>
  </si>
  <si>
    <t>Vector (Auckland)</t>
  </si>
  <si>
    <t xml:space="preserve">Quarterly Survey of Domestic Electricity Prices </t>
  </si>
  <si>
    <t>A</t>
  </si>
  <si>
    <t>Mainpower pays a discount to customers in North Canterbury at the time of billing. Retail prices are published inclusive this discount.</t>
  </si>
  <si>
    <t>This ownership discount has been added to the retail price in order to ensure consistent treatment of discounts.</t>
  </si>
  <si>
    <t>For the full report see our webpage</t>
  </si>
  <si>
    <t>Retail</t>
  </si>
  <si>
    <t>Energy and Other</t>
  </si>
  <si>
    <t>Lines Comp</t>
  </si>
  <si>
    <t>Percentage Change</t>
  </si>
  <si>
    <t>*</t>
  </si>
  <si>
    <t>Location</t>
  </si>
  <si>
    <t>Lines Company</t>
  </si>
  <si>
    <t>Notes</t>
  </si>
  <si>
    <t>Analysis of Change in Last Quarter</t>
  </si>
  <si>
    <t>North Island</t>
  </si>
  <si>
    <t>South Island</t>
  </si>
  <si>
    <t>Absolute Price Change</t>
  </si>
  <si>
    <t>Retail (c/kWh)</t>
  </si>
  <si>
    <t>Lines Component (c/kWh)</t>
  </si>
  <si>
    <t>Energy and Other Comp (c/kWh)*</t>
  </si>
  <si>
    <t>* Energy and other component is found by subtracting lines charges from total retail charges</t>
  </si>
  <si>
    <t>Transmission Component (c/kWh)</t>
  </si>
  <si>
    <t>Distribution Component (c/kWh)</t>
  </si>
  <si>
    <t>Northpower Electric Power Trust</t>
  </si>
  <si>
    <t>Marlborough Electric Power Trust</t>
  </si>
  <si>
    <t>Modelled NZ Consumer - 22 kWh per day on cheapest low user tariff available without a fixed term contract. For further detail see the notes page.</t>
  </si>
  <si>
    <t>Entrust</t>
  </si>
  <si>
    <t>Central Hawke’s Bay Consumers Power Trust</t>
  </si>
  <si>
    <t>Estimated Breakdown of Lines Charges †</t>
  </si>
  <si>
    <t>† This is an estimate. In some areas the transmission component may include other pass-through costs and in these cases is not a true reflection of the actual cost of transmission.</t>
  </si>
  <si>
    <t>10,11</t>
  </si>
  <si>
    <t>14, 15</t>
  </si>
  <si>
    <t>16, 17</t>
  </si>
  <si>
    <t>19, A</t>
  </si>
  <si>
    <t>Notes on additional ownership based discounts and distributions for the year ending 31 March 2020</t>
  </si>
  <si>
    <t>Lines trust discount</t>
  </si>
  <si>
    <t>Note</t>
  </si>
  <si>
    <t>Firstlight Network</t>
  </si>
  <si>
    <t>Nominal indicators on 15 August 2026</t>
  </si>
  <si>
    <t>Indicators on 15-8-2026</t>
  </si>
  <si>
    <t>Introduction - Report for 15 August 2024</t>
  </si>
  <si>
    <t>Introduction - Report for 15 August 2026</t>
  </si>
  <si>
    <t>15-Feb-04</t>
  </si>
  <si>
    <t>15-May-04</t>
  </si>
  <si>
    <t>15-Aug-04</t>
  </si>
  <si>
    <t>15-Nov-04</t>
  </si>
  <si>
    <t>15-Feb-05</t>
  </si>
  <si>
    <t>15-May-05</t>
  </si>
  <si>
    <t>15-Aug-05</t>
  </si>
  <si>
    <t>15-Nov-05</t>
  </si>
  <si>
    <t>15-Feb-06</t>
  </si>
  <si>
    <t>15-May-06</t>
  </si>
  <si>
    <t>15-Aug-06</t>
  </si>
  <si>
    <t>15-Nov-06</t>
  </si>
  <si>
    <t>15-Feb-07</t>
  </si>
  <si>
    <t>15-May-07</t>
  </si>
  <si>
    <t>15-Aug-07</t>
  </si>
  <si>
    <t>15-Nov-07</t>
  </si>
  <si>
    <t>15-Feb-08</t>
  </si>
  <si>
    <t>15-May-08</t>
  </si>
  <si>
    <t>15-Aug-08</t>
  </si>
  <si>
    <t>15-Nov-08</t>
  </si>
  <si>
    <t>15-Feb-09</t>
  </si>
  <si>
    <t>15-May-09</t>
  </si>
  <si>
    <t>15-Aug-09</t>
  </si>
  <si>
    <t>15-Nov-09</t>
  </si>
  <si>
    <t>15-Feb-10</t>
  </si>
  <si>
    <t>15-May-10</t>
  </si>
  <si>
    <t>15-Aug-10</t>
  </si>
  <si>
    <t>15-Nov-10</t>
  </si>
  <si>
    <t>15-Feb-11</t>
  </si>
  <si>
    <t>15-May-11</t>
  </si>
  <si>
    <t>15-Aug-11</t>
  </si>
  <si>
    <t>15-Nov-11</t>
  </si>
  <si>
    <t>15-Feb-12</t>
  </si>
  <si>
    <t>15-May-12</t>
  </si>
  <si>
    <t>15-Aug-12</t>
  </si>
  <si>
    <t>15-Nov-12</t>
  </si>
  <si>
    <t>15-Feb-13</t>
  </si>
  <si>
    <t>15-May-13</t>
  </si>
  <si>
    <t>15-Aug-13</t>
  </si>
  <si>
    <t>15-Nov-13</t>
  </si>
  <si>
    <t>15-Feb-14</t>
  </si>
  <si>
    <t>15-May-14</t>
  </si>
  <si>
    <t>15-Aug-14</t>
  </si>
  <si>
    <t>15-Nov-14</t>
  </si>
  <si>
    <t>15-Feb-15</t>
  </si>
  <si>
    <t>15-May-15</t>
  </si>
  <si>
    <t>15-Aug-15</t>
  </si>
  <si>
    <t>15-Nov-15</t>
  </si>
  <si>
    <t>15-Feb-16</t>
  </si>
  <si>
    <t>15-May-16</t>
  </si>
  <si>
    <t>15-Aug-16</t>
  </si>
  <si>
    <t>15-Nov-16</t>
  </si>
  <si>
    <t>15-Feb-17</t>
  </si>
  <si>
    <t>15-May-17</t>
  </si>
  <si>
    <t>15-Aug-17</t>
  </si>
  <si>
    <t>15-Nov-17</t>
  </si>
  <si>
    <t>15-Feb-18</t>
  </si>
  <si>
    <t>15-May-18</t>
  </si>
  <si>
    <t>15-Aug-18</t>
  </si>
  <si>
    <t>15-Nov-18</t>
  </si>
  <si>
    <t>15-Feb-19</t>
  </si>
  <si>
    <t>15-May-19</t>
  </si>
  <si>
    <t>15-Aug-19</t>
  </si>
  <si>
    <t>15-Nov-19</t>
  </si>
  <si>
    <t>15-Feb-20</t>
  </si>
  <si>
    <t>15-May-20</t>
  </si>
  <si>
    <t>15-Aug-20</t>
  </si>
  <si>
    <t>15-Nov-20</t>
  </si>
  <si>
    <t>15-Feb-21</t>
  </si>
  <si>
    <t>15-May-21</t>
  </si>
  <si>
    <t>15-Aug-21</t>
  </si>
  <si>
    <t>15-Nov-21</t>
  </si>
  <si>
    <t>15-Feb-22</t>
  </si>
  <si>
    <t>15-May-22</t>
  </si>
  <si>
    <t>15-Aug-22</t>
  </si>
  <si>
    <t>15-Nov-22</t>
  </si>
  <si>
    <t>15-Feb-23</t>
  </si>
  <si>
    <t>15-May-23</t>
  </si>
  <si>
    <t>15-Aug-23</t>
  </si>
  <si>
    <t>15-Nov-23</t>
  </si>
  <si>
    <t>15-Feb-24</t>
  </si>
  <si>
    <t>15-May-24</t>
  </si>
  <si>
    <t>15-Aug-24</t>
  </si>
  <si>
    <t>15-Nov-24</t>
  </si>
  <si>
    <t>15-Feb-25</t>
  </si>
  <si>
    <t>15-May-25</t>
  </si>
  <si>
    <t>15-Aug-25</t>
  </si>
  <si>
    <t>15-Nov-25</t>
  </si>
  <si>
    <t>15-Feb-26</t>
  </si>
  <si>
    <t>15-May-26</t>
  </si>
  <si>
    <t>15-Aug-26</t>
  </si>
  <si>
    <t>Town</t>
  </si>
  <si>
    <t>Date</t>
  </si>
  <si>
    <t>Price_c_kWh</t>
  </si>
  <si>
    <t>Component</t>
  </si>
  <si>
    <t>Blenheim</t>
  </si>
  <si>
    <t>Lines</t>
  </si>
  <si>
    <t>Energy &amp; Other</t>
  </si>
  <si>
    <t>Quarter</t>
  </si>
  <si>
    <t>CPI_Index</t>
  </si>
  <si>
    <t>QSDEP_Date</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</si>
  <si>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</si>
  <si>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</si>
  <si>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</si>
  <si>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</si>
  <si>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</si>
  <si>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</si>
  <si>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</si>
  <si>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</si>
  <si>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</si>
  <si>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</si>
  <si>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</si>
  <si>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</si>
  <si>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</si>
  <si>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</si>
  <si>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</si>
  <si>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</si>
  <si>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</si>
  <si>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</si>
  <si>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</si>
  <si>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</si>
  <si>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</si>
  <si>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</si>
  <si>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</si>
  <si>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</si>
  <si>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</si>
  <si>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</si>
  <si>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</si>
  <si>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</si>
  <si>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</si>
  <si>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</si>
  <si>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</si>
  <si>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Q5: 2027 bill scenarios (NZ average household)</t>
  </si>
  <si>
    <t>Annual use (kWh)</t>
  </si>
  <si>
    <t>Lines now (c/kWh, Aug 2026)</t>
  </si>
  <si>
    <t>Energy &amp; Other now (c/kWh, Aug 2026)</t>
  </si>
  <si>
    <t>Bill now ($/year)</t>
  </si>
  <si>
    <t>Year</t>
  </si>
  <si>
    <t xml:space="preserve">	Lines in May (c/kWh)</t>
  </si>
  <si>
    <t>Yearly change %</t>
  </si>
  <si>
    <t>Low: smallest yearly rise</t>
  </si>
  <si>
    <t>Medium: average yearly growth 2019-2026</t>
  </si>
  <si>
    <t>High: latest yearly rise (2026)</t>
  </si>
  <si>
    <t>1. Inputs</t>
  </si>
  <si>
    <t>2. Lines history (NZ, May each year)</t>
  </si>
  <si>
    <t>3. Scenario rates (lines rise per year)</t>
  </si>
  <si>
    <t>4. 2027 bill scenarios (from 1 April 2027)</t>
  </si>
  <si>
    <t>Scenario</t>
  </si>
  <si>
    <t>Lines rise %</t>
  </si>
  <si>
    <t>Lines 2027 (c/kWh)</t>
  </si>
  <si>
    <t>Total 2027 (c/kWh)</t>
  </si>
  <si>
    <t>Bill 2027 ($/year)</t>
  </si>
  <si>
    <t>Extra vs 2026 ($/year)</t>
  </si>
  <si>
    <t>Low</t>
  </si>
  <si>
    <t>Medium</t>
  </si>
  <si>
    <t>High</t>
  </si>
  <si>
    <t>Assumptions</t>
  </si>
  <si>
    <t>• Only lines charges change; energy &amp; other costs stay at Aug 2026 level.</t>
  </si>
  <si>
    <t>• Household = QSDEP model: 8,000 kWh/year, low-user plan, incl. GST.</t>
  </si>
  <si>
    <t>• Rates are based on NZ lines charge changes (May each year, 2019–2026).</t>
  </si>
  <si>
    <t>• These are scenarios, not forecasts.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</si>
</sst>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quot;$&quot;* #,##0.00_-;\-&quot;$&quot;* #,##0.00_-;_-&quot;$&quot;* &quot;-&quot;??_-;_-@_-"/>
    <numFmt numFmtId="165" formatCode="_-* #,##0_-;\-* #,##0_-;_-* &quot;-&quot;??_-;_-@_-"/>
    <numFmt numFmtId="166" formatCode="mmm\-yyyy"/>
    <numFmt numFmtId="167" formatCode="0.0%"/>
    <numFmt numFmtId="168" formatCode="_-&quot;$&quot;\ #,##0_-;\-&quot;$&quot;\ #,##0_-;_-&quot;$&quot;* &quot;-&quot;??_-;_-@_-"/>
    <numFmt numFmtId="169" formatCode="_-* #,##0.0_-;\-* #,##0.0_-;_-* &quot;-&quot;??_-;_-@_-"/>
    <numFmt numFmtId="170" formatCode="_-* #,##0.000_-;\-* #,##0.000_-;_-* &quot;-&quot;??_-;_-@_-"/>
    <numFmt numFmtId="171" formatCode="_-* #,##0.00000_-;\-* #,##0.00000_-;_-* &quot;-&quot;??_-;_-@_-"/>
    <numFmt numFmtId="172" formatCode="0.00;\-0.00;\ \-\ "/>
    <numFmt numFmtId="173" formatCode="#,##0.0;\-#,##0.0"/>
    <numFmt numFmtId="174" formatCode="0.0000000;\-0.0000000;\ \-\ "/>
    <numFmt numFmtId="175" formatCode="yyyy\-mm\-dd;@"/>
    <numFmt numFmtId="176" formatCode="_-[$$-409]* #,##0.00_ ;_-[$$-409]* \-#,##0.00\ ;_-[$$-409]* &quot;-&quot;??_ ;_-@_ "/>
  </numFmts>
  <fonts count="65" x14ac:knownFonts="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0"/>
      <color indexed="8"/>
      <name val="Arial"/>
      <family val="2"/>
    </font>
    <font>
      <sz val="11"/>
      <color theme="1"/>
      <name val="Calibri"/>
      <family val="2"/>
      <scheme val="minor"/>
    </font>
    <font>
      <sz val="10"/>
      <name val="Arial"/>
      <family val="2"/>
    </font>
    <font>
      <b/>
      <sz val="11"/>
      <color theme="1"/>
      <name val="Calibri"/>
      <family val="2"/>
      <scheme val="minor"/>
    </font>
    <font>
      <sz val="14"/>
      <color theme="1"/>
      <name val="Calibri"/>
      <family val="2"/>
      <scheme val="minor"/>
    </font>
    <font>
      <i/>
      <sz val="11"/>
      <color theme="1"/>
      <name val="Calibri"/>
      <family val="2"/>
      <scheme val="minor"/>
    </font>
    <font>
      <sz val="11"/>
      <color theme="1" tint="4.9989318521683403E-2"/>
      <name val="Calibri"/>
      <family val="2"/>
      <scheme val="minor"/>
    </font>
    <font>
      <vertAlign val="superscript"/>
      <sz val="8"/>
      <color theme="1"/>
      <name val="Calibri"/>
      <family val="2"/>
      <scheme val="minor"/>
    </font>
    <font>
      <b/>
      <i/>
      <sz val="11"/>
      <color theme="1"/>
      <name val="Calibri"/>
      <family val="2"/>
      <scheme val="minor"/>
    </font>
    <font>
      <i/>
      <sz val="8"/>
      <color theme="1"/>
      <name val="Calibri"/>
      <family val="2"/>
      <scheme val="minor"/>
    </font>
    <font>
      <sz val="10"/>
      <color theme="1"/>
      <name val="Calibri"/>
      <family val="2"/>
      <scheme val="minor"/>
    </font>
    <font>
      <u/>
      <sz val="10"/>
      <color indexed="12"/>
      <name val="Arial"/>
      <family val="2"/>
    </font>
    <font>
      <sz val="10"/>
      <name val="Arial"/>
      <family val="2"/>
    </font>
    <font>
      <sz val="12"/>
      <color theme="1"/>
      <name val="Calibri"/>
      <family val="2"/>
      <scheme val="minor"/>
    </font>
    <font>
      <b/>
      <sz val="15"/>
      <color theme="3"/>
      <name val="Arial"/>
      <family val="2"/>
    </font>
    <font>
      <i/>
      <sz val="8"/>
      <color theme="0"/>
      <name val="Calibri"/>
      <family val="2"/>
      <scheme val="minor"/>
    </font>
    <font>
      <sz val="11"/>
      <name val="Calibri"/>
      <family val="2"/>
      <scheme val="minor"/>
    </font>
    <font>
      <sz val="11"/>
      <name val="Arial"/>
      <family val="2"/>
    </font>
    <font>
      <b/>
      <sz val="12"/>
      <name val="Calibri"/>
      <family val="2"/>
      <scheme val="minor"/>
    </font>
    <font>
      <b/>
      <sz val="26"/>
      <name val="Calibri"/>
      <family val="2"/>
      <scheme val="minor"/>
    </font>
    <font>
      <sz val="11"/>
      <color indexed="8"/>
      <name val="Calibri"/>
      <family val="2"/>
      <scheme val="minor"/>
    </font>
    <font>
      <b/>
      <sz val="14"/>
      <name val="Calibri"/>
      <family val="2"/>
      <scheme val="minor"/>
    </font>
    <font>
      <vertAlign val="superscript"/>
      <sz val="11"/>
      <color theme="1"/>
      <name val="Calibri"/>
      <family val="2"/>
      <scheme val="minor"/>
    </font>
    <font>
      <sz val="8"/>
      <color theme="1"/>
      <name val="Calibri"/>
      <family val="2"/>
      <scheme val="minor"/>
    </font>
    <font>
      <b/>
      <sz val="16"/>
      <color theme="1"/>
      <name val="Calibri"/>
      <family val="2"/>
      <scheme val="minor"/>
    </font>
    <font>
      <b/>
      <sz val="14"/>
      <color theme="1"/>
      <name val="Calibri"/>
      <family val="2"/>
      <scheme val="minor"/>
    </font>
    <font>
      <sz val="18"/>
      <color theme="3"/>
      <name val="Cambria"/>
      <family val="2"/>
      <scheme val="major"/>
    </font>
    <font>
      <b/>
      <sz val="13"/>
      <color theme="3"/>
      <name val="Arial"/>
      <family val="2"/>
    </font>
    <font>
      <b/>
      <sz val="11"/>
      <color theme="3"/>
      <name val="Arial"/>
      <family val="2"/>
    </font>
    <font>
      <sz val="11"/>
      <color rgb="FF006100"/>
      <name val="Arial"/>
      <family val="2"/>
    </font>
    <font>
      <sz val="11"/>
      <color rgb="FF9C0006"/>
      <name val="Arial"/>
      <family val="2"/>
    </font>
    <font>
      <sz val="11"/>
      <color rgb="FF9C57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26"/>
      <color theme="1"/>
      <name val="Calibri"/>
      <family val="2"/>
      <scheme val="minor"/>
    </font>
    <font>
      <b/>
      <sz val="18"/>
      <name val="Calibri"/>
      <family val="2"/>
      <scheme val="minor"/>
    </font>
    <font>
      <b/>
      <sz val="11"/>
      <name val="Calibri"/>
      <family val="2"/>
    </font>
    <font>
      <sz val="10"/>
      <name val="Cambria"/>
      <family val="1"/>
      <scheme val="major"/>
    </font>
    <font>
      <sz val="11"/>
      <name val="Symbol"/>
      <family val="1"/>
      <charset val="2"/>
    </font>
  </fonts>
  <fills count="39">
    <fill>
      <patternFill patternType="none"/>
    </fill>
    <fill>
      <patternFill patternType="gray125"/>
    </fill>
    <fill>
      <patternFill patternType="solid">
        <fgColor theme="6" tint="0.7999816888943144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8">
    <border>
      <left/>
      <right/>
      <top/>
      <bottom/>
      <diagonal/>
    </border>
    <border>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19">
    <xf numFmtId="0" fontId="0" fillId="0" borderId="0"/>
    <xf numFmtId="43" fontId="6" fillId="0" borderId="0" applyFont="0" applyFill="0" applyBorder="0" applyAlignment="0" applyProtection="0"/>
    <xf numFmtId="0" fontId="5" fillId="0" borderId="0"/>
    <xf numFmtId="0" fontId="7" fillId="0" borderId="0"/>
    <xf numFmtId="164" fontId="6" fillId="0" borderId="0" applyFont="0" applyFill="0" applyBorder="0" applyAlignment="0" applyProtection="0"/>
    <xf numFmtId="9"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7" fillId="0" borderId="0"/>
    <xf numFmtId="0" fontId="7" fillId="0" borderId="0"/>
    <xf numFmtId="0" fontId="4"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0" fontId="17" fillId="0" borderId="0"/>
    <xf numFmtId="0" fontId="3" fillId="0" borderId="0"/>
    <xf numFmtId="0" fontId="19" fillId="0" borderId="2" applyNumberFormat="0" applyFill="0" applyAlignment="0" applyProtection="0"/>
    <xf numFmtId="43" fontId="2" fillId="0" borderId="0" applyFont="0" applyFill="0" applyBorder="0" applyAlignment="0" applyProtection="0"/>
    <xf numFmtId="0" fontId="2" fillId="0" borderId="0"/>
    <xf numFmtId="9" fontId="2" fillId="0" borderId="0" applyFont="0" applyFill="0" applyBorder="0" applyAlignment="0" applyProtection="0"/>
    <xf numFmtId="0" fontId="7" fillId="0" borderId="0"/>
    <xf numFmtId="0" fontId="2" fillId="0" borderId="0"/>
    <xf numFmtId="0" fontId="31" fillId="0" borderId="0" applyNumberFormat="0" applyFill="0" applyBorder="0" applyAlignment="0" applyProtection="0"/>
    <xf numFmtId="0" fontId="32" fillId="0" borderId="3" applyNumberFormat="0" applyFill="0" applyAlignment="0" applyProtection="0"/>
    <xf numFmtId="0" fontId="33" fillId="0" borderId="4" applyNumberFormat="0" applyFill="0" applyAlignment="0" applyProtection="0"/>
    <xf numFmtId="0" fontId="33" fillId="0" borderId="0" applyNumberFormat="0" applyFill="0" applyBorder="0" applyAlignment="0" applyProtection="0"/>
    <xf numFmtId="0" fontId="34" fillId="7" borderId="0" applyNumberFormat="0" applyBorder="0" applyAlignment="0" applyProtection="0"/>
    <xf numFmtId="0" fontId="35" fillId="8" borderId="0" applyNumberFormat="0" applyBorder="0" applyAlignment="0" applyProtection="0"/>
    <xf numFmtId="0" fontId="36" fillId="9" borderId="0" applyNumberFormat="0" applyBorder="0" applyAlignment="0" applyProtection="0"/>
    <xf numFmtId="0" fontId="37" fillId="10" borderId="5" applyNumberFormat="0" applyAlignment="0" applyProtection="0"/>
    <xf numFmtId="0" fontId="38" fillId="11" borderId="6" applyNumberFormat="0" applyAlignment="0" applyProtection="0"/>
    <xf numFmtId="0" fontId="39" fillId="11" borderId="5" applyNumberFormat="0" applyAlignment="0" applyProtection="0"/>
    <xf numFmtId="0" fontId="40" fillId="0" borderId="7" applyNumberFormat="0" applyFill="0" applyAlignment="0" applyProtection="0"/>
    <xf numFmtId="0" fontId="41" fillId="12" borderId="8" applyNumberFormat="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10" applyNumberFormat="0" applyFill="0" applyAlignment="0" applyProtection="0"/>
    <xf numFmtId="0" fontId="45"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45"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45"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45"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45"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4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0" borderId="0"/>
    <xf numFmtId="0" fontId="1" fillId="13" borderId="9" applyNumberFormat="0" applyFont="0" applyAlignment="0" applyProtection="0"/>
    <xf numFmtId="0" fontId="6" fillId="13" borderId="9" applyNumberFormat="0" applyFont="0" applyAlignment="0" applyProtection="0"/>
    <xf numFmtId="0" fontId="46" fillId="0" borderId="2" applyNumberFormat="0" applyFill="0" applyAlignment="0" applyProtection="0"/>
    <xf numFmtId="0" fontId="47" fillId="0" borderId="3" applyNumberFormat="0" applyFill="0" applyAlignment="0" applyProtection="0"/>
    <xf numFmtId="0" fontId="48" fillId="0" borderId="4" applyNumberFormat="0" applyFill="0" applyAlignment="0" applyProtection="0"/>
    <xf numFmtId="0" fontId="48" fillId="0" borderId="0" applyNumberFormat="0" applyFill="0" applyBorder="0" applyAlignment="0" applyProtection="0"/>
    <xf numFmtId="0" fontId="49" fillId="7" borderId="0" applyNumberFormat="0" applyBorder="0" applyAlignment="0" applyProtection="0"/>
    <xf numFmtId="0" fontId="50" fillId="8" borderId="0" applyNumberFormat="0" applyBorder="0" applyAlignment="0" applyProtection="0"/>
    <xf numFmtId="0" fontId="51" fillId="9" borderId="0" applyNumberFormat="0" applyBorder="0" applyAlignment="0" applyProtection="0"/>
    <xf numFmtId="0" fontId="52" fillId="10" borderId="5" applyNumberFormat="0" applyAlignment="0" applyProtection="0"/>
    <xf numFmtId="0" fontId="53" fillId="11" borderId="6" applyNumberFormat="0" applyAlignment="0" applyProtection="0"/>
    <xf numFmtId="0" fontId="54" fillId="11" borderId="5" applyNumberFormat="0" applyAlignment="0" applyProtection="0"/>
    <xf numFmtId="0" fontId="55" fillId="0" borderId="7" applyNumberFormat="0" applyFill="0" applyAlignment="0" applyProtection="0"/>
    <xf numFmtId="0" fontId="56" fillId="12" borderId="8" applyNumberFormat="0" applyAlignment="0" applyProtection="0"/>
    <xf numFmtId="0" fontId="57" fillId="0" borderId="0" applyNumberFormat="0" applyFill="0" applyBorder="0" applyAlignment="0" applyProtection="0"/>
    <xf numFmtId="0" fontId="58" fillId="0" borderId="0" applyNumberFormat="0" applyFill="0" applyBorder="0" applyAlignment="0" applyProtection="0"/>
    <xf numFmtId="0" fontId="8" fillId="0" borderId="10" applyNumberFormat="0" applyFill="0" applyAlignment="0" applyProtection="0"/>
    <xf numFmtId="0" fontId="59"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59"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59"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59"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59"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9"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cellStyleXfs>
  <cellXfs count="123">
    <xf numFmtId="0" fontId="0" fillId="0" borderId="0" xfId="0"/>
    <xf numFmtId="43" fontId="0" fillId="0" borderId="0" xfId="1" applyFont="1"/>
    <xf numFmtId="0" fontId="0" fillId="6" borderId="0" xfId="0" applyFill="1"/>
    <xf numFmtId="0" fontId="8" fillId="6" borderId="0" xfId="0" applyFont="1" applyFill="1"/>
    <xf numFmtId="0" fontId="0" fillId="6" borderId="0" xfId="0" applyFill="1" applyAlignment="1">
      <alignment horizontal="center"/>
    </xf>
    <xf numFmtId="0" fontId="10" fillId="6" borderId="0" xfId="0" applyFont="1" applyFill="1"/>
    <xf numFmtId="168" fontId="0" fillId="6" borderId="0" xfId="4" applyNumberFormat="1" applyFont="1" applyFill="1" applyBorder="1"/>
    <xf numFmtId="0" fontId="11" fillId="6" borderId="0" xfId="0" applyFont="1" applyFill="1"/>
    <xf numFmtId="0" fontId="13" fillId="6" borderId="0" xfId="0" applyFont="1" applyFill="1"/>
    <xf numFmtId="0" fontId="0" fillId="6" borderId="0" xfId="0" applyFill="1" applyAlignment="1">
      <alignment horizontal="left"/>
    </xf>
    <xf numFmtId="0" fontId="14" fillId="6" borderId="0" xfId="0" applyFont="1" applyFill="1" applyAlignment="1">
      <alignment horizontal="left"/>
    </xf>
    <xf numFmtId="169" fontId="0" fillId="0" borderId="0" xfId="1" applyNumberFormat="1" applyFont="1"/>
    <xf numFmtId="165" fontId="0" fillId="0" borderId="0" xfId="0" applyNumberFormat="1"/>
    <xf numFmtId="43" fontId="8" fillId="0" borderId="0" xfId="1" applyFont="1"/>
    <xf numFmtId="171" fontId="0" fillId="0" borderId="0" xfId="0" applyNumberFormat="1"/>
    <xf numFmtId="43" fontId="0" fillId="2" borderId="0" xfId="0" applyNumberFormat="1" applyFill="1"/>
    <xf numFmtId="0" fontId="8" fillId="2" borderId="0" xfId="0" applyFont="1" applyFill="1"/>
    <xf numFmtId="169" fontId="8" fillId="2" borderId="0" xfId="1" applyNumberFormat="1" applyFont="1" applyFill="1"/>
    <xf numFmtId="15" fontId="8" fillId="0" borderId="0" xfId="0" applyNumberFormat="1" applyFont="1"/>
    <xf numFmtId="0" fontId="12" fillId="6" borderId="0" xfId="0" applyFont="1" applyFill="1" applyAlignment="1">
      <alignment horizontal="right"/>
    </xf>
    <xf numFmtId="169" fontId="0" fillId="6" borderId="0" xfId="1" applyNumberFormat="1" applyFont="1" applyFill="1" applyBorder="1" applyAlignment="1">
      <alignment horizontal="left"/>
    </xf>
    <xf numFmtId="0" fontId="18" fillId="6" borderId="0" xfId="0" applyFont="1" applyFill="1"/>
    <xf numFmtId="168" fontId="18" fillId="6" borderId="0" xfId="4" applyNumberFormat="1" applyFont="1" applyFill="1" applyBorder="1"/>
    <xf numFmtId="169" fontId="18" fillId="4" borderId="0" xfId="1" applyNumberFormat="1" applyFont="1" applyFill="1" applyBorder="1"/>
    <xf numFmtId="167" fontId="18" fillId="4" borderId="0" xfId="5" applyNumberFormat="1" applyFont="1" applyFill="1" applyBorder="1"/>
    <xf numFmtId="0" fontId="18" fillId="6" borderId="0" xfId="0" applyFont="1" applyFill="1" applyAlignment="1">
      <alignment horizontal="right"/>
    </xf>
    <xf numFmtId="172" fontId="18" fillId="6" borderId="0" xfId="0" applyNumberFormat="1" applyFont="1" applyFill="1"/>
    <xf numFmtId="172" fontId="18" fillId="6" borderId="0" xfId="0" applyNumberFormat="1" applyFont="1" applyFill="1" applyAlignment="1">
      <alignment horizontal="right"/>
    </xf>
    <xf numFmtId="172" fontId="18" fillId="6" borderId="0" xfId="4" applyNumberFormat="1" applyFont="1" applyFill="1" applyBorder="1"/>
    <xf numFmtId="43" fontId="18" fillId="0" borderId="0" xfId="0" applyNumberFormat="1" applyFont="1"/>
    <xf numFmtId="43" fontId="18" fillId="0" borderId="0" xfId="1" applyFont="1" applyFill="1" applyBorder="1"/>
    <xf numFmtId="43" fontId="18" fillId="0" borderId="0" xfId="0" applyNumberFormat="1" applyFont="1" applyAlignment="1">
      <alignment horizontal="right"/>
    </xf>
    <xf numFmtId="43" fontId="0" fillId="0" borderId="0" xfId="1" applyFont="1" applyFill="1"/>
    <xf numFmtId="169" fontId="0" fillId="0" borderId="0" xfId="0" applyNumberFormat="1"/>
    <xf numFmtId="0" fontId="21" fillId="6" borderId="0" xfId="0" applyFont="1" applyFill="1"/>
    <xf numFmtId="10" fontId="8" fillId="0" borderId="0" xfId="5" applyNumberFormat="1" applyFont="1"/>
    <xf numFmtId="0" fontId="8" fillId="0" borderId="0" xfId="0" applyFont="1"/>
    <xf numFmtId="0" fontId="22" fillId="0" borderId="0" xfId="0" applyFont="1"/>
    <xf numFmtId="0" fontId="15" fillId="0" borderId="0" xfId="0" applyFont="1"/>
    <xf numFmtId="0" fontId="20" fillId="6" borderId="0" xfId="0" applyFont="1" applyFill="1" applyAlignment="1">
      <alignment horizontal="left"/>
    </xf>
    <xf numFmtId="169" fontId="18" fillId="5" borderId="0" xfId="1" applyNumberFormat="1" applyFont="1" applyFill="1" applyBorder="1"/>
    <xf numFmtId="167" fontId="18" fillId="5" borderId="0" xfId="5" applyNumberFormat="1" applyFont="1" applyFill="1" applyBorder="1"/>
    <xf numFmtId="172" fontId="18" fillId="4" borderId="0" xfId="1" applyNumberFormat="1" applyFont="1" applyFill="1" applyBorder="1"/>
    <xf numFmtId="172" fontId="18" fillId="5" borderId="0" xfId="1" applyNumberFormat="1" applyFont="1" applyFill="1" applyBorder="1"/>
    <xf numFmtId="10" fontId="0" fillId="0" borderId="0" xfId="5" applyNumberFormat="1" applyFont="1" applyFill="1" applyBorder="1"/>
    <xf numFmtId="0" fontId="0" fillId="6" borderId="0" xfId="0" applyFill="1" applyAlignment="1">
      <alignment horizontal="right"/>
    </xf>
    <xf numFmtId="170" fontId="0" fillId="0" borderId="0" xfId="0" applyNumberFormat="1"/>
    <xf numFmtId="166" fontId="25" fillId="3" borderId="0" xfId="2" applyNumberFormat="1" applyFont="1" applyFill="1" applyAlignment="1">
      <alignment horizontal="center" vertical="center" wrapText="1"/>
    </xf>
    <xf numFmtId="0" fontId="0" fillId="6" borderId="0" xfId="0" applyFill="1" applyAlignment="1">
      <alignment horizontal="center" vertical="center"/>
    </xf>
    <xf numFmtId="0" fontId="26" fillId="6" borderId="0" xfId="0" applyFont="1" applyFill="1"/>
    <xf numFmtId="43" fontId="0" fillId="4" borderId="0" xfId="1" applyFont="1" applyFill="1" applyBorder="1"/>
    <xf numFmtId="169" fontId="0" fillId="5" borderId="0" xfId="1" applyNumberFormat="1" applyFont="1" applyFill="1" applyBorder="1"/>
    <xf numFmtId="167" fontId="0" fillId="4" borderId="0" xfId="5" applyNumberFormat="1" applyFont="1" applyFill="1" applyBorder="1"/>
    <xf numFmtId="167" fontId="0" fillId="5" borderId="0" xfId="5" applyNumberFormat="1" applyFont="1" applyFill="1" applyBorder="1"/>
    <xf numFmtId="172" fontId="0" fillId="4" borderId="0" xfId="1" applyNumberFormat="1" applyFont="1" applyFill="1" applyBorder="1"/>
    <xf numFmtId="172" fontId="0" fillId="5" borderId="0" xfId="1" applyNumberFormat="1" applyFont="1" applyFill="1" applyBorder="1"/>
    <xf numFmtId="43" fontId="0" fillId="0" borderId="0" xfId="1" applyFont="1" applyFill="1" applyBorder="1"/>
    <xf numFmtId="167" fontId="21" fillId="5" borderId="0" xfId="5" applyNumberFormat="1" applyFont="1" applyFill="1" applyBorder="1"/>
    <xf numFmtId="0" fontId="27" fillId="6" borderId="0" xfId="0" applyFont="1" applyFill="1" applyAlignment="1">
      <alignment horizontal="right"/>
    </xf>
    <xf numFmtId="0" fontId="23" fillId="6" borderId="0" xfId="0" applyFont="1" applyFill="1"/>
    <xf numFmtId="0" fontId="28" fillId="6" borderId="0" xfId="0" applyFont="1" applyFill="1"/>
    <xf numFmtId="0" fontId="28" fillId="6" borderId="0" xfId="0" applyFont="1" applyFill="1" applyAlignment="1">
      <alignment horizontal="center"/>
    </xf>
    <xf numFmtId="0" fontId="28" fillId="6" borderId="0" xfId="0" applyFont="1" applyFill="1" applyAlignment="1">
      <alignment horizontal="right"/>
    </xf>
    <xf numFmtId="166" fontId="25" fillId="3" borderId="1" xfId="2" applyNumberFormat="1" applyFont="1" applyFill="1" applyBorder="1" applyAlignment="1">
      <alignment horizontal="center" vertical="center" wrapText="1"/>
    </xf>
    <xf numFmtId="0" fontId="0" fillId="6" borderId="1" xfId="0" applyFill="1" applyBorder="1" applyAlignment="1">
      <alignment horizontal="center"/>
    </xf>
    <xf numFmtId="166" fontId="25" fillId="3" borderId="0" xfId="2" applyNumberFormat="1" applyFont="1" applyFill="1" applyAlignment="1">
      <alignment horizontal="left" vertical="center" wrapText="1"/>
    </xf>
    <xf numFmtId="166" fontId="25" fillId="3" borderId="0" xfId="2" applyNumberFormat="1" applyFont="1" applyFill="1" applyAlignment="1">
      <alignment horizontal="left" vertical="center" wrapText="1" indent="1"/>
    </xf>
    <xf numFmtId="0" fontId="8" fillId="6" borderId="0" xfId="0" applyFont="1" applyFill="1" applyAlignment="1">
      <alignment horizontal="center"/>
    </xf>
    <xf numFmtId="168" fontId="8" fillId="6" borderId="0" xfId="4" applyNumberFormat="1" applyFont="1" applyFill="1" applyBorder="1"/>
    <xf numFmtId="0" fontId="8" fillId="6" borderId="0" xfId="0" applyFont="1" applyFill="1" applyAlignment="1">
      <alignment horizontal="left"/>
    </xf>
    <xf numFmtId="0" fontId="0" fillId="0" borderId="0" xfId="0" applyAlignment="1">
      <alignment horizontal="center"/>
    </xf>
    <xf numFmtId="0" fontId="0" fillId="0" borderId="0" xfId="0" applyAlignment="1">
      <alignment horizontal="right"/>
    </xf>
    <xf numFmtId="0" fontId="28" fillId="0" borderId="0" xfId="0" applyFont="1"/>
    <xf numFmtId="0" fontId="29" fillId="0" borderId="0" xfId="0" applyFont="1"/>
    <xf numFmtId="0" fontId="30" fillId="0" borderId="0" xfId="0" applyFont="1"/>
    <xf numFmtId="43" fontId="0" fillId="6" borderId="0" xfId="1" applyFont="1" applyFill="1" applyBorder="1"/>
    <xf numFmtId="169" fontId="0" fillId="6" borderId="0" xfId="1" applyNumberFormat="1" applyFont="1" applyFill="1" applyBorder="1"/>
    <xf numFmtId="0" fontId="7" fillId="6" borderId="0" xfId="3" applyFill="1"/>
    <xf numFmtId="0" fontId="7" fillId="0" borderId="0" xfId="3"/>
    <xf numFmtId="15" fontId="0" fillId="6" borderId="0" xfId="0" applyNumberFormat="1" applyFill="1"/>
    <xf numFmtId="0" fontId="61" fillId="6" borderId="0" xfId="3" applyFont="1" applyFill="1"/>
    <xf numFmtId="0" fontId="62" fillId="6" borderId="0" xfId="3" applyFont="1" applyFill="1" applyAlignment="1">
      <alignment vertical="center"/>
    </xf>
    <xf numFmtId="0" fontId="63" fillId="6" borderId="0" xfId="3" applyFont="1" applyFill="1"/>
    <xf numFmtId="0" fontId="0" fillId="6" borderId="0" xfId="0" applyFill="1" applyAlignment="1">
      <alignment wrapText="1"/>
    </xf>
    <xf numFmtId="0" fontId="64" fillId="6" borderId="0" xfId="3" applyFont="1" applyFill="1" applyAlignment="1">
      <alignment horizontal="left" vertical="center" indent="4"/>
    </xf>
    <xf numFmtId="0" fontId="64" fillId="6" borderId="0" xfId="3" applyFont="1" applyFill="1" applyAlignment="1">
      <alignment horizontal="left" vertical="center" wrapText="1" indent="4"/>
    </xf>
    <xf numFmtId="173" fontId="7" fillId="6" borderId="0" xfId="3" applyNumberFormat="1" applyFill="1"/>
    <xf numFmtId="174" fontId="7" fillId="6" borderId="0" xfId="3" applyNumberFormat="1" applyFill="1"/>
    <xf numFmtId="175" fontId="0" fillId="0" borderId="0" xfId="0" applyNumberFormat="1"/>
    <xf numFmtId="0" fontId="0" fillId="0" borderId="11" xfId="0" applyBorder="1"/>
    <xf numFmtId="0" fontId="0" fillId="0" borderId="13" xfId="0" applyBorder="1"/>
    <xf numFmtId="2" fontId="0" fillId="0" borderId="1" xfId="0" applyNumberFormat="1" applyBorder="1"/>
    <xf numFmtId="0" fontId="0" fillId="0" borderId="14" xfId="0" applyBorder="1"/>
    <xf numFmtId="2" fontId="0" fillId="0" borderId="15" xfId="0" applyNumberFormat="1" applyBorder="1"/>
    <xf numFmtId="10" fontId="0" fillId="0" borderId="12" xfId="0" applyNumberFormat="1" applyBorder="1"/>
    <xf numFmtId="10" fontId="0" fillId="0" borderId="1" xfId="0" applyNumberFormat="1" applyBorder="1"/>
    <xf numFmtId="10" fontId="0" fillId="0" borderId="15" xfId="0" applyNumberFormat="1" applyBorder="1"/>
    <xf numFmtId="0" fontId="0" fillId="0" borderId="13" xfId="0" applyBorder="1" applyAlignment="1">
      <alignment horizontal="center"/>
    </xf>
    <xf numFmtId="10" fontId="0" fillId="0" borderId="1" xfId="0" applyNumberFormat="1" applyBorder="1" applyAlignment="1">
      <alignment horizontal="center"/>
    </xf>
    <xf numFmtId="0" fontId="0" fillId="0" borderId="14" xfId="0" applyBorder="1" applyAlignment="1">
      <alignment horizontal="center"/>
    </xf>
    <xf numFmtId="10" fontId="0" fillId="0" borderId="15" xfId="0" applyNumberFormat="1" applyBorder="1" applyAlignment="1">
      <alignment horizontal="center"/>
    </xf>
    <xf numFmtId="0" fontId="8" fillId="0" borderId="11" xfId="0" applyFont="1" applyBorder="1" applyAlignment="1">
      <alignment horizontal="center"/>
    </xf>
    <xf numFmtId="0" fontId="8" fillId="0" borderId="16" xfId="0" applyFont="1" applyBorder="1" applyAlignment="1">
      <alignment horizontal="center"/>
    </xf>
    <xf numFmtId="10" fontId="8" fillId="0" borderId="12" xfId="0" applyNumberFormat="1" applyFont="1" applyBorder="1" applyAlignment="1">
      <alignment horizontal="center"/>
    </xf>
    <xf numFmtId="2" fontId="0" fillId="0" borderId="0" xfId="0" applyNumberFormat="1" applyAlignment="1">
      <alignment horizontal="center"/>
    </xf>
    <xf numFmtId="2" fontId="0" fillId="0" borderId="17" xfId="0" applyNumberFormat="1" applyBorder="1" applyAlignment="1">
      <alignment horizontal="center"/>
    </xf>
    <xf numFmtId="0" fontId="0" fillId="38" borderId="12" xfId="0" applyFill="1" applyBorder="1"/>
    <xf numFmtId="10" fontId="0" fillId="0" borderId="0" xfId="0" applyNumberFormat="1" applyAlignment="1">
      <alignment horizontal="center"/>
    </xf>
    <xf numFmtId="176" fontId="0" fillId="0" borderId="0" xfId="0" applyNumberFormat="1" applyAlignment="1">
      <alignment horizontal="center"/>
    </xf>
    <xf numFmtId="0" fontId="0" fillId="0" borderId="0" xfId="0" applyAlignment="1">
      <alignment horizontal="left"/>
    </xf>
    <xf numFmtId="0" fontId="8" fillId="0" borderId="0" xfId="0" applyFont="1" applyAlignment="1">
      <alignment horizontal="left"/>
    </xf>
    <xf numFmtId="0" fontId="60" fillId="6" borderId="0" xfId="0" applyFont="1" applyFill="1" applyAlignment="1">
      <alignment horizontal="center"/>
    </xf>
    <xf numFmtId="0" fontId="9" fillId="6" borderId="0" xfId="0" applyFont="1" applyFill="1" applyAlignment="1">
      <alignment horizontal="center"/>
    </xf>
    <xf numFmtId="0" fontId="24" fillId="6" borderId="0" xfId="0" applyFont="1" applyFill="1" applyAlignment="1">
      <alignment horizontal="center"/>
    </xf>
    <xf numFmtId="0" fontId="28" fillId="6" borderId="0" xfId="0" applyFont="1" applyFill="1" applyAlignment="1">
      <alignment horizontal="center"/>
    </xf>
    <xf numFmtId="0" fontId="8" fillId="6" borderId="0" xfId="0" applyFont="1" applyFill="1" applyAlignment="1">
      <alignment horizontal="center"/>
    </xf>
    <xf numFmtId="15" fontId="8" fillId="0" borderId="0" xfId="0" applyNumberFormat="1" applyFont="1" applyAlignment="1">
      <alignment horizontal="center"/>
    </xf>
    <xf numFmtId="0" fontId="8" fillId="0" borderId="0" xfId="0" applyFont="1" applyAlignment="1">
      <alignment horizontal="center"/>
    </xf>
    <xf numFmtId="0" fontId="0" fillId="0" borderId="0" xfId="0" applyBorder="1" applyAlignment="1">
      <alignment horizontal="center"/>
    </xf>
    <xf numFmtId="2" fontId="0" fillId="0" borderId="0" xfId="0" applyNumberFormat="1" applyBorder="1" applyAlignment="1">
      <alignment horizontal="center"/>
    </xf>
    <xf numFmtId="0" fontId="8" fillId="0" borderId="0" xfId="0" applyFont="1" applyBorder="1" applyAlignment="1">
      <alignment horizontal="center"/>
    </xf>
    <xf numFmtId="10" fontId="0" fillId="0" borderId="0" xfId="0" applyNumberFormat="1" applyBorder="1" applyAlignment="1">
      <alignment horizontal="center"/>
    </xf>
    <xf numFmtId="176" fontId="0" fillId="0" borderId="0" xfId="0" applyNumberFormat="1" applyBorder="1" applyAlignment="1">
      <alignment horizontal="center"/>
    </xf>
  </cellXfs>
  <cellStyles count="119">
    <cellStyle name="20% - Accent1" xfId="54" builtinId="30" customBuiltin="1"/>
    <cellStyle name="20% - Accent1 2" xfId="96" xr:uid="{6EE7C001-6313-4255-BD8B-F45926C23ED0}"/>
    <cellStyle name="20% - Accent2" xfId="58" builtinId="34" customBuiltin="1"/>
    <cellStyle name="20% - Accent2 2" xfId="100" xr:uid="{5EE7444D-9F51-4ADD-A7A3-3DF67BAA8ADE}"/>
    <cellStyle name="20% - Accent3" xfId="62" builtinId="38" customBuiltin="1"/>
    <cellStyle name="20% - Accent3 2" xfId="104" xr:uid="{0EA6D91F-8B64-4FD6-9C27-82A14EDCC871}"/>
    <cellStyle name="20% - Accent4" xfId="66" builtinId="42" customBuiltin="1"/>
    <cellStyle name="20% - Accent4 2" xfId="108" xr:uid="{C9911235-F454-47E3-92D3-BCF4A5DC6F95}"/>
    <cellStyle name="20% - Accent5" xfId="70" builtinId="46" customBuiltin="1"/>
    <cellStyle name="20% - Accent5 2" xfId="112" xr:uid="{D4D6FF20-B658-4480-8FDE-A036B07D2146}"/>
    <cellStyle name="20% - Accent6" xfId="74" builtinId="50" customBuiltin="1"/>
    <cellStyle name="20% - Accent6 2" xfId="116" xr:uid="{3791BE8E-C687-4F8A-82C4-C2123D5AAB79}"/>
    <cellStyle name="40% - Accent1" xfId="55" builtinId="31" customBuiltin="1"/>
    <cellStyle name="40% - Accent1 2" xfId="97" xr:uid="{EC3DD720-DEBE-4A5A-B27C-6951D2D782D3}"/>
    <cellStyle name="40% - Accent2" xfId="59" builtinId="35" customBuiltin="1"/>
    <cellStyle name="40% - Accent2 2" xfId="101" xr:uid="{6FFEA94E-A7B2-41C1-9F73-F01A875C6246}"/>
    <cellStyle name="40% - Accent3" xfId="63" builtinId="39" customBuiltin="1"/>
    <cellStyle name="40% - Accent3 2" xfId="105" xr:uid="{BCACC687-C536-4D18-9F75-3A1C7779B045}"/>
    <cellStyle name="40% - Accent4" xfId="67" builtinId="43" customBuiltin="1"/>
    <cellStyle name="40% - Accent4 2" xfId="109" xr:uid="{668B109D-D59F-4F86-925E-3F9F6467BD45}"/>
    <cellStyle name="40% - Accent5" xfId="71" builtinId="47" customBuiltin="1"/>
    <cellStyle name="40% - Accent5 2" xfId="113" xr:uid="{21006D14-40A7-4FDD-BACB-300FA2AF050D}"/>
    <cellStyle name="40% - Accent6" xfId="75" builtinId="51" customBuiltin="1"/>
    <cellStyle name="40% - Accent6 2" xfId="117" xr:uid="{B2372BB2-F980-402E-8401-DF55766EC60F}"/>
    <cellStyle name="60% - Accent1" xfId="56" builtinId="32" customBuiltin="1"/>
    <cellStyle name="60% - Accent1 2" xfId="98" xr:uid="{BEF4B686-6B39-4399-8D64-E48B1C31333C}"/>
    <cellStyle name="60% - Accent2" xfId="60" builtinId="36" customBuiltin="1"/>
    <cellStyle name="60% - Accent2 2" xfId="102" xr:uid="{A7879179-9BB8-471F-8807-248205321437}"/>
    <cellStyle name="60% - Accent3" xfId="64" builtinId="40" customBuiltin="1"/>
    <cellStyle name="60% - Accent3 2" xfId="106" xr:uid="{C0AB9A9E-B3E7-4913-AE6D-3D7A95404730}"/>
    <cellStyle name="60% - Accent4" xfId="68" builtinId="44" customBuiltin="1"/>
    <cellStyle name="60% - Accent4 2" xfId="110" xr:uid="{3E1881A1-5931-4930-B3F9-B68C6E2CC7D6}"/>
    <cellStyle name="60% - Accent5" xfId="72" builtinId="48" customBuiltin="1"/>
    <cellStyle name="60% - Accent5 2" xfId="114" xr:uid="{FE8FC877-6329-499B-9141-D02C0312BDEB}"/>
    <cellStyle name="60% - Accent6" xfId="76" builtinId="52" customBuiltin="1"/>
    <cellStyle name="60% - Accent6 2" xfId="118" xr:uid="{7E2CFA8F-D3EA-4760-8BAC-12BAF239FF19}"/>
    <cellStyle name="Accent1" xfId="53" builtinId="29" customBuiltin="1"/>
    <cellStyle name="Accent1 2" xfId="95" xr:uid="{8ACBFCAB-9C52-4EAC-B071-3777556ECF37}"/>
    <cellStyle name="Accent2" xfId="57" builtinId="33" customBuiltin="1"/>
    <cellStyle name="Accent2 2" xfId="99" xr:uid="{8727739F-64CB-49DA-A68B-CA1486D9C275}"/>
    <cellStyle name="Accent3" xfId="61" builtinId="37" customBuiltin="1"/>
    <cellStyle name="Accent3 2" xfId="103" xr:uid="{74ADF889-B4A1-41AE-A04E-C3F09C3EA352}"/>
    <cellStyle name="Accent4" xfId="65" builtinId="41" customBuiltin="1"/>
    <cellStyle name="Accent4 2" xfId="107" xr:uid="{9CD78154-DD5C-4878-A254-AB513C92C07C}"/>
    <cellStyle name="Accent5" xfId="69" builtinId="45" customBuiltin="1"/>
    <cellStyle name="Accent5 2" xfId="111" xr:uid="{2C78AE5E-8C5E-4BC8-BF6F-F95FBD7D3CFA}"/>
    <cellStyle name="Accent6" xfId="73" builtinId="49" customBuiltin="1"/>
    <cellStyle name="Accent6 2" xfId="115" xr:uid="{673673D7-DB6B-4C3E-8D50-58AB35420DAD}"/>
    <cellStyle name="Bad" xfId="43" builtinId="27" customBuiltin="1"/>
    <cellStyle name="Bad 2" xfId="85" xr:uid="{DE4A5D48-62AD-4EC6-B6B2-1EB2A861F0C9}"/>
    <cellStyle name="Calculation" xfId="47" builtinId="22" customBuiltin="1"/>
    <cellStyle name="Calculation 2" xfId="89" xr:uid="{99A8B904-2912-4A75-9AFF-286420AD3417}"/>
    <cellStyle name="Check Cell" xfId="49" builtinId="23" customBuiltin="1"/>
    <cellStyle name="Check Cell 2" xfId="91" xr:uid="{E876EF61-99B4-4216-85B3-C9116B6DD061}"/>
    <cellStyle name="Comma" xfId="1" builtinId="3"/>
    <cellStyle name="Comma 2" xfId="6" xr:uid="{00000000-0005-0000-0000-000001000000}"/>
    <cellStyle name="Comma 2 2" xfId="7" xr:uid="{00000000-0005-0000-0000-000002000000}"/>
    <cellStyle name="Comma 3" xfId="8" xr:uid="{00000000-0005-0000-0000-000003000000}"/>
    <cellStyle name="Comma 3 2" xfId="9" xr:uid="{00000000-0005-0000-0000-000004000000}"/>
    <cellStyle name="Comma 4" xfId="10" xr:uid="{00000000-0005-0000-0000-000005000000}"/>
    <cellStyle name="Comma 4 2" xfId="11" xr:uid="{00000000-0005-0000-0000-000006000000}"/>
    <cellStyle name="Comma 5" xfId="12" xr:uid="{00000000-0005-0000-0000-000007000000}"/>
    <cellStyle name="Comma 5 2" xfId="13" xr:uid="{00000000-0005-0000-0000-000008000000}"/>
    <cellStyle name="Comma 6" xfId="14" xr:uid="{00000000-0005-0000-0000-000009000000}"/>
    <cellStyle name="Comma 7" xfId="15" xr:uid="{00000000-0005-0000-0000-00000A000000}"/>
    <cellStyle name="Comma 8" xfId="16" xr:uid="{00000000-0005-0000-0000-00000B000000}"/>
    <cellStyle name="Comma 9" xfId="17" xr:uid="{00000000-0005-0000-0000-00000C000000}"/>
    <cellStyle name="Comma 9 2" xfId="33" xr:uid="{00000000-0005-0000-0000-00000D000000}"/>
    <cellStyle name="Currency" xfId="4" builtinId="4"/>
    <cellStyle name="Explanatory Text" xfId="51" builtinId="53" customBuiltin="1"/>
    <cellStyle name="Explanatory Text 2" xfId="93" xr:uid="{D8284BEF-E944-48BA-ABF5-E8F6DEB0986C}"/>
    <cellStyle name="Good" xfId="42" builtinId="26" customBuiltin="1"/>
    <cellStyle name="Good 2" xfId="84" xr:uid="{6A8DD8AF-4C66-474C-9EC7-4504B91F71AA}"/>
    <cellStyle name="Heading 1" xfId="32" builtinId="16" customBuiltin="1"/>
    <cellStyle name="Heading 1 2" xfId="80" xr:uid="{BCFFD957-E821-4FE0-BDAE-070D6F5A752A}"/>
    <cellStyle name="Heading 2" xfId="39" builtinId="17" customBuiltin="1"/>
    <cellStyle name="Heading 2 2" xfId="81" xr:uid="{8BDCB3B2-FB5E-4BBB-B660-4EB4E8C3261D}"/>
    <cellStyle name="Heading 3" xfId="40" builtinId="18" customBuiltin="1"/>
    <cellStyle name="Heading 3 2" xfId="82" xr:uid="{1784DCD3-CC08-4CD8-95EF-5C39CA4F1CDA}"/>
    <cellStyle name="Heading 4" xfId="41" builtinId="19" customBuiltin="1"/>
    <cellStyle name="Heading 4 2" xfId="83" xr:uid="{A95552CD-F4B7-48AF-AF20-45AFF422A9E4}"/>
    <cellStyle name="Hyperlink 2" xfId="18" xr:uid="{00000000-0005-0000-0000-000010000000}"/>
    <cellStyle name="Hyperlink 2 2" xfId="19" xr:uid="{00000000-0005-0000-0000-000011000000}"/>
    <cellStyle name="Hyperlink 2 3" xfId="20" xr:uid="{00000000-0005-0000-0000-000012000000}"/>
    <cellStyle name="Input" xfId="45" builtinId="20" customBuiltin="1"/>
    <cellStyle name="Input 2" xfId="87" xr:uid="{86FC8E52-E844-4DCB-840E-D060821A9858}"/>
    <cellStyle name="Linked Cell" xfId="48" builtinId="24" customBuiltin="1"/>
    <cellStyle name="Linked Cell 2" xfId="90" xr:uid="{BAEDD11D-21ED-4D42-9EDF-1CD4C050BFC8}"/>
    <cellStyle name="Neutral" xfId="44" builtinId="28" customBuiltin="1"/>
    <cellStyle name="Neutral 2" xfId="86" xr:uid="{D5D2D0F6-E3E2-48FE-A2A1-831658BEE74B}"/>
    <cellStyle name="Normal" xfId="0" builtinId="0"/>
    <cellStyle name="Normal 18" xfId="31" xr:uid="{00000000-0005-0000-0000-000014000000}"/>
    <cellStyle name="Normal 18 2" xfId="37" xr:uid="{00000000-0005-0000-0000-000015000000}"/>
    <cellStyle name="Normal 2" xfId="3" xr:uid="{00000000-0005-0000-0000-000016000000}"/>
    <cellStyle name="Normal 2 2" xfId="21" xr:uid="{00000000-0005-0000-0000-000017000000}"/>
    <cellStyle name="Normal 3" xfId="22" xr:uid="{00000000-0005-0000-0000-000018000000}"/>
    <cellStyle name="Normal 4" xfId="23" xr:uid="{00000000-0005-0000-0000-000019000000}"/>
    <cellStyle name="Normal 4 2" xfId="34" xr:uid="{00000000-0005-0000-0000-00001A000000}"/>
    <cellStyle name="Normal 5" xfId="30" xr:uid="{00000000-0005-0000-0000-00001B000000}"/>
    <cellStyle name="Normal 5 2" xfId="36" xr:uid="{00000000-0005-0000-0000-00001C000000}"/>
    <cellStyle name="Normal 6" xfId="77" xr:uid="{C1BCABD5-2452-47A7-A6E7-B12BC3840769}"/>
    <cellStyle name="Normal_RawData_1" xfId="2" xr:uid="{00000000-0005-0000-0000-00001E000000}"/>
    <cellStyle name="Note" xfId="79" builtinId="10" customBuiltin="1"/>
    <cellStyle name="Note 2" xfId="78" xr:uid="{36F48086-26B2-494D-BB6F-F088D17AD926}"/>
    <cellStyle name="Output" xfId="46" builtinId="21" customBuiltin="1"/>
    <cellStyle name="Output 2" xfId="88" xr:uid="{D3F1F984-ACD2-471E-81FD-A84B36A025E0}"/>
    <cellStyle name="Percent" xfId="5" builtinId="5"/>
    <cellStyle name="Percent 2" xfId="24" xr:uid="{00000000-0005-0000-0000-000021000000}"/>
    <cellStyle name="Percent 2 2" xfId="25" xr:uid="{00000000-0005-0000-0000-000022000000}"/>
    <cellStyle name="Percent 3" xfId="26" xr:uid="{00000000-0005-0000-0000-000023000000}"/>
    <cellStyle name="Percent 3 2" xfId="27" xr:uid="{00000000-0005-0000-0000-000024000000}"/>
    <cellStyle name="Percent 4" xfId="28" xr:uid="{00000000-0005-0000-0000-000025000000}"/>
    <cellStyle name="Percent 5" xfId="29" xr:uid="{00000000-0005-0000-0000-000026000000}"/>
    <cellStyle name="Percent 5 2" xfId="35" xr:uid="{00000000-0005-0000-0000-000027000000}"/>
    <cellStyle name="Title" xfId="38" builtinId="15" customBuiltin="1"/>
    <cellStyle name="Total" xfId="52" builtinId="25" customBuiltin="1"/>
    <cellStyle name="Total 2" xfId="94" xr:uid="{C02CB04C-68C4-44B6-BEAE-719405C1ABDB}"/>
    <cellStyle name="Warning Text" xfId="50" builtinId="11" customBuiltin="1"/>
    <cellStyle name="Warning Text 2" xfId="92" xr:uid="{1C52F757-E50E-41EF-8ABA-C99E1E7E0C68}"/>
  </cellStyles>
  <dxfs count="293">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76" formatCode="_-[$$-409]* #,##0.00_ ;_-[$$-409]* \-#,##0.00\ ;_-[$$-409]* &quot;-&quot;??_ ;_-@_ "/>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alignment horizontal="center" vertical="bottom" textRotation="0" wrapText="0" indent="0" justifyLastLine="0" shrinkToFit="0" readingOrder="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20" formatCode="dd\-mmm\-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20" formatCode="dd\-mmm\-yy"/>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numFmt numFmtId="169" formatCode="_-* #,##0.0_-;\-* #,##0.0_-;_-* &quot;-&quot;??_-;_-@_-"/>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numFmt numFmtId="20" formatCode="dd\-mmm\-yy"/>
    </dxf>
    <dxf>
      <numFmt numFmtId="175" formatCode="yyyy\-mm\-dd;@"/>
    </dxf>
    <dxf>
      <numFmt numFmtId="0" formatCode="General"/>
    </dxf>
    <dxf>
      <numFmt numFmtId="0" formatCode="General"/>
    </dxf>
    <dxf>
      <numFmt numFmtId="175" formatCode="yyyy\-mm\-d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mbie.govt.nz/building-and-energy/energy-and-natural-resources/energy-statistics-and-modelling/energy-statistics/energy-prices/electricity-cost-and-price-monitorin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hyperlink" Target="https://www.mbie.govt.nz/building-and-energy/energy-and-natural-resources/energy-statistics-and-modelling/energy-statistics/energy-prices/electricity-cost-and-price-monitoring/" TargetMode="External"/></Relationships>
</file>

<file path=xl/drawings/drawing1.xml><?xml version="1.0" encoding="utf-8"?>
<xdr:wsDr xmlns:xdr="http://schemas.openxmlformats.org/drawingml/2006/spreadsheetDrawing" xmlns:a="http://schemas.openxmlformats.org/drawingml/2006/main">
  <xdr:oneCellAnchor>
    <xdr:from>
      <xdr:col>1</xdr:col>
      <xdr:colOff>157840</xdr:colOff>
      <xdr:row>2</xdr:row>
      <xdr:rowOff>0</xdr:rowOff>
    </xdr:from>
    <xdr:ext cx="3220360" cy="868250"/>
    <xdr:pic>
      <xdr:nvPicPr>
        <xdr:cNvPr id="2" name="Picture 1">
          <a:hlinkClick xmlns:r="http://schemas.openxmlformats.org/officeDocument/2006/relationships" r:id="rId1"/>
          <a:extLst>
            <a:ext uri="{FF2B5EF4-FFF2-40B4-BE49-F238E27FC236}">
              <a16:creationId xmlns:a16="http://schemas.microsoft.com/office/drawing/2014/main" id="{F9234D4E-E480-458B-9EBB-6597DB1CB80D}"/>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313415" y="342900"/>
          <a:ext cx="3220360" cy="86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358208</xdr:colOff>
      <xdr:row>2</xdr:row>
      <xdr:rowOff>0</xdr:rowOff>
    </xdr:from>
    <xdr:ext cx="1559492" cy="868250"/>
    <xdr:pic>
      <xdr:nvPicPr>
        <xdr:cNvPr id="3" name="Picture 2">
          <a:extLst>
            <a:ext uri="{FF2B5EF4-FFF2-40B4-BE49-F238E27FC236}">
              <a16:creationId xmlns:a16="http://schemas.microsoft.com/office/drawing/2014/main" id="{C002B6D4-F3CD-4C2A-9DDA-FF65EE268697}"/>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356033" y="342900"/>
          <a:ext cx="1559492" cy="868250"/>
        </a:xfrm>
        <a:prstGeom prst="rect">
          <a:avLst/>
        </a:prstGeom>
      </xdr:spPr>
    </xdr:pic>
    <xdr:clientData/>
  </xdr:oneCellAnchor>
  <xdr:twoCellAnchor>
    <xdr:from>
      <xdr:col>1</xdr:col>
      <xdr:colOff>180974</xdr:colOff>
      <xdr:row>10</xdr:row>
      <xdr:rowOff>0</xdr:rowOff>
    </xdr:from>
    <xdr:to>
      <xdr:col>17</xdr:col>
      <xdr:colOff>0</xdr:colOff>
      <xdr:row>81</xdr:row>
      <xdr:rowOff>0</xdr:rowOff>
    </xdr:to>
    <xdr:sp macro="" textlink="">
      <xdr:nvSpPr>
        <xdr:cNvPr id="4" name="TextBox 3">
          <a:extLst>
            <a:ext uri="{FF2B5EF4-FFF2-40B4-BE49-F238E27FC236}">
              <a16:creationId xmlns:a16="http://schemas.microsoft.com/office/drawing/2014/main" id="{B76213FE-A7FF-446A-A35D-D0CD520023C1}"/>
            </a:ext>
          </a:extLst>
        </xdr:cNvPr>
        <xdr:cNvSpPr txBox="1"/>
      </xdr:nvSpPr>
      <xdr:spPr>
        <a:xfrm>
          <a:off x="336549" y="2076450"/>
          <a:ext cx="9578976" cy="1189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spcBef>
              <a:spcPts val="600"/>
            </a:spcBef>
            <a:spcAft>
              <a:spcPts val="0"/>
            </a:spcAft>
          </a:pPr>
          <a:r>
            <a:rPr lang="en-NZ" sz="1200" b="1">
              <a:solidFill>
                <a:sysClr val="windowText" lastClr="000000"/>
              </a:solidFill>
              <a:effectLst/>
              <a:latin typeface="+mn-lt"/>
              <a:ea typeface="Times New Roman"/>
              <a:cs typeface="+mn-cs"/>
            </a:rPr>
            <a:t>What does the QSDEP monitor?</a:t>
          </a:r>
        </a:p>
        <a:p>
          <a:pPr>
            <a:spcAft>
              <a:spcPts val="300"/>
            </a:spcAft>
          </a:pPr>
          <a:r>
            <a:rPr lang="en-NZ" sz="1100">
              <a:solidFill>
                <a:srgbClr val="000000"/>
              </a:solidFill>
              <a:effectLst/>
              <a:latin typeface="+mn-lt"/>
              <a:ea typeface="Calibri"/>
            </a:rPr>
            <a:t>The QSDEP monitors tariffs publicly advertised in the retail electricity market on a particular date. This provides a handy indicator of how price changes may impact on consumers. However, it does not reflect what customers have actually paid for electricity in any particular period, as the QSDEP only models one type of customer in each city or town, when in reality, consumption and pricing plans vary significantly across households. </a:t>
          </a:r>
          <a:endParaRPr lang="en-NZ" sz="1100">
            <a:effectLst/>
            <a:latin typeface="+mn-lt"/>
            <a:ea typeface="Times New Roman"/>
          </a:endParaRPr>
        </a:p>
        <a:p>
          <a:pPr>
            <a:spcAft>
              <a:spcPts val="300"/>
            </a:spcAft>
          </a:pPr>
          <a:r>
            <a:rPr lang="en-NZ" sz="1100">
              <a:solidFill>
                <a:srgbClr val="000000"/>
              </a:solidFill>
              <a:effectLst/>
              <a:latin typeface="+mn-lt"/>
              <a:ea typeface="Calibri"/>
            </a:rPr>
            <a:t>For information on what households have actually paid for electricity over time, please see the Ministry’s sales-based electricity costs. Sales-based data reflects all discounts actually received by consumers, such as prompt payment, multi-fuel and online discounts, incentive and retention payments, and rates paid by customers on fixed-term plans.</a:t>
          </a:r>
        </a:p>
        <a:p>
          <a:pPr marL="0" indent="0">
            <a:spcBef>
              <a:spcPts val="600"/>
            </a:spcBef>
            <a:spcAft>
              <a:spcPts val="0"/>
            </a:spcAft>
          </a:pPr>
          <a:r>
            <a:rPr lang="en-NZ" sz="1200" b="1">
              <a:solidFill>
                <a:sysClr val="windowText" lastClr="000000"/>
              </a:solidFill>
              <a:effectLst/>
              <a:latin typeface="+mn-lt"/>
              <a:ea typeface="Times New Roman"/>
              <a:cs typeface="+mn-cs"/>
            </a:rPr>
            <a:t>What are the key assumptions for the model QSDEP household?</a:t>
          </a:r>
        </a:p>
        <a:p>
          <a:pPr marL="0" indent="0">
            <a:spcAft>
              <a:spcPts val="300"/>
            </a:spcAft>
          </a:pPr>
          <a:r>
            <a:rPr lang="en-NZ" sz="1100">
              <a:solidFill>
                <a:srgbClr val="000000"/>
              </a:solidFill>
              <a:effectLst/>
              <a:latin typeface="+mn-lt"/>
              <a:ea typeface="Calibri"/>
              <a:cs typeface="+mn-cs"/>
            </a:rPr>
            <a:t>The QSDEP attempts to model a typical New Zealand household. The model customer has the following key attributes in each of the towns and cities where prices are surveyed:</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consume an average of around 22 kWh per day. This equates to an annual consumption of 8000 kWh.</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are on the current advertised prices for the plans surveyed by the Ministry for each retailer in each region. This represents the headline, publicly advertised retail plan for new customers for each retailer without a fixed term contract. For the modelled QSDEP customer using 8000 kWh in a year, this is always a ‘low user’ plan with low fixed charges.</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pay their bill on time and receive any available prompt payment discounts (including electronic or online only discounts).</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solely use electricity for their water heating and have a ripple controlled electricity meter.</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are on the most common, controlled, retail metering configuration in each town and city we monitor. The most common retail metering configurations are either</a:t>
          </a:r>
          <a:endParaRPr lang="en-NZ" sz="1100">
            <a:solidFill>
              <a:schemeClr val="dk1"/>
            </a:solidFill>
            <a:effectLst/>
            <a:latin typeface="+mn-lt"/>
            <a:ea typeface="Calibri"/>
          </a:endParaRPr>
        </a:p>
        <a:p>
          <a:pPr marL="628650" lvl="1" indent="-171450">
            <a:spcAft>
              <a:spcPts val="0"/>
            </a:spcAft>
            <a:buFont typeface="Courier New" panose="02070309020205020404" pitchFamily="49" charset="0"/>
            <a:buChar char="o"/>
            <a:tabLst>
              <a:tab pos="457200" algn="l"/>
            </a:tabLst>
          </a:pPr>
          <a:r>
            <a:rPr lang="en-NZ" sz="1100">
              <a:solidFill>
                <a:srgbClr val="000000"/>
              </a:solidFill>
              <a:effectLst/>
              <a:latin typeface="+mn-lt"/>
              <a:ea typeface="Calibri"/>
              <a:cs typeface="Times New Roman"/>
            </a:rPr>
            <a:t>All inclusive – customers are changed one rate for all electricity that is purchased accounting for the fact that usage for hot water is controlled.</a:t>
          </a:r>
          <a:endParaRPr lang="en-NZ" sz="1100">
            <a:solidFill>
              <a:schemeClr val="dk1"/>
            </a:solidFill>
            <a:effectLst/>
            <a:latin typeface="+mn-lt"/>
            <a:ea typeface="Calibri"/>
            <a:cs typeface="Times New Roman"/>
          </a:endParaRPr>
        </a:p>
        <a:p>
          <a:pPr marL="628650" lvl="1" indent="-171450">
            <a:spcAft>
              <a:spcPts val="0"/>
            </a:spcAft>
            <a:buFont typeface="Courier New" panose="02070309020205020404" pitchFamily="49" charset="0"/>
            <a:buChar char="o"/>
            <a:tabLst>
              <a:tab pos="457200" algn="l"/>
            </a:tabLst>
          </a:pPr>
          <a:r>
            <a:rPr lang="en-NZ" sz="1100">
              <a:solidFill>
                <a:srgbClr val="000000"/>
              </a:solidFill>
              <a:effectLst/>
              <a:latin typeface="+mn-lt"/>
              <a:ea typeface="Calibri"/>
              <a:cs typeface="Times New Roman"/>
            </a:rPr>
            <a:t>Uncontrolled/Controlled – electricity use for water is metered separately from other usage and controlled. We assume 60% of household demand is uncontrolled and 40% is controlled.</a:t>
          </a:r>
          <a:endParaRPr lang="en-NZ" sz="1100">
            <a:solidFill>
              <a:schemeClr val="dk1"/>
            </a:solidFill>
            <a:effectLst/>
            <a:latin typeface="+mn-lt"/>
            <a:ea typeface="Calibri"/>
            <a:cs typeface="Times New Roman"/>
          </a:endParaRPr>
        </a:p>
        <a:p>
          <a:pPr marL="628650" lvl="1" indent="-171450">
            <a:spcAft>
              <a:spcPts val="0"/>
            </a:spcAft>
            <a:buFont typeface="Courier New" panose="02070309020205020404" pitchFamily="49" charset="0"/>
            <a:buChar char="o"/>
            <a:tabLst>
              <a:tab pos="457200" algn="l"/>
            </a:tabLst>
          </a:pPr>
          <a:r>
            <a:rPr lang="en-NZ" sz="1100">
              <a:solidFill>
                <a:srgbClr val="000000"/>
              </a:solidFill>
              <a:effectLst/>
              <a:latin typeface="+mn-lt"/>
              <a:ea typeface="Calibri"/>
              <a:cs typeface="Times New Roman"/>
            </a:rPr>
            <a:t>Day/Night – electricity use is metered demanding on time of day, but hot water usage is still controlled. We assume 70% day and 30% night usage.</a:t>
          </a:r>
          <a:endParaRPr lang="en-NZ" sz="1100">
            <a:effectLst/>
            <a:latin typeface="+mn-lt"/>
            <a:ea typeface="Times New Roman"/>
            <a:cs typeface="Times New Roman"/>
          </a:endParaRPr>
        </a:p>
        <a:p>
          <a:pPr marL="0" indent="0">
            <a:spcBef>
              <a:spcPts val="600"/>
            </a:spcBef>
            <a:spcAft>
              <a:spcPts val="0"/>
            </a:spcAft>
          </a:pPr>
          <a:r>
            <a:rPr lang="en-NZ" sz="1200" b="1">
              <a:solidFill>
                <a:sysClr val="windowText" lastClr="000000"/>
              </a:solidFill>
              <a:effectLst/>
              <a:latin typeface="+mn-lt"/>
              <a:ea typeface="Times New Roman"/>
              <a:cs typeface="+mn-cs"/>
            </a:rPr>
            <a:t>How are regional average retail prices calculated for the report?</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For each retailer in each town or city, the Ministry calculates an average price based on the QSDEP model household based on data sourced from Consumer Powerswitch. This information is no longer published in the QSDEP report, as retailer specific price comparisons should be sourced directly from </a:t>
          </a:r>
          <a:r>
            <a:rPr lang="en-NZ" sz="1100">
              <a:effectLst/>
              <a:latin typeface="Calibri" panose="020F0502020204030204" pitchFamily="34" charset="0"/>
              <a:ea typeface="Calibri" panose="020F0502020204030204" pitchFamily="34" charset="0"/>
              <a:cs typeface="Times New Roman" panose="02020603050405020304" pitchFamily="18" charset="0"/>
            </a:rPr>
            <a:t>Consumer Powerswitch. </a:t>
          </a:r>
          <a:r>
            <a:rPr lang="en-NZ" sz="1100">
              <a:solidFill>
                <a:srgbClr val="000000"/>
              </a:solidFill>
              <a:effectLst/>
              <a:latin typeface="+mn-lt"/>
              <a:ea typeface="Calibri"/>
              <a:cs typeface="+mn-cs"/>
            </a:rPr>
            <a:t>See www.powerswitch.org.nz </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Market share information for individual lines pricing areas is obtained from the Electricity Authority’s Electricity Market Information (EMI) website. In the QSDEP report we use the EA latest report on “Market share trends by network reporting region”. </a:t>
          </a:r>
          <a:r>
            <a:rPr lang="en-NZ" sz="1100">
              <a:effectLst/>
              <a:latin typeface="Calibri" panose="020F0502020204030204" pitchFamily="34" charset="0"/>
              <a:ea typeface="Calibri" panose="020F0502020204030204" pitchFamily="34" charset="0"/>
              <a:cs typeface="Times New Roman" panose="02020603050405020304" pitchFamily="18" charset="0"/>
            </a:rPr>
            <a:t>This can be obtained at: www.emi.ea.govt.nz/Retail/Datasets/MarketStructure </a:t>
          </a:r>
          <a:r>
            <a:rPr lang="en-NZ" sz="1100">
              <a:solidFill>
                <a:srgbClr val="000000"/>
              </a:solidFill>
              <a:effectLst/>
              <a:latin typeface="+mn-lt"/>
              <a:ea typeface="Calibri"/>
              <a:cs typeface="+mn-cs"/>
            </a:rPr>
            <a:t>This market share information is based on ICP data which includes residential consumers, as well as commercial and industrial consumers. Approximately 87% of ICPs are residential customers.</a:t>
          </a:r>
        </a:p>
        <a:p>
          <a:pPr marL="0" indent="0">
            <a:spcBef>
              <a:spcPts val="600"/>
            </a:spcBef>
            <a:spcAft>
              <a:spcPts val="0"/>
            </a:spcAft>
          </a:pPr>
          <a:r>
            <a:rPr lang="en-NZ" sz="1200" b="1">
              <a:solidFill>
                <a:sysClr val="windowText" lastClr="000000"/>
              </a:solidFill>
              <a:effectLst/>
              <a:latin typeface="+mn-lt"/>
              <a:ea typeface="Times New Roman"/>
              <a:cs typeface="+mn-cs"/>
            </a:rPr>
            <a:t>How does the QSDEP report break down the retail price into a ‘Lines Component’ and an ‘Energy and Others Costs’ component?</a:t>
          </a:r>
        </a:p>
        <a:p>
          <a:pPr marL="0" indent="0">
            <a:spcAft>
              <a:spcPts val="300"/>
            </a:spcAft>
          </a:pPr>
          <a:r>
            <a:rPr lang="en-NZ" sz="1100">
              <a:solidFill>
                <a:srgbClr val="000000"/>
              </a:solidFill>
              <a:effectLst/>
              <a:latin typeface="+mn-lt"/>
              <a:ea typeface="Calibri"/>
              <a:cs typeface="+mn-cs"/>
            </a:rPr>
            <a:t>As part of the QSDEP we collect lines charge information separately for all electricity network companies through disclosures on their website. This information is used to calculate a ‘Lines Component’ of the total retail charge. The ‘Energy and Others Costs’ component is then calculated by subtracting the ‘Lines Component’ from the retail price (with the exception of ‘The Line Company TLC Limited’ which is the only lines company in New Zealand to directly bill residential consumers).</a:t>
          </a:r>
        </a:p>
        <a:p>
          <a:pPr marL="0" indent="0">
            <a:spcBef>
              <a:spcPts val="600"/>
            </a:spcBef>
            <a:spcAft>
              <a:spcPts val="0"/>
            </a:spcAft>
          </a:pPr>
          <a:r>
            <a:rPr lang="en-NZ" sz="1200" b="1">
              <a:solidFill>
                <a:sysClr val="windowText" lastClr="000000"/>
              </a:solidFill>
              <a:effectLst/>
              <a:latin typeface="+mn-lt"/>
              <a:ea typeface="Times New Roman"/>
              <a:cs typeface="+mn-cs"/>
            </a:rPr>
            <a:t>How does the QSDEP report break down the ‘Lines Component’ into a 'Transmission' and 'Distribution' component?</a:t>
          </a:r>
        </a:p>
        <a:p>
          <a:pPr marL="0" indent="0">
            <a:spcAft>
              <a:spcPts val="300"/>
            </a:spcAft>
          </a:pPr>
          <a:r>
            <a:rPr lang="en-NZ" sz="1100">
              <a:solidFill>
                <a:srgbClr val="000000"/>
              </a:solidFill>
              <a:effectLst/>
              <a:latin typeface="+mn-lt"/>
              <a:ea typeface="Calibri"/>
              <a:cs typeface="+mn-cs"/>
            </a:rPr>
            <a:t>Lines charges cover the cost of transmission, the cost of distribution on local lines networks, and other pass-through costs such as rates and levies. Information on the transmission portion of lines charges is taken from lines company pricing schedules, and in some cases direct advice from lines companies. This is used to break down the lines component into an estimated 'transmission component' (reflecting the cost of transmission), and a 'distribution component' (covering distribution network and other pass-through charges). For some areas the QSDEP estimated transmission component may include other pass-through charges and in these cases are not a true reflection of the actual cost of transmission.</a:t>
          </a:r>
        </a:p>
        <a:p>
          <a:pPr marL="0" indent="0">
            <a:spcBef>
              <a:spcPts val="600"/>
            </a:spcBef>
            <a:spcAft>
              <a:spcPts val="0"/>
            </a:spcAft>
          </a:pPr>
          <a:r>
            <a:rPr lang="en-NZ" sz="1200" b="1">
              <a:solidFill>
                <a:sysClr val="windowText" lastClr="000000"/>
              </a:solidFill>
              <a:effectLst/>
              <a:latin typeface="+mn-lt"/>
              <a:ea typeface="Times New Roman"/>
              <a:cs typeface="+mn-cs"/>
            </a:rPr>
            <a:t>Where are metering charges included?</a:t>
          </a:r>
        </a:p>
        <a:p>
          <a:pPr marL="0" indent="0">
            <a:spcAft>
              <a:spcPts val="300"/>
            </a:spcAft>
          </a:pPr>
          <a:r>
            <a:rPr lang="en-NZ" sz="1100">
              <a:solidFill>
                <a:srgbClr val="000000"/>
              </a:solidFill>
              <a:effectLst/>
              <a:latin typeface="+mn-lt"/>
              <a:ea typeface="Calibri"/>
              <a:cs typeface="+mn-cs"/>
            </a:rPr>
            <a:t>Metering charges are included in the ‘Energy and Others Costs’ component. For towns supplied by TLC Limited, the metering cost is still included under the ‘Energy and Others Costs’ even though it is usually billed by TLC Limited. This ensures consistent treatment of lines charges across line areas.</a:t>
          </a:r>
        </a:p>
        <a:p>
          <a:pPr marL="0" indent="0">
            <a:spcBef>
              <a:spcPts val="600"/>
            </a:spcBef>
            <a:spcAft>
              <a:spcPts val="0"/>
            </a:spcAft>
          </a:pPr>
          <a:r>
            <a:rPr lang="en-NZ" sz="1200" b="1">
              <a:solidFill>
                <a:sysClr val="windowText" lastClr="000000"/>
              </a:solidFill>
              <a:effectLst/>
              <a:latin typeface="+mn-lt"/>
              <a:ea typeface="Times New Roman"/>
              <a:cs typeface="+mn-cs"/>
            </a:rPr>
            <a:t>How is GST included?</a:t>
          </a:r>
        </a:p>
        <a:p>
          <a:pPr marL="0" indent="0">
            <a:spcAft>
              <a:spcPts val="300"/>
            </a:spcAft>
          </a:pPr>
          <a:r>
            <a:rPr lang="en-NZ" sz="1100">
              <a:solidFill>
                <a:srgbClr val="000000"/>
              </a:solidFill>
              <a:effectLst/>
              <a:latin typeface="+mn-lt"/>
              <a:ea typeface="Calibri"/>
              <a:cs typeface="+mn-cs"/>
            </a:rPr>
            <a:t>The total retail charge in each town or city is inclusive of GST. The ‘Lines Component’ and ‘Energy and Others Costs’ components are also inclusive of GST. As a consequence the proportion of the total bill that is lines charges versus other charges is the same as it would be if GST were excluded from both parts.</a:t>
          </a:r>
        </a:p>
        <a:p>
          <a:pPr marL="0" indent="0">
            <a:spcBef>
              <a:spcPts val="600"/>
            </a:spcBef>
            <a:spcAft>
              <a:spcPts val="0"/>
            </a:spcAft>
          </a:pPr>
          <a:r>
            <a:rPr lang="en-NZ" sz="1200" b="1">
              <a:solidFill>
                <a:sysClr val="windowText" lastClr="000000"/>
              </a:solidFill>
              <a:effectLst/>
              <a:latin typeface="+mn-lt"/>
              <a:ea typeface="Times New Roman"/>
              <a:cs typeface="+mn-cs"/>
            </a:rPr>
            <a:t>What about lines company discounts and energy trust distributions?</a:t>
          </a:r>
        </a:p>
        <a:p>
          <a:pPr marL="0" indent="0">
            <a:spcAft>
              <a:spcPts val="300"/>
            </a:spcAft>
          </a:pPr>
          <a:r>
            <a:rPr lang="en-NZ" sz="1100">
              <a:solidFill>
                <a:srgbClr val="000000"/>
              </a:solidFill>
              <a:effectLst/>
              <a:latin typeface="+mn-lt"/>
              <a:ea typeface="Calibri"/>
              <a:cs typeface="+mn-cs"/>
            </a:rPr>
            <a:t>The QSDEP report does not include any discounts or trust distributions which reflect consumer ownership in any of our retail or line price data series. This is the best way to consistently treat all lines company discounts and energy trust distributions equally in our consumer prices.</a:t>
          </a:r>
        </a:p>
        <a:p>
          <a:pPr marL="0" indent="0">
            <a:spcAft>
              <a:spcPts val="300"/>
            </a:spcAft>
          </a:pPr>
          <a:r>
            <a:rPr lang="en-NZ" sz="1100">
              <a:solidFill>
                <a:srgbClr val="000000"/>
              </a:solidFill>
              <a:effectLst/>
              <a:latin typeface="+mn-lt"/>
              <a:ea typeface="Calibri"/>
              <a:cs typeface="+mn-cs"/>
            </a:rPr>
            <a:t>However the QSDEP does include footnotes which identify the most recent information we have on additional discounts made by lines companies and energy trusts (currently for the year ending 31 March 2019) for the model QSDEP customer.</a:t>
          </a:r>
        </a:p>
        <a:p>
          <a:pPr marL="0" indent="0">
            <a:spcBef>
              <a:spcPts val="600"/>
            </a:spcBef>
            <a:spcAft>
              <a:spcPts val="0"/>
            </a:spcAft>
          </a:pPr>
          <a:r>
            <a:rPr lang="en-NZ" sz="1200" b="1">
              <a:solidFill>
                <a:sysClr val="windowText" lastClr="000000"/>
              </a:solidFill>
              <a:effectLst/>
              <a:latin typeface="+mn-lt"/>
              <a:ea typeface="Times New Roman"/>
              <a:cs typeface="+mn-cs"/>
            </a:rPr>
            <a:t>Would you like further information?</a:t>
          </a:r>
        </a:p>
        <a:p>
          <a:pPr marL="0" indent="0">
            <a:spcAft>
              <a:spcPts val="300"/>
            </a:spcAft>
          </a:pPr>
          <a:r>
            <a:rPr lang="en-NZ" sz="1100">
              <a:solidFill>
                <a:srgbClr val="000000"/>
              </a:solidFill>
              <a:effectLst/>
              <a:latin typeface="+mn-lt"/>
              <a:ea typeface="Calibri"/>
              <a:cs typeface="+mn-cs"/>
            </a:rPr>
            <a:t>Please see the more detailed document</a:t>
          </a:r>
          <a:r>
            <a:rPr lang="en-NZ" sz="1100" baseline="0">
              <a:solidFill>
                <a:srgbClr val="000000"/>
              </a:solidFill>
              <a:effectLst/>
              <a:latin typeface="+mn-lt"/>
              <a:ea typeface="Calibri"/>
              <a:cs typeface="+mn-cs"/>
            </a:rPr>
            <a:t> "Key Assumptions for the Quarterly Survey of Domestic Electricity Prices (QSDEP) — June 2020".</a:t>
          </a:r>
          <a:endParaRPr lang="en-NZ" sz="1100">
            <a:solidFill>
              <a:srgbClr val="000000"/>
            </a:solidFill>
            <a:effectLst/>
            <a:latin typeface="+mn-lt"/>
            <a:ea typeface="Calibri"/>
            <a:cs typeface="+mn-cs"/>
          </a:endParaRPr>
        </a:p>
        <a:p>
          <a:pPr marL="0" indent="0">
            <a:spcBef>
              <a:spcPts val="600"/>
            </a:spcBef>
            <a:spcAft>
              <a:spcPts val="0"/>
            </a:spcAft>
          </a:pPr>
          <a:r>
            <a:rPr lang="en-NZ" sz="1200" b="1">
              <a:solidFill>
                <a:sysClr val="windowText" lastClr="000000"/>
              </a:solidFill>
              <a:effectLst/>
              <a:latin typeface="+mn-lt"/>
              <a:ea typeface="Times New Roman"/>
              <a:cs typeface="+mn-cs"/>
            </a:rPr>
            <a:t>Important</a:t>
          </a:r>
        </a:p>
        <a:p>
          <a:pPr marL="0" indent="0">
            <a:spcAft>
              <a:spcPts val="300"/>
            </a:spcAft>
          </a:pPr>
          <a:r>
            <a:rPr lang="en-NZ" sz="1100">
              <a:solidFill>
                <a:srgbClr val="000000"/>
              </a:solidFill>
              <a:effectLst/>
              <a:latin typeface="+mn-lt"/>
              <a:ea typeface="Calibri"/>
              <a:cs typeface="+mn-cs"/>
            </a:rPr>
            <a:t>Although every attempt has been made to ensure the information in the report is accurate, neither the Crown nor any Minister, employee or agent of the Crown:</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warrants the accuracy, completeness or usefulness for any particular purpose of the information contained in this publication in paper or electronic form; or</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accepts any liability for any loss or damage, however caused, from the reliance on or use of that information or arising from the absence of information or any particular information in this publication in paper or electronic form.</a:t>
          </a:r>
        </a:p>
      </xdr:txBody>
    </xdr:sp>
    <xdr:clientData/>
  </xdr:twoCellAnchor>
  <xdr:oneCellAnchor>
    <xdr:from>
      <xdr:col>1</xdr:col>
      <xdr:colOff>157840</xdr:colOff>
      <xdr:row>2</xdr:row>
      <xdr:rowOff>0</xdr:rowOff>
    </xdr:from>
    <xdr:ext cx="3220360" cy="868250"/>
    <xdr:pic>
      <xdr:nvPicPr>
        <xdr:cNvPr id="5" name="Picture 4">
          <a:hlinkClick xmlns:r="http://schemas.openxmlformats.org/officeDocument/2006/relationships" r:id="rId1"/>
          <a:extLst>
            <a:ext uri="{FF2B5EF4-FFF2-40B4-BE49-F238E27FC236}">
              <a16:creationId xmlns:a16="http://schemas.microsoft.com/office/drawing/2014/main" id="{AE04F786-113D-4920-B14C-D0FDF18815E3}"/>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313415" y="342900"/>
          <a:ext cx="3220360" cy="868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358208</xdr:colOff>
      <xdr:row>2</xdr:row>
      <xdr:rowOff>0</xdr:rowOff>
    </xdr:from>
    <xdr:ext cx="1559492" cy="868250"/>
    <xdr:pic>
      <xdr:nvPicPr>
        <xdr:cNvPr id="6" name="Picture 5">
          <a:extLst>
            <a:ext uri="{FF2B5EF4-FFF2-40B4-BE49-F238E27FC236}">
              <a16:creationId xmlns:a16="http://schemas.microsoft.com/office/drawing/2014/main" id="{1DA917C7-C23A-43F8-90FC-D6266778497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8356033" y="342900"/>
          <a:ext cx="1559492" cy="868250"/>
        </a:xfrm>
        <a:prstGeom prst="rect">
          <a:avLst/>
        </a:prstGeom>
      </xdr:spPr>
    </xdr:pic>
    <xdr:clientData/>
  </xdr:oneCellAnchor>
  <xdr:twoCellAnchor>
    <xdr:from>
      <xdr:col>1</xdr:col>
      <xdr:colOff>180974</xdr:colOff>
      <xdr:row>10</xdr:row>
      <xdr:rowOff>0</xdr:rowOff>
    </xdr:from>
    <xdr:to>
      <xdr:col>17</xdr:col>
      <xdr:colOff>0</xdr:colOff>
      <xdr:row>81</xdr:row>
      <xdr:rowOff>0</xdr:rowOff>
    </xdr:to>
    <xdr:sp macro="" textlink="">
      <xdr:nvSpPr>
        <xdr:cNvPr id="7" name="TextBox 6">
          <a:extLst>
            <a:ext uri="{FF2B5EF4-FFF2-40B4-BE49-F238E27FC236}">
              <a16:creationId xmlns:a16="http://schemas.microsoft.com/office/drawing/2014/main" id="{BBAAE87B-4472-4CCE-A9FB-AF0A487C697B}"/>
            </a:ext>
          </a:extLst>
        </xdr:cNvPr>
        <xdr:cNvSpPr txBox="1"/>
      </xdr:nvSpPr>
      <xdr:spPr>
        <a:xfrm>
          <a:off x="336549" y="2076450"/>
          <a:ext cx="9578976" cy="1189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spcBef>
              <a:spcPts val="600"/>
            </a:spcBef>
            <a:spcAft>
              <a:spcPts val="0"/>
            </a:spcAft>
          </a:pPr>
          <a:r>
            <a:rPr lang="en-NZ" sz="1200" b="1">
              <a:solidFill>
                <a:sysClr val="windowText" lastClr="000000"/>
              </a:solidFill>
              <a:effectLst/>
              <a:latin typeface="+mn-lt"/>
              <a:ea typeface="Times New Roman"/>
              <a:cs typeface="+mn-cs"/>
            </a:rPr>
            <a:t>What does the QSDEP monitor?</a:t>
          </a:r>
        </a:p>
        <a:p>
          <a:pPr>
            <a:spcAft>
              <a:spcPts val="300"/>
            </a:spcAft>
          </a:pPr>
          <a:r>
            <a:rPr lang="en-NZ" sz="1100">
              <a:solidFill>
                <a:srgbClr val="000000"/>
              </a:solidFill>
              <a:effectLst/>
              <a:latin typeface="+mn-lt"/>
              <a:ea typeface="Calibri"/>
            </a:rPr>
            <a:t>The QSDEP monitors tariffs publicly advertised in the retail electricity market on a particular date. This provides a handy indicator of how price changes may impact on consumers. However, it does not reflect what customers have actually paid for electricity in any particular period, as the QSDEP only models one type of customer in each city or town, when in reality, consumption and pricing plans vary significantly across households. </a:t>
          </a:r>
          <a:endParaRPr lang="en-NZ" sz="1100">
            <a:effectLst/>
            <a:latin typeface="+mn-lt"/>
            <a:ea typeface="Times New Roman"/>
          </a:endParaRPr>
        </a:p>
        <a:p>
          <a:pPr>
            <a:spcAft>
              <a:spcPts val="300"/>
            </a:spcAft>
          </a:pPr>
          <a:r>
            <a:rPr lang="en-NZ" sz="1100">
              <a:solidFill>
                <a:srgbClr val="000000"/>
              </a:solidFill>
              <a:effectLst/>
              <a:latin typeface="+mn-lt"/>
              <a:ea typeface="Calibri"/>
            </a:rPr>
            <a:t>For information on what households have actually paid for electricity over time, please see the Ministry’s sales-based electricity costs. Sales-based data reflects all discounts actually received by consumers, such as prompt payment, multi-fuel and online discounts, incentive and retention payments, and rates paid by customers on fixed-term plans.</a:t>
          </a:r>
        </a:p>
        <a:p>
          <a:pPr marL="0" indent="0">
            <a:spcBef>
              <a:spcPts val="600"/>
            </a:spcBef>
            <a:spcAft>
              <a:spcPts val="0"/>
            </a:spcAft>
          </a:pPr>
          <a:r>
            <a:rPr lang="en-NZ" sz="1200" b="1">
              <a:solidFill>
                <a:sysClr val="windowText" lastClr="000000"/>
              </a:solidFill>
              <a:effectLst/>
              <a:latin typeface="+mn-lt"/>
              <a:ea typeface="Times New Roman"/>
              <a:cs typeface="+mn-cs"/>
            </a:rPr>
            <a:t>What are the key assumptions for the model QSDEP household?</a:t>
          </a:r>
        </a:p>
        <a:p>
          <a:pPr marL="0" indent="0">
            <a:spcAft>
              <a:spcPts val="300"/>
            </a:spcAft>
          </a:pPr>
          <a:r>
            <a:rPr lang="en-NZ" sz="1100">
              <a:solidFill>
                <a:srgbClr val="000000"/>
              </a:solidFill>
              <a:effectLst/>
              <a:latin typeface="+mn-lt"/>
              <a:ea typeface="Calibri"/>
              <a:cs typeface="+mn-cs"/>
            </a:rPr>
            <a:t>The QSDEP attempts to model a typical New Zealand household. The model customer has the following key attributes in each of the towns and cities where prices are surveyed:</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consume an average of around 22 kWh per day. This equates to an annual consumption of 8000 kWh.</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are on the current advertised prices for the plans surveyed by the Ministry for each retailer in each region. This represents the headline, publicly advertised retail plan for new customers for each retailer without a fixed term contract. For the modelled QSDEP customer using 8000 kWh in a year, this is always a ‘low user’ plan with low fixed charges.</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pay their bill on time and receive any available prompt payment discounts (including electronic or online only discounts).</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solely use electricity for their water heating and have a ripple controlled electricity meter.</a:t>
          </a:r>
          <a:endParaRPr lang="en-NZ" sz="1100">
            <a:effectLst/>
            <a:latin typeface="+mn-lt"/>
            <a:ea typeface="Times New Roman"/>
          </a:endParaRP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rPr>
            <a:t>They are on the most common, controlled, retail metering configuration in each town and city we monitor. The most common retail metering configurations are either</a:t>
          </a:r>
          <a:endParaRPr lang="en-NZ" sz="1100">
            <a:solidFill>
              <a:schemeClr val="dk1"/>
            </a:solidFill>
            <a:effectLst/>
            <a:latin typeface="+mn-lt"/>
            <a:ea typeface="Calibri"/>
          </a:endParaRPr>
        </a:p>
        <a:p>
          <a:pPr marL="628650" lvl="1" indent="-171450">
            <a:spcAft>
              <a:spcPts val="0"/>
            </a:spcAft>
            <a:buFont typeface="Courier New" panose="02070309020205020404" pitchFamily="49" charset="0"/>
            <a:buChar char="o"/>
            <a:tabLst>
              <a:tab pos="457200" algn="l"/>
            </a:tabLst>
          </a:pPr>
          <a:r>
            <a:rPr lang="en-NZ" sz="1100">
              <a:solidFill>
                <a:srgbClr val="000000"/>
              </a:solidFill>
              <a:effectLst/>
              <a:latin typeface="+mn-lt"/>
              <a:ea typeface="Calibri"/>
              <a:cs typeface="Times New Roman"/>
            </a:rPr>
            <a:t>All inclusive – customers are changed one rate for all electricity that is purchased accounting for the fact that usage for hot water is controlled.</a:t>
          </a:r>
          <a:endParaRPr lang="en-NZ" sz="1100">
            <a:solidFill>
              <a:schemeClr val="dk1"/>
            </a:solidFill>
            <a:effectLst/>
            <a:latin typeface="+mn-lt"/>
            <a:ea typeface="Calibri"/>
            <a:cs typeface="Times New Roman"/>
          </a:endParaRPr>
        </a:p>
        <a:p>
          <a:pPr marL="628650" lvl="1" indent="-171450">
            <a:spcAft>
              <a:spcPts val="0"/>
            </a:spcAft>
            <a:buFont typeface="Courier New" panose="02070309020205020404" pitchFamily="49" charset="0"/>
            <a:buChar char="o"/>
            <a:tabLst>
              <a:tab pos="457200" algn="l"/>
            </a:tabLst>
          </a:pPr>
          <a:r>
            <a:rPr lang="en-NZ" sz="1100">
              <a:solidFill>
                <a:srgbClr val="000000"/>
              </a:solidFill>
              <a:effectLst/>
              <a:latin typeface="+mn-lt"/>
              <a:ea typeface="Calibri"/>
              <a:cs typeface="Times New Roman"/>
            </a:rPr>
            <a:t>Uncontrolled/Controlled – electricity use for water is metered separately from other usage and controlled. We assume 60% of household demand is uncontrolled and 40% is controlled.</a:t>
          </a:r>
          <a:endParaRPr lang="en-NZ" sz="1100">
            <a:solidFill>
              <a:schemeClr val="dk1"/>
            </a:solidFill>
            <a:effectLst/>
            <a:latin typeface="+mn-lt"/>
            <a:ea typeface="Calibri"/>
            <a:cs typeface="Times New Roman"/>
          </a:endParaRPr>
        </a:p>
        <a:p>
          <a:pPr marL="628650" lvl="1" indent="-171450">
            <a:spcAft>
              <a:spcPts val="0"/>
            </a:spcAft>
            <a:buFont typeface="Courier New" panose="02070309020205020404" pitchFamily="49" charset="0"/>
            <a:buChar char="o"/>
            <a:tabLst>
              <a:tab pos="457200" algn="l"/>
            </a:tabLst>
          </a:pPr>
          <a:r>
            <a:rPr lang="en-NZ" sz="1100">
              <a:solidFill>
                <a:srgbClr val="000000"/>
              </a:solidFill>
              <a:effectLst/>
              <a:latin typeface="+mn-lt"/>
              <a:ea typeface="Calibri"/>
              <a:cs typeface="Times New Roman"/>
            </a:rPr>
            <a:t>Day/Night – electricity use is metered demanding on time of day, but hot water usage is still controlled. We assume 70% day and 30% night usage.</a:t>
          </a:r>
          <a:endParaRPr lang="en-NZ" sz="1100">
            <a:effectLst/>
            <a:latin typeface="+mn-lt"/>
            <a:ea typeface="Times New Roman"/>
            <a:cs typeface="Times New Roman"/>
          </a:endParaRPr>
        </a:p>
        <a:p>
          <a:pPr marL="0" indent="0">
            <a:spcBef>
              <a:spcPts val="600"/>
            </a:spcBef>
            <a:spcAft>
              <a:spcPts val="0"/>
            </a:spcAft>
          </a:pPr>
          <a:r>
            <a:rPr lang="en-NZ" sz="1200" b="1">
              <a:solidFill>
                <a:sysClr val="windowText" lastClr="000000"/>
              </a:solidFill>
              <a:effectLst/>
              <a:latin typeface="+mn-lt"/>
              <a:ea typeface="Times New Roman"/>
              <a:cs typeface="+mn-cs"/>
            </a:rPr>
            <a:t>How are regional average retail prices calculated for the report?</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For each retailer in each town or city, the Ministry calculates an average price based on the QSDEP model household based on data sourced from Consumer Powerswitch. This information is no longer published in the QSDEP report, as retailer specific price comparisons should be sourced directly from </a:t>
          </a:r>
          <a:r>
            <a:rPr lang="en-NZ" sz="1100">
              <a:effectLst/>
              <a:latin typeface="Calibri" panose="020F0502020204030204" pitchFamily="34" charset="0"/>
              <a:ea typeface="Calibri" panose="020F0502020204030204" pitchFamily="34" charset="0"/>
              <a:cs typeface="Times New Roman" panose="02020603050405020304" pitchFamily="18" charset="0"/>
            </a:rPr>
            <a:t>Consumer Powerswitch. </a:t>
          </a:r>
          <a:r>
            <a:rPr lang="en-NZ" sz="1100">
              <a:solidFill>
                <a:srgbClr val="000000"/>
              </a:solidFill>
              <a:effectLst/>
              <a:latin typeface="+mn-lt"/>
              <a:ea typeface="Calibri"/>
              <a:cs typeface="+mn-cs"/>
            </a:rPr>
            <a:t>See www.powerswitch.org.nz </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Market share information for individual lines pricing areas is obtained from the Electricity Authority’s Electricity Market Information (EMI) website. In the QSDEP report we use the EA latest report on “Market share trends by network reporting region”. </a:t>
          </a:r>
          <a:r>
            <a:rPr lang="en-NZ" sz="1100">
              <a:effectLst/>
              <a:latin typeface="Calibri" panose="020F0502020204030204" pitchFamily="34" charset="0"/>
              <a:ea typeface="Calibri" panose="020F0502020204030204" pitchFamily="34" charset="0"/>
              <a:cs typeface="Times New Roman" panose="02020603050405020304" pitchFamily="18" charset="0"/>
            </a:rPr>
            <a:t>This can be obtained at: www.emi.ea.govt.nz/Retail/Datasets/MarketStructure </a:t>
          </a:r>
          <a:r>
            <a:rPr lang="en-NZ" sz="1100">
              <a:solidFill>
                <a:srgbClr val="000000"/>
              </a:solidFill>
              <a:effectLst/>
              <a:latin typeface="+mn-lt"/>
              <a:ea typeface="Calibri"/>
              <a:cs typeface="+mn-cs"/>
            </a:rPr>
            <a:t>This market share information is based on ICP data which includes residential consumers, as well as commercial and industrial consumers. Approximately 87% of ICPs are residential customers.</a:t>
          </a:r>
        </a:p>
        <a:p>
          <a:pPr marL="0" indent="0">
            <a:spcBef>
              <a:spcPts val="600"/>
            </a:spcBef>
            <a:spcAft>
              <a:spcPts val="0"/>
            </a:spcAft>
          </a:pPr>
          <a:r>
            <a:rPr lang="en-NZ" sz="1200" b="1">
              <a:solidFill>
                <a:sysClr val="windowText" lastClr="000000"/>
              </a:solidFill>
              <a:effectLst/>
              <a:latin typeface="+mn-lt"/>
              <a:ea typeface="Times New Roman"/>
              <a:cs typeface="+mn-cs"/>
            </a:rPr>
            <a:t>How does the QSDEP report break down the retail price into a ‘Lines Component’ and an ‘Energy and Others Costs’ component?</a:t>
          </a:r>
        </a:p>
        <a:p>
          <a:pPr marL="0" indent="0">
            <a:spcAft>
              <a:spcPts val="300"/>
            </a:spcAft>
          </a:pPr>
          <a:r>
            <a:rPr lang="en-NZ" sz="1100">
              <a:solidFill>
                <a:srgbClr val="000000"/>
              </a:solidFill>
              <a:effectLst/>
              <a:latin typeface="+mn-lt"/>
              <a:ea typeface="Calibri"/>
              <a:cs typeface="+mn-cs"/>
            </a:rPr>
            <a:t>As part of the QSDEP we collect lines charge information separately for all electricity network companies through disclosures on their website. This information is used to calculate a ‘Lines Component’ of the total retail charge. The ‘Energy and Others Costs’ component is then calculated by subtracting the ‘Lines Component’ from the retail price (with the exception of ‘The Line Company TLC Limited’ which is the only lines company in New Zealand to directly bill residential consumers).</a:t>
          </a:r>
        </a:p>
        <a:p>
          <a:pPr marL="0" indent="0">
            <a:spcBef>
              <a:spcPts val="600"/>
            </a:spcBef>
            <a:spcAft>
              <a:spcPts val="0"/>
            </a:spcAft>
          </a:pPr>
          <a:r>
            <a:rPr lang="en-NZ" sz="1200" b="1">
              <a:solidFill>
                <a:sysClr val="windowText" lastClr="000000"/>
              </a:solidFill>
              <a:effectLst/>
              <a:latin typeface="+mn-lt"/>
              <a:ea typeface="Times New Roman"/>
              <a:cs typeface="+mn-cs"/>
            </a:rPr>
            <a:t>How does the QSDEP report break down the ‘Lines Component’ into a 'Transmission' and 'Distribution' component?</a:t>
          </a:r>
        </a:p>
        <a:p>
          <a:pPr marL="0" indent="0">
            <a:spcAft>
              <a:spcPts val="300"/>
            </a:spcAft>
          </a:pPr>
          <a:r>
            <a:rPr lang="en-NZ" sz="1100">
              <a:solidFill>
                <a:srgbClr val="000000"/>
              </a:solidFill>
              <a:effectLst/>
              <a:latin typeface="+mn-lt"/>
              <a:ea typeface="Calibri"/>
              <a:cs typeface="+mn-cs"/>
            </a:rPr>
            <a:t>Lines charges cover the cost of transmission, the cost of distribution on local lines networks, and other pass-through costs such as rates and levies. Information on the transmission portion of lines charges is taken from lines company pricing schedules, and in some cases direct advice from lines companies. This is used to break down the lines component into an estimated 'transmission component' (reflecting the cost of transmission), and a 'distribution component' (covering distribution network and other pass-through charges). For some areas the QSDEP estimated transmission component may include other pass-through charges and in these cases are not a true reflection of the actual cost of transmission.</a:t>
          </a:r>
        </a:p>
        <a:p>
          <a:pPr marL="0" indent="0">
            <a:spcBef>
              <a:spcPts val="600"/>
            </a:spcBef>
            <a:spcAft>
              <a:spcPts val="0"/>
            </a:spcAft>
          </a:pPr>
          <a:r>
            <a:rPr lang="en-NZ" sz="1200" b="1">
              <a:solidFill>
                <a:sysClr val="windowText" lastClr="000000"/>
              </a:solidFill>
              <a:effectLst/>
              <a:latin typeface="+mn-lt"/>
              <a:ea typeface="Times New Roman"/>
              <a:cs typeface="+mn-cs"/>
            </a:rPr>
            <a:t>Where are metering charges included?</a:t>
          </a:r>
        </a:p>
        <a:p>
          <a:pPr marL="0" indent="0">
            <a:spcAft>
              <a:spcPts val="300"/>
            </a:spcAft>
          </a:pPr>
          <a:r>
            <a:rPr lang="en-NZ" sz="1100">
              <a:solidFill>
                <a:srgbClr val="000000"/>
              </a:solidFill>
              <a:effectLst/>
              <a:latin typeface="+mn-lt"/>
              <a:ea typeface="Calibri"/>
              <a:cs typeface="+mn-cs"/>
            </a:rPr>
            <a:t>Metering charges are included in the ‘Energy and Others Costs’ component. For towns supplied by TLC Limited, the metering cost is still included under the ‘Energy and Others Costs’ even though it is usually billed by TLC Limited. This ensures consistent treatment of lines charges across line areas.</a:t>
          </a:r>
        </a:p>
        <a:p>
          <a:pPr marL="0" indent="0">
            <a:spcBef>
              <a:spcPts val="600"/>
            </a:spcBef>
            <a:spcAft>
              <a:spcPts val="0"/>
            </a:spcAft>
          </a:pPr>
          <a:r>
            <a:rPr lang="en-NZ" sz="1200" b="1">
              <a:solidFill>
                <a:sysClr val="windowText" lastClr="000000"/>
              </a:solidFill>
              <a:effectLst/>
              <a:latin typeface="+mn-lt"/>
              <a:ea typeface="Times New Roman"/>
              <a:cs typeface="+mn-cs"/>
            </a:rPr>
            <a:t>How is GST included?</a:t>
          </a:r>
        </a:p>
        <a:p>
          <a:pPr marL="0" indent="0">
            <a:spcAft>
              <a:spcPts val="300"/>
            </a:spcAft>
          </a:pPr>
          <a:r>
            <a:rPr lang="en-NZ" sz="1100">
              <a:solidFill>
                <a:srgbClr val="000000"/>
              </a:solidFill>
              <a:effectLst/>
              <a:latin typeface="+mn-lt"/>
              <a:ea typeface="Calibri"/>
              <a:cs typeface="+mn-cs"/>
            </a:rPr>
            <a:t>The total retail charge in each town or city is inclusive of GST. The ‘Lines Component’ and ‘Energy and Others Costs’ components are also inclusive of GST. As a consequence the proportion of the total bill that is lines charges versus other charges is the same as it would be if GST were excluded from both parts.</a:t>
          </a:r>
        </a:p>
        <a:p>
          <a:pPr marL="0" indent="0">
            <a:spcBef>
              <a:spcPts val="600"/>
            </a:spcBef>
            <a:spcAft>
              <a:spcPts val="0"/>
            </a:spcAft>
          </a:pPr>
          <a:r>
            <a:rPr lang="en-NZ" sz="1200" b="1">
              <a:solidFill>
                <a:sysClr val="windowText" lastClr="000000"/>
              </a:solidFill>
              <a:effectLst/>
              <a:latin typeface="+mn-lt"/>
              <a:ea typeface="Times New Roman"/>
              <a:cs typeface="+mn-cs"/>
            </a:rPr>
            <a:t>What about lines company discounts and energy trust distributions?</a:t>
          </a:r>
        </a:p>
        <a:p>
          <a:pPr marL="0" indent="0">
            <a:spcAft>
              <a:spcPts val="300"/>
            </a:spcAft>
          </a:pPr>
          <a:r>
            <a:rPr lang="en-NZ" sz="1100">
              <a:solidFill>
                <a:srgbClr val="000000"/>
              </a:solidFill>
              <a:effectLst/>
              <a:latin typeface="+mn-lt"/>
              <a:ea typeface="Calibri"/>
              <a:cs typeface="+mn-cs"/>
            </a:rPr>
            <a:t>The QSDEP report does not include any discounts or trust distributions which reflect consumer ownership in any of our retail or line price data series. This is the best way to consistently treat all lines company discounts and energy trust distributions equally in our consumer prices.</a:t>
          </a:r>
        </a:p>
        <a:p>
          <a:pPr marL="0" indent="0">
            <a:spcAft>
              <a:spcPts val="300"/>
            </a:spcAft>
          </a:pPr>
          <a:r>
            <a:rPr lang="en-NZ" sz="1100">
              <a:solidFill>
                <a:srgbClr val="000000"/>
              </a:solidFill>
              <a:effectLst/>
              <a:latin typeface="+mn-lt"/>
              <a:ea typeface="Calibri"/>
              <a:cs typeface="+mn-cs"/>
            </a:rPr>
            <a:t>However the QSDEP does include footnotes which identify the most recent information we have on additional discounts made by lines companies and energy trusts (currently for the year ending 31 March 2019) for the model QSDEP customer.</a:t>
          </a:r>
        </a:p>
        <a:p>
          <a:pPr marL="0" indent="0">
            <a:spcBef>
              <a:spcPts val="600"/>
            </a:spcBef>
            <a:spcAft>
              <a:spcPts val="0"/>
            </a:spcAft>
          </a:pPr>
          <a:r>
            <a:rPr lang="en-NZ" sz="1200" b="1">
              <a:solidFill>
                <a:sysClr val="windowText" lastClr="000000"/>
              </a:solidFill>
              <a:effectLst/>
              <a:latin typeface="+mn-lt"/>
              <a:ea typeface="Times New Roman"/>
              <a:cs typeface="+mn-cs"/>
            </a:rPr>
            <a:t>Would you like further information?</a:t>
          </a:r>
        </a:p>
        <a:p>
          <a:pPr marL="0" indent="0">
            <a:spcAft>
              <a:spcPts val="300"/>
            </a:spcAft>
          </a:pPr>
          <a:r>
            <a:rPr lang="en-NZ" sz="1100">
              <a:solidFill>
                <a:srgbClr val="000000"/>
              </a:solidFill>
              <a:effectLst/>
              <a:latin typeface="+mn-lt"/>
              <a:ea typeface="Calibri"/>
              <a:cs typeface="+mn-cs"/>
            </a:rPr>
            <a:t>Please see the more detailed document</a:t>
          </a:r>
          <a:r>
            <a:rPr lang="en-NZ" sz="1100" baseline="0">
              <a:solidFill>
                <a:srgbClr val="000000"/>
              </a:solidFill>
              <a:effectLst/>
              <a:latin typeface="+mn-lt"/>
              <a:ea typeface="Calibri"/>
              <a:cs typeface="+mn-cs"/>
            </a:rPr>
            <a:t> "Key Assumptions for the Quarterly Survey of Domestic Electricity Prices (QSDEP) — June 2020".</a:t>
          </a:r>
          <a:endParaRPr lang="en-NZ" sz="1100">
            <a:solidFill>
              <a:srgbClr val="000000"/>
            </a:solidFill>
            <a:effectLst/>
            <a:latin typeface="+mn-lt"/>
            <a:ea typeface="Calibri"/>
            <a:cs typeface="+mn-cs"/>
          </a:endParaRPr>
        </a:p>
        <a:p>
          <a:pPr marL="0" indent="0">
            <a:spcBef>
              <a:spcPts val="600"/>
            </a:spcBef>
            <a:spcAft>
              <a:spcPts val="0"/>
            </a:spcAft>
          </a:pPr>
          <a:r>
            <a:rPr lang="en-NZ" sz="1200" b="1">
              <a:solidFill>
                <a:sysClr val="windowText" lastClr="000000"/>
              </a:solidFill>
              <a:effectLst/>
              <a:latin typeface="+mn-lt"/>
              <a:ea typeface="Times New Roman"/>
              <a:cs typeface="+mn-cs"/>
            </a:rPr>
            <a:t>Important</a:t>
          </a:r>
        </a:p>
        <a:p>
          <a:pPr marL="0" indent="0">
            <a:spcAft>
              <a:spcPts val="300"/>
            </a:spcAft>
          </a:pPr>
          <a:r>
            <a:rPr lang="en-NZ" sz="1100">
              <a:solidFill>
                <a:srgbClr val="000000"/>
              </a:solidFill>
              <a:effectLst/>
              <a:latin typeface="+mn-lt"/>
              <a:ea typeface="Calibri"/>
              <a:cs typeface="+mn-cs"/>
            </a:rPr>
            <a:t>Although every attempt has been made to ensure the information in the report is accurate, neither the Crown nor any Minister, employee or agent of the Crown:</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warrants the accuracy, completeness or usefulness for any particular purpose of the information contained in this publication in paper or electronic form; or</a:t>
          </a:r>
        </a:p>
        <a:p>
          <a:pPr marL="171450" lvl="0" indent="-171450">
            <a:spcAft>
              <a:spcPts val="0"/>
            </a:spcAft>
            <a:buFont typeface="Calibri" panose="020F0502020204030204" pitchFamily="34" charset="0"/>
            <a:buChar char="•"/>
            <a:tabLst>
              <a:tab pos="457200" algn="l"/>
            </a:tabLst>
          </a:pPr>
          <a:r>
            <a:rPr lang="en-NZ" sz="1100">
              <a:solidFill>
                <a:srgbClr val="000000"/>
              </a:solidFill>
              <a:effectLst/>
              <a:latin typeface="+mn-lt"/>
              <a:ea typeface="Calibri"/>
              <a:cs typeface="+mn-cs"/>
            </a:rPr>
            <a:t>accepts any liability for any loss or damage, however caused, from the reliance on or use of that information or arising from the absence of information or any particular information in this publication in paper or electronic form.</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28014</xdr:colOff>
      <xdr:row>0</xdr:row>
      <xdr:rowOff>0</xdr:rowOff>
    </xdr:from>
    <xdr:to>
      <xdr:col>2</xdr:col>
      <xdr:colOff>950168</xdr:colOff>
      <xdr:row>2</xdr:row>
      <xdr:rowOff>162175</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16344" b="16344"/>
        <a:stretch/>
      </xdr:blipFill>
      <xdr:spPr bwMode="auto">
        <a:xfrm>
          <a:off x="1171014" y="571500"/>
          <a:ext cx="2737507" cy="5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406321</xdr:colOff>
      <xdr:row>0</xdr:row>
      <xdr:rowOff>0</xdr:rowOff>
    </xdr:from>
    <xdr:to>
      <xdr:col>16</xdr:col>
      <xdr:colOff>0</xdr:colOff>
      <xdr:row>2</xdr:row>
      <xdr:rowOff>162175</xdr:rowOff>
    </xdr:to>
    <xdr:pic>
      <xdr:nvPicPr>
        <xdr:cNvPr id="3" name="Picture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11556174" y="571500"/>
          <a:ext cx="882355" cy="540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072C8CEE-344B-42D9-A121-550E1A0F5243}" autoFormatId="16" applyNumberFormats="0" applyBorderFormats="0" applyFontFormats="0" applyPatternFormats="0" applyAlignmentFormats="0" applyWidthHeightFormats="0">
  <queryTableRefresh nextId="5">
    <queryTableFields count="4">
      <queryTableField id="1" name="Town" tableColumnId="1"/>
      <queryTableField id="2" name="Date" tableColumnId="2"/>
      <queryTableField id="3" name="Price_c_kWh" tableColumnId="3"/>
      <queryTableField id="4" name="Componen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0C79A08-F975-4B44-9D54-3C5163606A00}" autoFormatId="16" applyNumberFormats="0" applyBorderFormats="0" applyFontFormats="0" applyPatternFormats="0" applyAlignmentFormats="0" applyWidthHeightFormats="0">
  <queryTableRefresh nextId="4">
    <queryTableFields count="3">
      <queryTableField id="1" name="Quarter" tableColumnId="1"/>
      <queryTableField id="2" name="CPI_Index" tableColumnId="2"/>
      <queryTableField id="3" name="QSDEP_Dat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404DC8-9AEB-4C23-83B8-7451B66ED4DE}" name="qsdep_long" displayName="qsdep_long" ref="A1:D4000" tableType="queryTable" totalsRowShown="0">
  <autoFilter ref="A1:D4000" xr:uid="{FB404DC8-9AEB-4C23-83B8-7451B66ED4DE}"/>
  <tableColumns count="4">
    <tableColumn id="1" xr3:uid="{8C8AABC9-51F1-415D-B67E-124E1ADB4D3E}" uniqueName="1" name="Town" queryTableFieldId="1" dataDxfId="292"/>
    <tableColumn id="2" xr3:uid="{9D6C6DDC-A61A-447A-9C80-21E2C9A10A78}" uniqueName="2" name="Date" queryTableFieldId="2" dataDxfId="291"/>
    <tableColumn id="3" xr3:uid="{94B75EEF-50DE-46C2-965E-EF5894FA1108}" uniqueName="3" name="Price_c_kWh" queryTableFieldId="3"/>
    <tableColumn id="4" xr3:uid="{8F517E70-8C69-4725-95B9-8678CEF76C1F}" uniqueName="4" name="Component" queryTableFieldId="4" dataDxfId="29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647CFD-BA4C-4184-B0D2-3A47B92BD94C}" name="q_CPI" displayName="q_CPI" ref="A1:C32" tableType="queryTable" totalsRowShown="0">
  <autoFilter ref="A1:C32" xr:uid="{FF647CFD-BA4C-4184-B0D2-3A47B92BD94C}"/>
  <tableColumns count="3">
    <tableColumn id="1" xr3:uid="{D3A8B035-7010-40A3-8840-4B4D648749EC}" uniqueName="1" name="Quarter" queryTableFieldId="1" dataDxfId="289"/>
    <tableColumn id="2" xr3:uid="{B73D59C4-944B-457F-8143-413D9EE73E1B}" uniqueName="2" name="CPI_Index" queryTableFieldId="2"/>
    <tableColumn id="3" xr3:uid="{52599EA2-D46F-49F1-A942-2524339C2281}" uniqueName="3" name="QSDEP_Date" queryTableFieldId="3" dataDxfId="28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353194-E0E9-4E36-84EB-7764A0D72FA1}" name="tbl_Retail" displayName="tbl_Retail" ref="A1:CN44" totalsRowShown="0" headerRowDxfId="287" dataDxfId="286" dataCellStyle="Comma">
  <autoFilter ref="A1:CN44" xr:uid="{41353194-E0E9-4E36-84EB-7764A0D72FA1}"/>
  <tableColumns count="92">
    <tableColumn id="1" xr3:uid="{107DE576-A926-4371-A1C0-FF96877343EB}" name="Retail (c/kWh)"/>
    <tableColumn id="2" xr3:uid="{60849078-EAB9-421A-8982-440BEF876ED8}" name="15-Feb-04" dataDxfId="285" dataCellStyle="Comma"/>
    <tableColumn id="3" xr3:uid="{5C5258F3-A6AD-4DA9-9D19-460A7A0E8535}" name="15-May-04" dataDxfId="284" dataCellStyle="Comma"/>
    <tableColumn id="4" xr3:uid="{389BCF70-43EC-4EB8-BD2D-153D42EFB556}" name="15-Aug-04" dataDxfId="283" dataCellStyle="Comma"/>
    <tableColumn id="5" xr3:uid="{E066C3CD-7CA3-4A18-BA34-872C2AD30977}" name="15-Nov-04" dataDxfId="282" dataCellStyle="Comma"/>
    <tableColumn id="6" xr3:uid="{E9E43A4F-5502-43F3-BBD5-AE29503D139A}" name="15-Feb-05" dataDxfId="281" dataCellStyle="Comma"/>
    <tableColumn id="7" xr3:uid="{5FC70FA2-F5F4-4C1B-A3EC-554B7C653081}" name="15-May-05" dataDxfId="280" dataCellStyle="Comma"/>
    <tableColumn id="8" xr3:uid="{A1EAB557-AE0E-497C-A0E9-9C128DD1EF71}" name="15-Aug-05" dataDxfId="279" dataCellStyle="Comma"/>
    <tableColumn id="9" xr3:uid="{675991CB-300B-49D7-8F2F-BF6D28D6CAAB}" name="15-Nov-05" dataDxfId="278" dataCellStyle="Comma"/>
    <tableColumn id="10" xr3:uid="{2E4D144F-AEA2-4185-8A46-AE72B46073B0}" name="15-Feb-06" dataDxfId="277" dataCellStyle="Comma"/>
    <tableColumn id="11" xr3:uid="{66D8134E-4E8A-4A54-855C-8F8E33AD7D78}" name="15-May-06" dataDxfId="276" dataCellStyle="Comma"/>
    <tableColumn id="12" xr3:uid="{C5547CB0-BE11-419D-828A-63E5AEC02178}" name="15-Aug-06" dataDxfId="275" dataCellStyle="Comma"/>
    <tableColumn id="13" xr3:uid="{3085AD60-3063-427B-8D18-F48945FA9238}" name="15-Nov-06" dataDxfId="274" dataCellStyle="Comma"/>
    <tableColumn id="14" xr3:uid="{33392E7F-D8DF-4578-B171-EFD11E4E3CC9}" name="15-Feb-07" dataDxfId="273" dataCellStyle="Comma"/>
    <tableColumn id="15" xr3:uid="{ACF64F30-AB1C-4A94-AD9E-54B20742D71E}" name="15-May-07" dataDxfId="272" dataCellStyle="Comma"/>
    <tableColumn id="16" xr3:uid="{D5B90398-B0EB-487C-AE89-5768578305E5}" name="15-Aug-07" dataDxfId="271" dataCellStyle="Comma"/>
    <tableColumn id="17" xr3:uid="{5F24DE9E-DF4A-446D-88B3-39F9A0639891}" name="15-Nov-07" dataDxfId="270" dataCellStyle="Comma"/>
    <tableColumn id="18" xr3:uid="{10C90AB7-2C7C-43EF-A5BB-C49BFF0C6AC1}" name="15-Feb-08" dataDxfId="269" dataCellStyle="Comma"/>
    <tableColumn id="19" xr3:uid="{F5F0AB88-0E2B-40F4-8CDD-9E8DF4D3C423}" name="15-May-08" dataDxfId="268" dataCellStyle="Comma"/>
    <tableColumn id="20" xr3:uid="{4C06B31A-11C8-4C6C-853A-7D1FC54029CE}" name="15-Aug-08" dataDxfId="267" dataCellStyle="Comma"/>
    <tableColumn id="21" xr3:uid="{75CEB145-23BE-4339-86D8-E8535A75FD4A}" name="15-Nov-08" dataDxfId="266" dataCellStyle="Comma"/>
    <tableColumn id="22" xr3:uid="{61E2CCBA-3CA1-4D7A-8ACE-1B1A16CB0B75}" name="15-Feb-09" dataDxfId="265" dataCellStyle="Comma"/>
    <tableColumn id="23" xr3:uid="{F9567322-59F6-43B5-AC81-4B8A1FB5B6CF}" name="15-May-09" dataDxfId="264" dataCellStyle="Comma"/>
    <tableColumn id="24" xr3:uid="{8FBC8F5A-E14F-4A07-B6DC-B2CF8F38BDA8}" name="15-Aug-09" dataDxfId="263" dataCellStyle="Comma"/>
    <tableColumn id="25" xr3:uid="{830E5FDC-B120-49DB-BDE3-17B3B80F3621}" name="15-Nov-09" dataDxfId="262" dataCellStyle="Comma"/>
    <tableColumn id="26" xr3:uid="{AECD2C6F-F086-407F-8BF5-4B24DE0BA9F9}" name="15-Feb-10" dataDxfId="261" dataCellStyle="Comma"/>
    <tableColumn id="27" xr3:uid="{9A779715-9AD0-4F03-99CC-B26C7B855D9C}" name="15-May-10" dataDxfId="260" dataCellStyle="Comma"/>
    <tableColumn id="28" xr3:uid="{BFD8D1E6-1646-4647-B627-65CD88A2D4FB}" name="15-Aug-10" dataDxfId="259" dataCellStyle="Comma"/>
    <tableColumn id="29" xr3:uid="{0760E6A1-E3E2-48FB-AF23-E2E4BCEA94CE}" name="15-Nov-10" dataDxfId="258" dataCellStyle="Comma"/>
    <tableColumn id="30" xr3:uid="{EE8299B5-98DE-48C7-9D52-D7C99F92946D}" name="15-Feb-11" dataDxfId="257" dataCellStyle="Comma"/>
    <tableColumn id="31" xr3:uid="{B57B026A-CDD2-45EC-803B-9694A2AFEF95}" name="15-May-11" dataDxfId="256" dataCellStyle="Comma"/>
    <tableColumn id="32" xr3:uid="{2C932299-FD79-4FB6-8E7D-A44F93846C65}" name="15-Aug-11" dataDxfId="255" dataCellStyle="Comma"/>
    <tableColumn id="33" xr3:uid="{FE08A095-02EE-4377-8837-021280ADE814}" name="15-Nov-11" dataDxfId="254" dataCellStyle="Comma"/>
    <tableColumn id="34" xr3:uid="{C1820565-45D2-453F-928C-93AAA0D198B0}" name="15-Feb-12" dataDxfId="253" dataCellStyle="Comma"/>
    <tableColumn id="35" xr3:uid="{7A16E4B7-79D7-491E-AA59-1FB518EBF420}" name="15-May-12" dataDxfId="252" dataCellStyle="Comma"/>
    <tableColumn id="36" xr3:uid="{ED77B9E3-4725-456D-9E0F-40DA06E839B1}" name="15-Aug-12" dataDxfId="251" dataCellStyle="Comma"/>
    <tableColumn id="37" xr3:uid="{D8C08829-2754-4081-AB8A-2DB8943CD4EE}" name="15-Nov-12" dataDxfId="250" dataCellStyle="Comma"/>
    <tableColumn id="38" xr3:uid="{EA4C7F94-5F1F-49E8-8FA2-D0FF2E173D88}" name="15-Feb-13" dataDxfId="249" dataCellStyle="Comma"/>
    <tableColumn id="39" xr3:uid="{C3BF6FF8-28F5-48C6-8412-8DA2DFA461C4}" name="15-May-13" dataDxfId="248" dataCellStyle="Comma"/>
    <tableColumn id="40" xr3:uid="{A3A349A8-61BF-4439-91A2-D96FBA6F41D7}" name="15-Aug-13" dataDxfId="247" dataCellStyle="Comma"/>
    <tableColumn id="41" xr3:uid="{1EA1A7A0-2457-4B9D-A776-01F898E51E54}" name="15-Nov-13" dataDxfId="246" dataCellStyle="Comma"/>
    <tableColumn id="42" xr3:uid="{187BE359-F346-4C76-95CC-DD2BBCA09AB8}" name="15-Feb-14" dataDxfId="245" dataCellStyle="Comma"/>
    <tableColumn id="43" xr3:uid="{64242C1F-AF10-44AD-951D-6C1EC8304F84}" name="15-May-14" dataDxfId="244" dataCellStyle="Comma"/>
    <tableColumn id="44" xr3:uid="{DFD342EE-86DB-4722-A16D-72B48D0609D9}" name="15-Aug-14" dataDxfId="243" dataCellStyle="Comma"/>
    <tableColumn id="45" xr3:uid="{62338D12-F40C-4669-8E2A-CB4116829786}" name="15-Nov-14" dataDxfId="242" dataCellStyle="Comma"/>
    <tableColumn id="46" xr3:uid="{72F31360-AD4D-428C-8B9B-03DF4B73F140}" name="15-Feb-15" dataDxfId="241" dataCellStyle="Comma"/>
    <tableColumn id="47" xr3:uid="{0D893201-E29E-4BB0-B988-82F454A485A1}" name="15-May-15" dataDxfId="240" dataCellStyle="Comma"/>
    <tableColumn id="48" xr3:uid="{399931D7-8C8D-4618-916C-A755DD2CB2C7}" name="15-Aug-15" dataDxfId="239" dataCellStyle="Comma"/>
    <tableColumn id="49" xr3:uid="{D0DCF43D-466F-4F5F-8424-5B819DA5E7AB}" name="15-Nov-15" dataDxfId="238" dataCellStyle="Comma"/>
    <tableColumn id="50" xr3:uid="{8B4EFBBF-6FF9-4EF3-BAE9-30AE9D2A5E23}" name="15-Feb-16" dataDxfId="237" dataCellStyle="Comma"/>
    <tableColumn id="51" xr3:uid="{FD3FA692-5439-4DAB-A5FA-CF54D7919ADC}" name="15-May-16" dataDxfId="236" dataCellStyle="Comma"/>
    <tableColumn id="52" xr3:uid="{4D095082-43FD-47CB-9B5D-EECE77F7FC89}" name="15-Aug-16" dataDxfId="235" dataCellStyle="Comma"/>
    <tableColumn id="53" xr3:uid="{3E653E90-A597-46AF-8C93-99689EAEC67C}" name="15-Nov-16" dataDxfId="234" dataCellStyle="Comma"/>
    <tableColumn id="54" xr3:uid="{CE824327-9A50-449A-B1A5-C076979B1725}" name="15-Feb-17" dataDxfId="233" dataCellStyle="Comma"/>
    <tableColumn id="55" xr3:uid="{97D5F92B-9A6C-46BE-A79F-5E8E98496F8C}" name="15-May-17" dataDxfId="232" dataCellStyle="Comma"/>
    <tableColumn id="56" xr3:uid="{5F37A8A4-FDED-4D9C-9BCB-32C349C4E5B6}" name="15-Aug-17" dataDxfId="231" dataCellStyle="Comma"/>
    <tableColumn id="57" xr3:uid="{C0D6A4C7-31A2-4A63-90E5-3CA039FAD500}" name="15-Nov-17" dataDxfId="230" dataCellStyle="Comma"/>
    <tableColumn id="58" xr3:uid="{F49A0B76-4A45-4995-B786-56ADBC973300}" name="15-Feb-18" dataDxfId="229" dataCellStyle="Comma"/>
    <tableColumn id="59" xr3:uid="{425D1AA6-14D4-42C1-9D1D-700C16EF4145}" name="15-May-18" dataDxfId="228" dataCellStyle="Comma"/>
    <tableColumn id="60" xr3:uid="{8F4594FB-F1A7-4143-90D4-A37765254E14}" name="15-Aug-18" dataDxfId="227" dataCellStyle="Comma"/>
    <tableColumn id="61" xr3:uid="{E02ED717-4897-441D-BEF7-73A1781B1D91}" name="15-Nov-18" dataDxfId="226" dataCellStyle="Comma"/>
    <tableColumn id="62" xr3:uid="{B2E89F1A-7057-4BFC-850E-FB6ECD7E58EA}" name="15-Feb-19" dataDxfId="225" dataCellStyle="Comma"/>
    <tableColumn id="63" xr3:uid="{DBB18976-A6E3-4CD8-8754-C487C7503B68}" name="15-May-19" dataDxfId="224" dataCellStyle="Comma"/>
    <tableColumn id="64" xr3:uid="{B771CEC1-4ADD-4538-B628-AAA6609ED6EC}" name="15-Aug-19" dataDxfId="223" dataCellStyle="Comma"/>
    <tableColumn id="65" xr3:uid="{F37804FA-4D9E-417F-B44A-9CEE1A1AC997}" name="15-Nov-19" dataDxfId="222" dataCellStyle="Comma"/>
    <tableColumn id="66" xr3:uid="{FC6E65EA-07BA-4A12-845A-92E2EDA44CC6}" name="15-Feb-20" dataDxfId="221" dataCellStyle="Comma"/>
    <tableColumn id="67" xr3:uid="{D2C20999-1B1C-45B5-B411-60A52681B5BF}" name="15-May-20" dataDxfId="220" dataCellStyle="Comma"/>
    <tableColumn id="68" xr3:uid="{B5B0B9A4-CF46-47E7-AE83-49C6EC367B85}" name="15-Aug-20" dataDxfId="219" dataCellStyle="Comma"/>
    <tableColumn id="69" xr3:uid="{121AB3DC-1890-43B7-A7AE-7EE02D580910}" name="15-Nov-20" dataDxfId="218" dataCellStyle="Comma"/>
    <tableColumn id="70" xr3:uid="{F822E893-3DE7-4F9E-BFD9-700BB967404D}" name="15-Feb-21" dataDxfId="217" dataCellStyle="Comma"/>
    <tableColumn id="71" xr3:uid="{419587B0-7806-4FEB-ACEE-0A564AA53FE0}" name="15-May-21" dataDxfId="216" dataCellStyle="Comma"/>
    <tableColumn id="72" xr3:uid="{9F50B69C-2310-48E5-B96D-0F58F34BE91E}" name="15-Aug-21" dataDxfId="215" dataCellStyle="Comma"/>
    <tableColumn id="73" xr3:uid="{04196F9B-DD82-45FB-896E-3FD81D3F3218}" name="15-Nov-21" dataDxfId="214" dataCellStyle="Comma"/>
    <tableColumn id="74" xr3:uid="{4172AE7B-4967-47C2-B6F0-70999ED1406C}" name="15-Feb-22" dataDxfId="213" dataCellStyle="Comma"/>
    <tableColumn id="75" xr3:uid="{3A215FE0-001A-4302-ACB4-A2DAEFBDADF7}" name="15-May-22" dataDxfId="212" dataCellStyle="Comma"/>
    <tableColumn id="76" xr3:uid="{10BE8F68-3FAF-4D04-9A86-76CF8420AF21}" name="15-Aug-22" dataDxfId="211" dataCellStyle="Comma"/>
    <tableColumn id="77" xr3:uid="{8FF0D2E9-2381-40D0-85C6-CEDC9666183D}" name="15-Nov-22" dataDxfId="210" dataCellStyle="Comma"/>
    <tableColumn id="78" xr3:uid="{853BC25F-E888-4A3F-9F07-F35702CAA136}" name="15-Feb-23" dataDxfId="209" dataCellStyle="Comma"/>
    <tableColumn id="79" xr3:uid="{46CE9800-D0E7-40E0-8577-2F85FAA2DCDF}" name="15-May-23" dataDxfId="208" dataCellStyle="Comma"/>
    <tableColumn id="80" xr3:uid="{5734D675-7008-42CC-9E40-7866F7118CEC}" name="15-Aug-23" dataDxfId="207" dataCellStyle="Comma"/>
    <tableColumn id="81" xr3:uid="{0EA432A9-99EB-4453-8699-DA32C7C6D800}" name="15-Nov-23" dataDxfId="206" dataCellStyle="Comma"/>
    <tableColumn id="82" xr3:uid="{2DB42CE4-3117-457F-9D99-7F8BE7693B98}" name="15-Feb-24" dataDxfId="205" dataCellStyle="Comma"/>
    <tableColumn id="83" xr3:uid="{F6893844-5E78-49F1-9784-A6E9A059EA38}" name="15-May-24" dataDxfId="204" dataCellStyle="Comma"/>
    <tableColumn id="84" xr3:uid="{3B34C362-D4C7-45BF-B60A-7F0E3FF23F77}" name="15-Aug-24" dataDxfId="203" dataCellStyle="Comma"/>
    <tableColumn id="85" xr3:uid="{94A59B9F-BEA2-453C-8D8D-71A463912679}" name="15-Nov-24" dataDxfId="202" dataCellStyle="Comma"/>
    <tableColumn id="86" xr3:uid="{C94E082C-09F2-4343-8276-0D150A6181AB}" name="15-Feb-25" dataDxfId="201" dataCellStyle="Comma"/>
    <tableColumn id="87" xr3:uid="{3451BBE4-C761-4B7F-A5B3-542C2848383A}" name="15-May-25" dataDxfId="200" dataCellStyle="Comma"/>
    <tableColumn id="88" xr3:uid="{1766159C-CEEF-4281-A2E4-D732C1151F31}" name="15-Aug-25" dataDxfId="199" dataCellStyle="Comma"/>
    <tableColumn id="89" xr3:uid="{6234D9DE-CC4C-45AF-8859-9AE54A99E9C1}" name="15-Nov-25" dataDxfId="198" dataCellStyle="Comma"/>
    <tableColumn id="90" xr3:uid="{E4EAF9B4-88B5-4C31-8486-FA37E1045039}" name="15-Feb-26" dataDxfId="197" dataCellStyle="Comma"/>
    <tableColumn id="91" xr3:uid="{19504FA3-DE1E-4987-9636-93DAF0B905F8}" name="15-May-26" dataDxfId="196" dataCellStyle="Comma"/>
    <tableColumn id="92" xr3:uid="{E29A9DAA-970A-4AE0-9324-FD0AB334FA7F}" name="15-Aug-26" dataDxfId="195"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45CDE2-08D9-47FF-8A35-BE0A7FD49E63}" name="tbl_Lines" displayName="tbl_Lines" ref="A46:CN89" totalsRowShown="0" headerRowDxfId="194" dataDxfId="193" dataCellStyle="Comma">
  <autoFilter ref="A46:CN89" xr:uid="{6345CDE2-08D9-47FF-8A35-BE0A7FD49E63}"/>
  <tableColumns count="92">
    <tableColumn id="1" xr3:uid="{D3FF11F9-13E0-49A4-835C-6E3093E5930C}" name="Lines Component (c/kWh)"/>
    <tableColumn id="2" xr3:uid="{505B4D48-12D3-46BE-BB65-769BC407B27F}" name="15-Feb-04" dataDxfId="192" dataCellStyle="Comma"/>
    <tableColumn id="3" xr3:uid="{F52DEFD5-586C-498C-9A99-0205E185D493}" name="15-May-04" dataDxfId="191" dataCellStyle="Comma"/>
    <tableColumn id="4" xr3:uid="{D11D7559-1A25-467D-8B13-82367567153F}" name="15-Aug-04" dataDxfId="190" dataCellStyle="Comma"/>
    <tableColumn id="5" xr3:uid="{A0BB3713-1B44-4B63-91EF-78BE79F05353}" name="15-Nov-04" dataDxfId="189" dataCellStyle="Comma"/>
    <tableColumn id="6" xr3:uid="{769B17B3-7DED-42B3-9EE4-827F262A874B}" name="15-Feb-05" dataDxfId="188" dataCellStyle="Comma"/>
    <tableColumn id="7" xr3:uid="{5A5D312E-C795-461D-B635-AC16A3AA827D}" name="15-May-05" dataDxfId="187" dataCellStyle="Comma"/>
    <tableColumn id="8" xr3:uid="{2C1C46CD-50A1-4484-9FBE-695829B680A5}" name="15-Aug-05" dataDxfId="186" dataCellStyle="Comma"/>
    <tableColumn id="9" xr3:uid="{1AABE4F0-89AD-4319-92CE-24AB8E4CB579}" name="15-Nov-05" dataDxfId="185" dataCellStyle="Comma"/>
    <tableColumn id="10" xr3:uid="{9B867301-A506-4FDC-BDCF-CC6D38113D70}" name="15-Feb-06" dataDxfId="184" dataCellStyle="Comma"/>
    <tableColumn id="11" xr3:uid="{66A9D1FF-7196-4716-90D4-4904D11F1DB6}" name="15-May-06" dataDxfId="183" dataCellStyle="Comma"/>
    <tableColumn id="12" xr3:uid="{4C228EA8-65A4-49D6-BF38-332068BBB0B9}" name="15-Aug-06" dataDxfId="182" dataCellStyle="Comma"/>
    <tableColumn id="13" xr3:uid="{44F08D6E-2F13-44AA-972B-A13B3E009F88}" name="15-Nov-06" dataDxfId="181" dataCellStyle="Comma"/>
    <tableColumn id="14" xr3:uid="{C8950B26-3CAE-479E-9346-80E05E483041}" name="15-Feb-07" dataDxfId="180" dataCellStyle="Comma"/>
    <tableColumn id="15" xr3:uid="{0AB7A51E-870B-49A9-B798-F478FE6A6107}" name="15-May-07" dataDxfId="179" dataCellStyle="Comma"/>
    <tableColumn id="16" xr3:uid="{907C8D32-FF10-4CFF-AA32-2D522EF8061B}" name="15-Aug-07" dataDxfId="178" dataCellStyle="Comma"/>
    <tableColumn id="17" xr3:uid="{86A84C72-0E6E-45D7-A4D5-F7D0FF9B2726}" name="15-Nov-07" dataDxfId="177" dataCellStyle="Comma"/>
    <tableColumn id="18" xr3:uid="{520F5B1F-78AA-41B1-9862-204CAD972D74}" name="15-Feb-08" dataDxfId="176" dataCellStyle="Comma"/>
    <tableColumn id="19" xr3:uid="{D3F549E2-777D-4717-B598-04CC9E7EB046}" name="15-May-08" dataDxfId="175" dataCellStyle="Comma"/>
    <tableColumn id="20" xr3:uid="{6878488A-C733-4359-9457-C937AE991C1A}" name="15-Aug-08" dataDxfId="174" dataCellStyle="Comma"/>
    <tableColumn id="21" xr3:uid="{2C7B2AC4-7DC2-425B-8F31-DF3B52A8B1BF}" name="15-Nov-08" dataDxfId="173" dataCellStyle="Comma"/>
    <tableColumn id="22" xr3:uid="{60FAC964-BC1B-41A7-9F7D-CB08B813FAE5}" name="15-Feb-09" dataDxfId="172" dataCellStyle="Comma"/>
    <tableColumn id="23" xr3:uid="{8B7ED868-8329-4253-AD6D-23A204D8C476}" name="15-May-09" dataDxfId="171" dataCellStyle="Comma"/>
    <tableColumn id="24" xr3:uid="{8CB624E2-2130-403C-B07B-6742B63E3D35}" name="15-Aug-09" dataDxfId="170" dataCellStyle="Comma"/>
    <tableColumn id="25" xr3:uid="{30DC2060-A874-4217-8537-DADED2B4A203}" name="15-Nov-09" dataDxfId="169" dataCellStyle="Comma"/>
    <tableColumn id="26" xr3:uid="{9A70BB04-38A5-4744-B4CE-D25A7BF0BC3A}" name="15-Feb-10" dataDxfId="168" dataCellStyle="Comma"/>
    <tableColumn id="27" xr3:uid="{CD7EDDB1-B437-4CF5-B96F-17434CFF40F4}" name="15-May-10" dataDxfId="167" dataCellStyle="Comma"/>
    <tableColumn id="28" xr3:uid="{A7271E31-43B6-4669-A65C-B61E11844EE2}" name="15-Aug-10" dataDxfId="166" dataCellStyle="Comma"/>
    <tableColumn id="29" xr3:uid="{27547682-7C72-47FE-A1E9-CFB5B3D92D74}" name="15-Nov-10" dataDxfId="165" dataCellStyle="Comma"/>
    <tableColumn id="30" xr3:uid="{0FC45A9F-2DFB-44EA-A0CD-321A8F5ADB31}" name="15-Feb-11" dataDxfId="164" dataCellStyle="Comma"/>
    <tableColumn id="31" xr3:uid="{6B01427E-FF7D-4AE3-B759-EDDCAA4C65DF}" name="15-May-11" dataDxfId="163" dataCellStyle="Comma"/>
    <tableColumn id="32" xr3:uid="{CCB344F0-5F82-4E51-B6BC-3CFEF8060446}" name="15-Aug-11" dataDxfId="162" dataCellStyle="Comma"/>
    <tableColumn id="33" xr3:uid="{009F6AA2-3A04-4D16-BB6D-A5C8A7EC9D87}" name="15-Nov-11" dataDxfId="161" dataCellStyle="Comma"/>
    <tableColumn id="34" xr3:uid="{C76A33C9-C228-4D06-BAD0-A4EA2718F6A7}" name="15-Feb-12" dataDxfId="160" dataCellStyle="Comma"/>
    <tableColumn id="35" xr3:uid="{6C01EFE6-60DC-4A83-B08C-F56F044EB900}" name="15-May-12" dataDxfId="159" dataCellStyle="Comma"/>
    <tableColumn id="36" xr3:uid="{10DC0EB0-1D03-4C14-97C5-6FB1E779BA06}" name="15-Aug-12" dataDxfId="158" dataCellStyle="Comma"/>
    <tableColumn id="37" xr3:uid="{0CB9C4A6-1970-4262-BE9A-F1217FA7DC1A}" name="15-Nov-12" dataDxfId="157" dataCellStyle="Comma"/>
    <tableColumn id="38" xr3:uid="{154DE110-BBCC-4830-9021-B12FA0580026}" name="15-Feb-13" dataDxfId="156" dataCellStyle="Comma"/>
    <tableColumn id="39" xr3:uid="{3DF43E29-E0DA-4D44-B8F5-B3002DE3B916}" name="15-May-13" dataDxfId="155" dataCellStyle="Comma"/>
    <tableColumn id="40" xr3:uid="{834A36A2-056D-4D5B-B096-14617502008E}" name="15-Aug-13" dataDxfId="154" dataCellStyle="Comma"/>
    <tableColumn id="41" xr3:uid="{3D3B2666-8F6B-4911-9FCB-522035665972}" name="15-Nov-13" dataDxfId="153" dataCellStyle="Comma"/>
    <tableColumn id="42" xr3:uid="{F608A789-F761-4294-B659-966D5F502926}" name="15-Feb-14" dataDxfId="152" dataCellStyle="Comma"/>
    <tableColumn id="43" xr3:uid="{EAEE5C67-D6F2-4728-9949-4C2A3D4F9607}" name="15-May-14" dataDxfId="151" dataCellStyle="Comma"/>
    <tableColumn id="44" xr3:uid="{EE968F98-36C6-453B-8E4F-439B4FC5936E}" name="15-Aug-14" dataDxfId="150" dataCellStyle="Comma"/>
    <tableColumn id="45" xr3:uid="{A695E97A-1663-48E4-8374-2C311E01A712}" name="15-Nov-14" dataDxfId="149" dataCellStyle="Comma"/>
    <tableColumn id="46" xr3:uid="{D65061B0-9DFE-4666-9042-DEF980A34A87}" name="15-Feb-15" dataDxfId="148" dataCellStyle="Comma"/>
    <tableColumn id="47" xr3:uid="{DE1A60FF-8B56-4D99-B769-699FF9A7A1C8}" name="15-May-15" dataDxfId="147" dataCellStyle="Comma"/>
    <tableColumn id="48" xr3:uid="{2FCF63B0-ADC6-4769-A14E-534B44ECDD1B}" name="15-Aug-15" dataDxfId="146" dataCellStyle="Comma"/>
    <tableColumn id="49" xr3:uid="{8696F356-3745-45F3-80E9-FE95627B4E98}" name="15-Nov-15" dataDxfId="145" dataCellStyle="Comma"/>
    <tableColumn id="50" xr3:uid="{2691B2B3-B16E-4530-A2BC-3CB4FFC6D085}" name="15-Feb-16" dataDxfId="144" dataCellStyle="Comma"/>
    <tableColumn id="51" xr3:uid="{43AAED27-D52F-4B37-9A5A-F7C0E8DE7AFC}" name="15-May-16" dataDxfId="143" dataCellStyle="Comma"/>
    <tableColumn id="52" xr3:uid="{B1361D13-0EC8-4668-8CF2-492420A0DDDF}" name="15-Aug-16" dataDxfId="142" dataCellStyle="Comma"/>
    <tableColumn id="53" xr3:uid="{E015324E-FE1F-4B7A-8CE8-2586361E1FAC}" name="15-Nov-16" dataDxfId="141" dataCellStyle="Comma"/>
    <tableColumn id="54" xr3:uid="{0ADB3E09-3FEF-4E45-8E47-A71394792037}" name="15-Feb-17" dataDxfId="140" dataCellStyle="Comma"/>
    <tableColumn id="55" xr3:uid="{070082B4-C677-4BCE-AB77-98F2E8A83AFC}" name="15-May-17" dataDxfId="139" dataCellStyle="Comma"/>
    <tableColumn id="56" xr3:uid="{62B2BC74-1CA8-402D-A428-0EED952B521C}" name="15-Aug-17" dataDxfId="138" dataCellStyle="Comma"/>
    <tableColumn id="57" xr3:uid="{DF100636-B39A-49C2-9C5F-76EF0442AF63}" name="15-Nov-17" dataDxfId="137" dataCellStyle="Comma"/>
    <tableColumn id="58" xr3:uid="{B62B6239-E643-4452-A1F7-024929647750}" name="15-Feb-18" dataDxfId="136" dataCellStyle="Comma"/>
    <tableColumn id="59" xr3:uid="{E71867AB-7F71-49F7-A325-2DBFFFBD3C7E}" name="15-May-18" dataDxfId="135" dataCellStyle="Comma"/>
    <tableColumn id="60" xr3:uid="{D5634569-59E2-4D8F-8E3E-FFAF5E919652}" name="15-Aug-18" dataDxfId="134" dataCellStyle="Comma"/>
    <tableColumn id="61" xr3:uid="{395652AC-B32D-4520-A765-B681D553F3D9}" name="15-Nov-18" dataDxfId="133" dataCellStyle="Comma"/>
    <tableColumn id="62" xr3:uid="{BE81D03F-FF42-4456-9BB5-F2F5BABD4218}" name="15-Feb-19" dataDxfId="132" dataCellStyle="Comma"/>
    <tableColumn id="63" xr3:uid="{BA2745B4-55E7-4F52-AE09-9F88AC6590DF}" name="15-May-19" dataDxfId="131" dataCellStyle="Comma"/>
    <tableColumn id="64" xr3:uid="{E6226313-A368-4644-A4B9-E96E38719DF7}" name="15-Aug-19" dataDxfId="130" dataCellStyle="Comma"/>
    <tableColumn id="65" xr3:uid="{FC80260B-59A3-4455-8A95-C05958FEAC6A}" name="15-Nov-19" dataDxfId="129" dataCellStyle="Comma"/>
    <tableColumn id="66" xr3:uid="{13717791-9EAE-44C0-8725-51623A7B3EEF}" name="15-Feb-20" dataDxfId="128" dataCellStyle="Comma"/>
    <tableColumn id="67" xr3:uid="{899A7754-708A-4E3D-98FA-9748374DDAE8}" name="15-May-20" dataDxfId="127" dataCellStyle="Comma"/>
    <tableColumn id="68" xr3:uid="{448D942E-E382-495E-8BD6-1EAA2FA1F2B4}" name="15-Aug-20" dataDxfId="126" dataCellStyle="Comma"/>
    <tableColumn id="69" xr3:uid="{E7AB499A-1176-4786-8805-4A86CB6CD9E2}" name="15-Nov-20" dataDxfId="125" dataCellStyle="Comma"/>
    <tableColumn id="70" xr3:uid="{ABD348F6-9502-49DA-9F6F-DC8EEAF12790}" name="15-Feb-21" dataDxfId="124" dataCellStyle="Comma"/>
    <tableColumn id="71" xr3:uid="{77552B97-3847-4004-907C-77665DA1828E}" name="15-May-21" dataDxfId="123" dataCellStyle="Comma"/>
    <tableColumn id="72" xr3:uid="{8E06513A-445A-4FD9-9EE9-C230DB2EEAEE}" name="15-Aug-21" dataDxfId="122" dataCellStyle="Comma"/>
    <tableColumn id="73" xr3:uid="{20C39476-637C-4057-BE0D-BF076228CD5B}" name="15-Nov-21" dataDxfId="121" dataCellStyle="Comma"/>
    <tableColumn id="74" xr3:uid="{E5E3FD5B-F07D-404B-BBC4-3B8CE682685A}" name="15-Feb-22" dataDxfId="120" dataCellStyle="Comma"/>
    <tableColumn id="75" xr3:uid="{1FBF306C-C7EC-4AB6-B511-DA665C520491}" name="15-May-22" dataDxfId="119" dataCellStyle="Comma"/>
    <tableColumn id="76" xr3:uid="{A896119A-B5DB-40EB-92CC-0C19A545EAE3}" name="15-Aug-22" dataDxfId="118" dataCellStyle="Comma"/>
    <tableColumn id="77" xr3:uid="{DB1DE606-CFE6-4514-803D-192A156C09FD}" name="15-Nov-22" dataDxfId="117" dataCellStyle="Comma"/>
    <tableColumn id="78" xr3:uid="{F0BF4DD9-33CC-4FD4-8119-7CA9E53AADA1}" name="15-Feb-23" dataDxfId="116" dataCellStyle="Comma"/>
    <tableColumn id="79" xr3:uid="{6EC92DCA-2135-4462-AE45-2F65FF0EB8C9}" name="15-May-23" dataDxfId="115" dataCellStyle="Comma"/>
    <tableColumn id="80" xr3:uid="{51FD96F3-BD6C-4B8D-A068-128438B7765D}" name="15-Aug-23" dataDxfId="114" dataCellStyle="Comma"/>
    <tableColumn id="81" xr3:uid="{71AF0B96-3402-4B1E-A6E9-A0B924330823}" name="15-Nov-23" dataDxfId="113" dataCellStyle="Comma"/>
    <tableColumn id="82" xr3:uid="{6F1C5838-F151-4A26-B6E9-D64FCDE15AFA}" name="15-Feb-24" dataDxfId="112" dataCellStyle="Comma"/>
    <tableColumn id="83" xr3:uid="{968EC9F6-B3DE-4B58-B9F2-E722B7A0705C}" name="15-May-24" dataDxfId="111" dataCellStyle="Comma"/>
    <tableColumn id="84" xr3:uid="{CA839114-0D02-4541-8E06-9048742216C6}" name="15-Aug-24" dataDxfId="110" dataCellStyle="Comma"/>
    <tableColumn id="85" xr3:uid="{267B582E-836A-448A-AB73-5256A876244D}" name="15-Nov-24" dataDxfId="109" dataCellStyle="Comma"/>
    <tableColumn id="86" xr3:uid="{0EB598C3-6A38-4747-B716-A2B019FD6BE7}" name="15-Feb-25" dataDxfId="108" dataCellStyle="Comma"/>
    <tableColumn id="87" xr3:uid="{F446744C-2700-4E9E-BA7B-6A41B3EBFBC7}" name="15-May-25" dataDxfId="107" dataCellStyle="Comma"/>
    <tableColumn id="88" xr3:uid="{7CCAC759-4CA8-45D2-89E8-495739434DD0}" name="15-Aug-25" dataDxfId="106" dataCellStyle="Comma"/>
    <tableColumn id="89" xr3:uid="{0CD1280E-7DD6-49BB-A03A-409CFB047B3C}" name="15-Nov-25" dataDxfId="105" dataCellStyle="Comma"/>
    <tableColumn id="90" xr3:uid="{C4BDC01D-B9FE-423C-87D7-0A0243C4BCFA}" name="15-Feb-26" dataDxfId="104" dataCellStyle="Comma"/>
    <tableColumn id="91" xr3:uid="{3EBA9A6F-4699-4B2E-8956-B3F345681CB9}" name="15-May-26" dataDxfId="103" dataCellStyle="Comma"/>
    <tableColumn id="92" xr3:uid="{018809F2-E20C-43E5-B89A-9C44C5FE6561}" name="15-Aug-26" dataDxfId="102"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D9DCC-C559-419D-9EBE-4C6B848A5435}" name="tbl_Energy" displayName="tbl_Energy" ref="A91:CN134" totalsRowShown="0" headerRowDxfId="101" dataDxfId="100" dataCellStyle="Comma">
  <autoFilter ref="A91:CN134" xr:uid="{B68D9DCC-C559-419D-9EBE-4C6B848A5435}"/>
  <tableColumns count="92">
    <tableColumn id="1" xr3:uid="{5428CC11-CDFF-4D56-9D1F-AD69235CA318}" name="Energy and Other Comp (c/kWh)*"/>
    <tableColumn id="2" xr3:uid="{C99B6789-2C90-4F05-B497-0FBEDA8C5073}" name="15-Feb-04" dataDxfId="99" dataCellStyle="Comma"/>
    <tableColumn id="3" xr3:uid="{367C2E1A-CB16-4C46-822B-39762DF8C849}" name="15-May-04" dataDxfId="98" dataCellStyle="Comma"/>
    <tableColumn id="4" xr3:uid="{CDDC37D2-EC94-4FE7-9E53-7D7134E77415}" name="15-Aug-04" dataDxfId="97" dataCellStyle="Comma"/>
    <tableColumn id="5" xr3:uid="{ADB7EB98-C653-4F05-A6C6-A5BCA6A52D10}" name="15-Nov-04" dataDxfId="96" dataCellStyle="Comma"/>
    <tableColumn id="6" xr3:uid="{2F985160-F3EE-405C-B0E8-F6FF54C3078E}" name="15-Feb-05" dataDxfId="95" dataCellStyle="Comma"/>
    <tableColumn id="7" xr3:uid="{9DED5627-61C5-4E00-93D3-2FE163A553BC}" name="15-May-05" dataDxfId="94" dataCellStyle="Comma"/>
    <tableColumn id="8" xr3:uid="{2587FDB5-6D97-453B-B2AB-FE8FE5A8FE7E}" name="15-Aug-05" dataDxfId="93" dataCellStyle="Comma"/>
    <tableColumn id="9" xr3:uid="{C27A764C-D1FE-4193-86BC-29FDA34DDF75}" name="15-Nov-05" dataDxfId="92" dataCellStyle="Comma"/>
    <tableColumn id="10" xr3:uid="{C101F151-9DA7-42C5-A880-EDAE50B8B2E8}" name="15-Feb-06" dataDxfId="91" dataCellStyle="Comma"/>
    <tableColumn id="11" xr3:uid="{7924354D-E0D1-4FB5-BC49-0D40534F05F5}" name="15-May-06" dataDxfId="90" dataCellStyle="Comma"/>
    <tableColumn id="12" xr3:uid="{D07A7331-00A7-4511-9A6A-B80C4C58D7AF}" name="15-Aug-06" dataDxfId="89" dataCellStyle="Comma"/>
    <tableColumn id="13" xr3:uid="{AF5C913E-E821-40D5-8BA9-D493EE00BB91}" name="15-Nov-06" dataDxfId="88" dataCellStyle="Comma"/>
    <tableColumn id="14" xr3:uid="{1BA774F1-8A8B-4FFF-9738-B28575A4E0BE}" name="15-Feb-07" dataDxfId="87" dataCellStyle="Comma"/>
    <tableColumn id="15" xr3:uid="{3995F5EF-9E30-4D2C-B689-97FB1AF87FEF}" name="15-May-07" dataDxfId="86" dataCellStyle="Comma"/>
    <tableColumn id="16" xr3:uid="{E4727A64-2B64-4A4B-BD5C-B80FB1D0E288}" name="15-Aug-07" dataDxfId="85" dataCellStyle="Comma"/>
    <tableColumn id="17" xr3:uid="{F252DB8B-7BAF-4879-A617-12ACE07B6232}" name="15-Nov-07" dataDxfId="84" dataCellStyle="Comma"/>
    <tableColumn id="18" xr3:uid="{D254D58E-C7BE-4B83-BFD0-0AFD37001338}" name="15-Feb-08" dataDxfId="83" dataCellStyle="Comma"/>
    <tableColumn id="19" xr3:uid="{86E5AB0B-0CB9-4FD1-BA28-18EED627FAE7}" name="15-May-08" dataDxfId="82" dataCellStyle="Comma"/>
    <tableColumn id="20" xr3:uid="{A945B238-EFF1-4ED4-B937-2A3BAC59F159}" name="15-Aug-08" dataDxfId="81" dataCellStyle="Comma"/>
    <tableColumn id="21" xr3:uid="{55318FE6-BD9C-44DE-9A03-45E58AFA6A83}" name="15-Nov-08" dataDxfId="80" dataCellStyle="Comma"/>
    <tableColumn id="22" xr3:uid="{475C76FC-322A-4721-A8CB-95BEA40C0F68}" name="15-Feb-09" dataDxfId="79" dataCellStyle="Comma"/>
    <tableColumn id="23" xr3:uid="{896E9F40-481B-4993-8BB1-64264E0DD66C}" name="15-May-09" dataDxfId="78" dataCellStyle="Comma"/>
    <tableColumn id="24" xr3:uid="{30F7B9FC-524C-4B78-B933-468CCACFCFEB}" name="15-Aug-09" dataDxfId="77" dataCellStyle="Comma"/>
    <tableColumn id="25" xr3:uid="{D54FE514-90A8-4F1B-80D2-17A6AFBA816E}" name="15-Nov-09" dataDxfId="76" dataCellStyle="Comma"/>
    <tableColumn id="26" xr3:uid="{EEE8B8B0-AB1B-476C-B585-E6ADD09316BB}" name="15-Feb-10" dataDxfId="75" dataCellStyle="Comma"/>
    <tableColumn id="27" xr3:uid="{23EB1655-6B85-45CC-A254-C2102CF2EE44}" name="15-May-10" dataDxfId="74" dataCellStyle="Comma"/>
    <tableColumn id="28" xr3:uid="{51326F53-3BA6-4D84-B550-D96BEF2F28C5}" name="15-Aug-10" dataDxfId="73" dataCellStyle="Comma"/>
    <tableColumn id="29" xr3:uid="{6014F481-1AD3-4C23-96FA-DD3FEF3BB074}" name="15-Nov-10" dataDxfId="72" dataCellStyle="Comma"/>
    <tableColumn id="30" xr3:uid="{F32F0995-9696-45EE-A03C-4847F4EFE563}" name="15-Feb-11" dataDxfId="71" dataCellStyle="Comma"/>
    <tableColumn id="31" xr3:uid="{935A881A-AD32-4DD6-AD0A-CA72EF842227}" name="15-May-11" dataDxfId="70" dataCellStyle="Comma"/>
    <tableColumn id="32" xr3:uid="{C1896AD0-840D-496F-A95C-94D232C60B28}" name="15-Aug-11" dataDxfId="69" dataCellStyle="Comma"/>
    <tableColumn id="33" xr3:uid="{6CED1B83-2843-44E3-92CE-52A8DF578E90}" name="15-Nov-11" dataDxfId="68" dataCellStyle="Comma"/>
    <tableColumn id="34" xr3:uid="{7D7DE6BB-6FE2-4A0E-BDBB-A8F3CCBD3DAA}" name="15-Feb-12" dataDxfId="67" dataCellStyle="Comma"/>
    <tableColumn id="35" xr3:uid="{AC431DAA-0BB3-4B03-8B9C-B92CB04B9529}" name="15-May-12" dataDxfId="66" dataCellStyle="Comma"/>
    <tableColumn id="36" xr3:uid="{B2104CA7-47AD-4174-B83C-42D33BDD8F37}" name="15-Aug-12" dataDxfId="65" dataCellStyle="Comma"/>
    <tableColumn id="37" xr3:uid="{8FFD99BD-C7AA-44AC-AE56-7C2815B44EEF}" name="15-Nov-12" dataDxfId="64" dataCellStyle="Comma"/>
    <tableColumn id="38" xr3:uid="{F5F53CD0-5A94-4D7E-9C1D-00D5E2F626A9}" name="15-Feb-13" dataDxfId="63" dataCellStyle="Comma"/>
    <tableColumn id="39" xr3:uid="{A4DE173A-8E0A-45AB-BB57-E796FBAF37B4}" name="15-May-13" dataDxfId="62" dataCellStyle="Comma"/>
    <tableColumn id="40" xr3:uid="{BCCEA274-B324-407E-9637-89FFBFAFB6C6}" name="15-Aug-13" dataDxfId="61" dataCellStyle="Comma"/>
    <tableColumn id="41" xr3:uid="{6A5B7BAE-908B-4C6B-BB59-0780483DF8DE}" name="15-Nov-13" dataDxfId="60" dataCellStyle="Comma"/>
    <tableColumn id="42" xr3:uid="{EF4EEE25-748D-4183-AD57-230A0B049D62}" name="15-Feb-14" dataDxfId="59" dataCellStyle="Comma"/>
    <tableColumn id="43" xr3:uid="{1D744B1C-C1EB-4547-9B25-B6502DE38A3E}" name="15-May-14" dataDxfId="58" dataCellStyle="Comma"/>
    <tableColumn id="44" xr3:uid="{DC60CFB2-5C92-479F-AE20-0C72323DCC8F}" name="15-Aug-14" dataDxfId="57" dataCellStyle="Comma"/>
    <tableColumn id="45" xr3:uid="{B34361C3-01FE-4792-9775-ECB2F547979A}" name="15-Nov-14" dataDxfId="56" dataCellStyle="Comma"/>
    <tableColumn id="46" xr3:uid="{3FE15409-A546-451C-8E61-F0C5E1263075}" name="15-Feb-15" dataDxfId="55" dataCellStyle="Comma"/>
    <tableColumn id="47" xr3:uid="{7B4677D0-0094-4AA4-8ABC-0EBDAF6EC530}" name="15-May-15" dataDxfId="54" dataCellStyle="Comma"/>
    <tableColumn id="48" xr3:uid="{B5190A35-D5B1-42A0-9A39-3EAF1BB84118}" name="15-Aug-15" dataDxfId="53" dataCellStyle="Comma"/>
    <tableColumn id="49" xr3:uid="{0F1E2850-8408-449E-A862-A0B8DDE7E72A}" name="15-Nov-15" dataDxfId="52" dataCellStyle="Comma"/>
    <tableColumn id="50" xr3:uid="{6F323864-BA72-44E5-8556-E4508E0E8285}" name="15-Feb-16" dataDxfId="51" dataCellStyle="Comma"/>
    <tableColumn id="51" xr3:uid="{D668E184-F154-42DA-90A8-11E3E0190C02}" name="15-May-16" dataDxfId="50" dataCellStyle="Comma"/>
    <tableColumn id="52" xr3:uid="{B9C239D8-FC5D-44F4-8A17-B076062C6495}" name="15-Aug-16" dataDxfId="49" dataCellStyle="Comma"/>
    <tableColumn id="53" xr3:uid="{8C3DE252-84DF-4427-87D7-16CF55635C4D}" name="15-Nov-16" dataDxfId="48" dataCellStyle="Comma"/>
    <tableColumn id="54" xr3:uid="{DC8C6D40-7EF5-4552-8F73-C23346B1ED5C}" name="15-Feb-17" dataDxfId="47" dataCellStyle="Comma"/>
    <tableColumn id="55" xr3:uid="{2167D5D0-546D-4568-9FE9-1C144620CC19}" name="15-May-17" dataDxfId="46" dataCellStyle="Comma"/>
    <tableColumn id="56" xr3:uid="{19FC3350-6768-49CB-A08D-2F8281C14DBC}" name="15-Aug-17" dataDxfId="45" dataCellStyle="Comma"/>
    <tableColumn id="57" xr3:uid="{E247CA7D-0B7D-4D49-8D0B-D79F52E99620}" name="15-Nov-17" dataDxfId="44" dataCellStyle="Comma"/>
    <tableColumn id="58" xr3:uid="{EAA9060A-09EA-4D8B-B050-9A29B14439BA}" name="15-Feb-18" dataDxfId="43" dataCellStyle="Comma"/>
    <tableColumn id="59" xr3:uid="{C7D26B1E-CF95-45D7-A3C1-5B07C32A8B16}" name="15-May-18" dataDxfId="42" dataCellStyle="Comma"/>
    <tableColumn id="60" xr3:uid="{EDD34270-47AD-43B3-832A-C1F4437DD23F}" name="15-Aug-18" dataDxfId="41" dataCellStyle="Comma"/>
    <tableColumn id="61" xr3:uid="{CEBD693F-142A-4D0E-BB51-B25BBEAD6E59}" name="15-Nov-18" dataDxfId="40" dataCellStyle="Comma"/>
    <tableColumn id="62" xr3:uid="{1BA58F37-6D27-43D4-A88D-E9A2C8A483C1}" name="15-Feb-19" dataDxfId="39" dataCellStyle="Comma"/>
    <tableColumn id="63" xr3:uid="{4E9CA13F-E07D-45B5-BF70-5F8FAB805A72}" name="15-May-19" dataDxfId="38" dataCellStyle="Comma"/>
    <tableColumn id="64" xr3:uid="{A0CB0A7B-8964-4D08-AF54-65663698FEB5}" name="15-Aug-19" dataDxfId="37" dataCellStyle="Comma"/>
    <tableColumn id="65" xr3:uid="{9F19A6FC-01C1-4D41-9478-87A1962B15B8}" name="15-Nov-19" dataDxfId="36" dataCellStyle="Comma"/>
    <tableColumn id="66" xr3:uid="{7AE68578-FD3C-4A1B-9BAB-FBEDEC74FDE0}" name="15-Feb-20" dataDxfId="35" dataCellStyle="Comma"/>
    <tableColumn id="67" xr3:uid="{A0E7C7C3-A6AE-4F2C-B1CE-C7002E27D7E2}" name="15-May-20" dataDxfId="34" dataCellStyle="Comma"/>
    <tableColumn id="68" xr3:uid="{DC7A9CE6-7E7F-4E52-B362-E5CAEF1C2CB5}" name="15-Aug-20" dataDxfId="33" dataCellStyle="Comma"/>
    <tableColumn id="69" xr3:uid="{D19E0B09-87A0-469F-A85A-AD1B54D47E3F}" name="15-Nov-20" dataDxfId="32" dataCellStyle="Comma"/>
    <tableColumn id="70" xr3:uid="{B7FEF8A2-97A3-468D-A680-B97C05636E5B}" name="15-Feb-21" dataDxfId="31" dataCellStyle="Comma"/>
    <tableColumn id="71" xr3:uid="{EAEA5AC3-6400-4F7F-8179-D3EB1F0B4E9A}" name="15-May-21" dataDxfId="30" dataCellStyle="Comma"/>
    <tableColumn id="72" xr3:uid="{6E45423F-AC89-4C0B-A3DD-D141CAE4A9B3}" name="15-Aug-21" dataDxfId="29" dataCellStyle="Comma"/>
    <tableColumn id="73" xr3:uid="{5E980128-D694-4647-93B0-BD8F763ACECA}" name="15-Nov-21" dataDxfId="28" dataCellStyle="Comma"/>
    <tableColumn id="74" xr3:uid="{31A77C26-8BB9-4BC3-9664-860DF5DA1107}" name="15-Feb-22" dataDxfId="27" dataCellStyle="Comma"/>
    <tableColumn id="75" xr3:uid="{71E617F3-7269-4230-86E8-32535BE6B03B}" name="15-May-22" dataDxfId="26" dataCellStyle="Comma"/>
    <tableColumn id="76" xr3:uid="{AC6B804C-3C48-4A5C-9160-9BE069CD604E}" name="15-Aug-22" dataDxfId="25" dataCellStyle="Comma"/>
    <tableColumn id="77" xr3:uid="{79517F57-4145-4296-B2D3-AE78791E6EB1}" name="15-Nov-22" dataDxfId="24" dataCellStyle="Comma"/>
    <tableColumn id="78" xr3:uid="{10AD190C-74F5-421F-A1A4-57DC5FA41548}" name="15-Feb-23" dataDxfId="23" dataCellStyle="Comma"/>
    <tableColumn id="79" xr3:uid="{8291788D-7DD8-4581-AEC8-F4F9BD199424}" name="15-May-23" dataDxfId="22" dataCellStyle="Comma"/>
    <tableColumn id="80" xr3:uid="{CDA1DF6E-915D-438D-ACCE-7008609019A5}" name="15-Aug-23" dataDxfId="21" dataCellStyle="Comma"/>
    <tableColumn id="81" xr3:uid="{6B68CAA4-B381-4B3E-A240-D2004BEFC0BB}" name="15-Nov-23" dataDxfId="20" dataCellStyle="Comma"/>
    <tableColumn id="82" xr3:uid="{4F0E18FF-B7C1-4CB8-B2C0-BAD27838BC16}" name="15-Feb-24" dataDxfId="19" dataCellStyle="Comma"/>
    <tableColumn id="83" xr3:uid="{6F40F8E1-5F66-4480-8E98-947A175686A6}" name="15-May-24" dataDxfId="18" dataCellStyle="Comma"/>
    <tableColumn id="84" xr3:uid="{74BEA078-6646-42AD-A622-0879B3342429}" name="15-Aug-24" dataDxfId="17" dataCellStyle="Comma"/>
    <tableColumn id="85" xr3:uid="{18562981-96E7-407B-B954-827B3C3419CB}" name="15-Nov-24" dataDxfId="16" dataCellStyle="Comma"/>
    <tableColumn id="86" xr3:uid="{F0999A2A-1A7B-401F-AEB3-20F855579535}" name="15-Feb-25" dataDxfId="15" dataCellStyle="Comma"/>
    <tableColumn id="87" xr3:uid="{914566BD-161D-4685-B078-3F684CAF15B0}" name="15-May-25" dataDxfId="14" dataCellStyle="Comma"/>
    <tableColumn id="88" xr3:uid="{3F71BB8D-4169-458B-A2AF-A4B217488ED0}" name="15-Aug-25" dataDxfId="13" dataCellStyle="Comma"/>
    <tableColumn id="89" xr3:uid="{62ED312E-E8EA-4628-8EF8-C89CBAE2C1D2}" name="15-Nov-25" dataDxfId="12" dataCellStyle="Comma"/>
    <tableColumn id="90" xr3:uid="{62243C4D-C916-4FAB-B36B-43BE40A5461D}" name="15-Feb-26" dataDxfId="11" dataCellStyle="Comma"/>
    <tableColumn id="91" xr3:uid="{B42DAF26-7B36-4CF6-9ADD-F4724B618B56}" name="15-May-26" dataDxfId="10" dataCellStyle="Comma"/>
    <tableColumn id="92" xr3:uid="{BD90D73C-F96E-4C10-A03C-94C88DE3F48E}" name="15-Aug-26" dataDxfId="9"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32D036-F3B5-4286-B127-A08F9B5AF193}" name="tbl_Q5" displayName="tbl_Q5" ref="A14:F17" totalsRowShown="0" headerRowDxfId="0" dataDxfId="1" tableBorderDxfId="8">
  <autoFilter ref="A14:F17" xr:uid="{CC32D036-F3B5-4286-B127-A08F9B5AF193}"/>
  <tableColumns count="6">
    <tableColumn id="1" xr3:uid="{147BAD78-8B21-4D28-B6A9-E65A1DEAEC68}" name="Scenario" dataDxfId="7"/>
    <tableColumn id="2" xr3:uid="{C955BFE1-3DE1-4169-A99F-A4022BE7709F}" name="Lines rise %" dataDxfId="6">
      <calculatedColumnFormula>B9</calculatedColumnFormula>
    </tableColumn>
    <tableColumn id="3" xr3:uid="{05121157-968C-4887-A954-A160B9F63FA8}" name="Lines 2027 (c/kWh)" dataDxfId="5">
      <calculatedColumnFormula>$B$4*(1+B15)</calculatedColumnFormula>
    </tableColumn>
    <tableColumn id="4" xr3:uid="{3192D370-A20B-45D8-81CF-01BA0F06EE40}" name="Total 2027 (c/kWh)" dataDxfId="4">
      <calculatedColumnFormula>C15+$B$5</calculatedColumnFormula>
    </tableColumn>
    <tableColumn id="5" xr3:uid="{B8826105-D462-4A18-BC5D-1A1B2F281C79}" name="Bill 2027 ($/year)" dataDxfId="3">
      <calculatedColumnFormula>D15*$B$3/100</calculatedColumnFormula>
    </tableColumn>
    <tableColumn id="6" xr3:uid="{47710A30-DC88-41BE-A787-5AE75B0C5C8D}" name="Extra vs 2026 ($/year)" dataDxfId="2">
      <calculatedColumnFormula>E15-$B$6</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40F0-1BAC-4146-A9A3-BD546364D5EB}">
  <sheetPr>
    <tabColor theme="9"/>
    <pageSetUpPr fitToPage="1"/>
  </sheetPr>
  <dimension ref="A1:S82"/>
  <sheetViews>
    <sheetView view="pageBreakPreview" topLeftCell="A85" zoomScaleNormal="100" zoomScaleSheetLayoutView="100" workbookViewId="0"/>
  </sheetViews>
  <sheetFormatPr defaultColWidth="9.1796875" defaultRowHeight="12.5" x14ac:dyDescent="0.25"/>
  <cols>
    <col min="1" max="1" width="2.1796875" style="78" customWidth="1"/>
    <col min="2" max="2" width="2.7265625" style="78" customWidth="1"/>
    <col min="3" max="9" width="9.1796875" style="78"/>
    <col min="10" max="10" width="9.1796875" style="78" customWidth="1"/>
    <col min="11" max="17" width="9.1796875" style="78"/>
    <col min="18" max="18" width="2.7265625" style="78" customWidth="1"/>
    <col min="19" max="19" width="2.54296875" style="78" customWidth="1"/>
    <col min="20" max="20" width="2.7265625" style="78" customWidth="1"/>
    <col min="21" max="16384" width="9.1796875" style="78"/>
  </cols>
  <sheetData>
    <row r="1" spans="1:19" x14ac:dyDescent="0.25">
      <c r="A1" s="77"/>
      <c r="B1" s="77"/>
      <c r="C1" s="77"/>
      <c r="D1" s="77"/>
      <c r="E1" s="77"/>
      <c r="F1" s="77"/>
      <c r="G1" s="77"/>
      <c r="H1" s="77"/>
      <c r="I1" s="77"/>
      <c r="J1" s="77"/>
      <c r="K1" s="77"/>
      <c r="L1" s="77"/>
      <c r="M1" s="77"/>
      <c r="N1" s="77"/>
      <c r="O1" s="77"/>
      <c r="P1" s="77"/>
      <c r="Q1" s="77"/>
      <c r="R1" s="77"/>
      <c r="S1" s="77"/>
    </row>
    <row r="2" spans="1:19" customFormat="1" ht="14.5" x14ac:dyDescent="0.35">
      <c r="A2" s="79"/>
      <c r="B2" s="2"/>
      <c r="C2" s="2"/>
      <c r="D2" s="4"/>
      <c r="E2" s="2"/>
      <c r="F2" s="2"/>
      <c r="G2" s="2"/>
      <c r="H2" s="2"/>
      <c r="I2" s="2"/>
      <c r="J2" s="2"/>
      <c r="K2" s="2"/>
      <c r="L2" s="2"/>
      <c r="M2" s="2"/>
      <c r="N2" s="2"/>
      <c r="O2" s="2"/>
      <c r="P2" s="2"/>
      <c r="Q2" s="2"/>
      <c r="R2" s="2"/>
      <c r="S2" s="2"/>
    </row>
    <row r="3" spans="1:19" customFormat="1" ht="14.5" x14ac:dyDescent="0.35">
      <c r="A3" s="79"/>
      <c r="B3" s="2"/>
      <c r="C3" s="2"/>
      <c r="D3" s="4"/>
      <c r="E3" s="2"/>
      <c r="F3" s="2"/>
      <c r="G3" s="2"/>
      <c r="H3" s="2"/>
      <c r="I3" s="2"/>
      <c r="J3" s="2"/>
      <c r="K3" s="2"/>
      <c r="L3" s="2"/>
      <c r="M3" s="2"/>
      <c r="N3" s="2"/>
      <c r="O3" s="2"/>
      <c r="P3" s="2"/>
      <c r="Q3" s="2"/>
      <c r="R3" s="2"/>
      <c r="S3" s="2"/>
    </row>
    <row r="4" spans="1:19" customFormat="1" ht="14.5" x14ac:dyDescent="0.35">
      <c r="A4" s="79"/>
      <c r="B4" s="2"/>
      <c r="C4" s="2"/>
      <c r="D4" s="4"/>
      <c r="E4" s="2"/>
      <c r="F4" s="2"/>
      <c r="G4" s="2"/>
      <c r="H4" s="2"/>
      <c r="I4" s="2"/>
      <c r="J4" s="2"/>
      <c r="K4" s="2"/>
      <c r="L4" s="2"/>
      <c r="M4" s="2"/>
      <c r="N4" s="2"/>
      <c r="O4" s="2"/>
      <c r="P4" s="2"/>
      <c r="Q4" s="2"/>
      <c r="R4" s="2"/>
      <c r="S4" s="2"/>
    </row>
    <row r="5" spans="1:19" customFormat="1" ht="14.5" x14ac:dyDescent="0.35">
      <c r="A5" s="79"/>
      <c r="B5" s="2"/>
      <c r="C5" s="2"/>
      <c r="D5" s="4"/>
      <c r="E5" s="2"/>
      <c r="F5" s="2"/>
      <c r="G5" s="2"/>
      <c r="H5" s="2"/>
      <c r="I5" s="2"/>
      <c r="J5" s="2"/>
      <c r="K5" s="2"/>
      <c r="L5" s="2"/>
      <c r="M5" s="2"/>
      <c r="N5" s="2"/>
      <c r="O5" s="2"/>
      <c r="P5" s="2"/>
      <c r="Q5" s="2"/>
      <c r="R5" s="2"/>
      <c r="S5" s="2"/>
    </row>
    <row r="6" spans="1:19" customFormat="1" ht="14.5" x14ac:dyDescent="0.35">
      <c r="A6" s="79"/>
      <c r="B6" s="2"/>
      <c r="C6" s="2"/>
      <c r="D6" s="4"/>
      <c r="E6" s="2"/>
      <c r="F6" s="2"/>
      <c r="G6" s="2"/>
      <c r="H6" s="2"/>
      <c r="I6" s="2"/>
      <c r="J6" s="2"/>
      <c r="K6" s="2"/>
      <c r="L6" s="2"/>
      <c r="M6" s="2"/>
      <c r="N6" s="2"/>
      <c r="O6" s="2"/>
      <c r="P6" s="2"/>
      <c r="Q6" s="2"/>
      <c r="R6" s="2"/>
      <c r="S6" s="2"/>
    </row>
    <row r="7" spans="1:19" customFormat="1" ht="14.5" x14ac:dyDescent="0.35">
      <c r="A7" s="79"/>
      <c r="B7" s="2"/>
      <c r="C7" s="2"/>
      <c r="D7" s="4"/>
      <c r="E7" s="2"/>
      <c r="F7" s="2"/>
      <c r="G7" s="2"/>
      <c r="H7" s="2"/>
      <c r="I7" s="2"/>
      <c r="J7" s="2"/>
      <c r="K7" s="2"/>
      <c r="L7" s="2"/>
      <c r="M7" s="2"/>
      <c r="N7" s="2"/>
      <c r="O7" s="2"/>
      <c r="P7" s="2"/>
      <c r="Q7" s="2"/>
      <c r="R7" s="2"/>
      <c r="S7" s="2"/>
    </row>
    <row r="8" spans="1:19" customFormat="1" ht="33.5" x14ac:dyDescent="0.75">
      <c r="A8" s="2"/>
      <c r="B8" s="2"/>
      <c r="C8" s="111" t="s">
        <v>102</v>
      </c>
      <c r="D8" s="111"/>
      <c r="E8" s="111"/>
      <c r="F8" s="111"/>
      <c r="G8" s="111"/>
      <c r="H8" s="111"/>
      <c r="I8" s="111"/>
      <c r="J8" s="111"/>
      <c r="K8" s="111"/>
      <c r="L8" s="111"/>
      <c r="M8" s="111"/>
      <c r="N8" s="111"/>
      <c r="O8" s="111"/>
      <c r="P8" s="111"/>
      <c r="Q8" s="111"/>
      <c r="R8" s="2"/>
      <c r="S8" s="2"/>
    </row>
    <row r="9" spans="1:19" customFormat="1" ht="18.5" x14ac:dyDescent="0.45">
      <c r="A9" s="2"/>
      <c r="B9" s="2"/>
      <c r="C9" s="112" t="s">
        <v>143</v>
      </c>
      <c r="D9" s="112" t="s">
        <v>142</v>
      </c>
      <c r="E9" s="112" t="s">
        <v>142</v>
      </c>
      <c r="F9" s="112" t="s">
        <v>142</v>
      </c>
      <c r="G9" s="112" t="s">
        <v>142</v>
      </c>
      <c r="H9" s="112" t="s">
        <v>142</v>
      </c>
      <c r="I9" s="112" t="s">
        <v>142</v>
      </c>
      <c r="J9" s="112" t="s">
        <v>142</v>
      </c>
      <c r="K9" s="112" t="s">
        <v>142</v>
      </c>
      <c r="L9" s="112" t="s">
        <v>142</v>
      </c>
      <c r="M9" s="112" t="s">
        <v>142</v>
      </c>
      <c r="N9" s="112" t="s">
        <v>142</v>
      </c>
      <c r="O9" s="112" t="s">
        <v>142</v>
      </c>
      <c r="P9" s="112" t="s">
        <v>142</v>
      </c>
      <c r="Q9" s="112" t="s">
        <v>142</v>
      </c>
      <c r="R9" s="2"/>
      <c r="S9" s="2"/>
    </row>
    <row r="10" spans="1:19" x14ac:dyDescent="0.25">
      <c r="A10" s="77"/>
      <c r="B10" s="77"/>
      <c r="C10" s="77"/>
      <c r="D10" s="77"/>
      <c r="E10" s="77"/>
      <c r="F10" s="77"/>
      <c r="G10" s="77"/>
      <c r="H10" s="77"/>
      <c r="I10" s="77"/>
      <c r="J10" s="77"/>
      <c r="K10" s="77"/>
      <c r="L10" s="77"/>
      <c r="M10" s="77"/>
      <c r="N10" s="77"/>
      <c r="O10" s="77"/>
      <c r="P10" s="77"/>
      <c r="Q10" s="77"/>
      <c r="R10" s="77"/>
      <c r="S10" s="77"/>
    </row>
    <row r="11" spans="1:19" ht="23.5" x14ac:dyDescent="0.55000000000000004">
      <c r="A11" s="80"/>
      <c r="B11" s="77"/>
      <c r="C11" s="77"/>
      <c r="D11" s="77"/>
      <c r="E11" s="77"/>
      <c r="F11" s="77"/>
      <c r="G11" s="77"/>
      <c r="H11" s="77"/>
      <c r="I11" s="77"/>
      <c r="J11" s="77"/>
      <c r="K11" s="77"/>
      <c r="L11" s="77"/>
      <c r="M11" s="77"/>
      <c r="N11" s="77"/>
      <c r="O11" s="77"/>
      <c r="P11" s="77"/>
      <c r="Q11" s="77"/>
      <c r="R11" s="77"/>
      <c r="S11" s="77"/>
    </row>
    <row r="12" spans="1:19" ht="14.5" x14ac:dyDescent="0.25">
      <c r="A12" s="81"/>
      <c r="B12" s="82"/>
      <c r="C12" s="77"/>
      <c r="D12" s="77"/>
      <c r="E12" s="77"/>
      <c r="F12" s="77"/>
      <c r="G12" s="77"/>
      <c r="H12" s="77"/>
      <c r="I12" s="77"/>
      <c r="J12" s="77"/>
      <c r="K12" s="77"/>
      <c r="L12" s="77"/>
      <c r="M12" s="77"/>
      <c r="N12" s="77"/>
      <c r="O12" s="77"/>
      <c r="P12" s="77"/>
      <c r="Q12" s="77"/>
      <c r="R12" s="77"/>
      <c r="S12" s="77"/>
    </row>
    <row r="13" spans="1:19" ht="14.5" x14ac:dyDescent="0.35">
      <c r="A13" s="83"/>
      <c r="B13" s="82"/>
      <c r="C13" s="77"/>
      <c r="D13" s="77"/>
      <c r="E13" s="77"/>
      <c r="F13" s="77"/>
      <c r="G13" s="77"/>
      <c r="H13" s="77"/>
      <c r="I13" s="77"/>
      <c r="J13" s="77"/>
      <c r="K13" s="77"/>
      <c r="L13" s="77"/>
      <c r="M13" s="77"/>
      <c r="N13" s="77"/>
      <c r="O13" s="77"/>
      <c r="P13" s="77"/>
      <c r="Q13" s="77"/>
      <c r="R13" s="77"/>
      <c r="S13" s="77"/>
    </row>
    <row r="14" spans="1:19" ht="14" x14ac:dyDescent="0.25">
      <c r="A14" s="84"/>
      <c r="B14" s="82"/>
      <c r="C14" s="77"/>
      <c r="D14" s="77"/>
      <c r="E14" s="77"/>
      <c r="F14" s="77"/>
      <c r="G14" s="77"/>
      <c r="H14" s="77"/>
      <c r="I14" s="77"/>
      <c r="J14" s="77"/>
      <c r="K14" s="77"/>
      <c r="L14" s="77"/>
      <c r="M14" s="77"/>
      <c r="N14" s="77"/>
      <c r="O14" s="77"/>
      <c r="P14" s="77"/>
      <c r="Q14" s="77"/>
      <c r="R14" s="77"/>
      <c r="S14" s="77"/>
    </row>
    <row r="15" spans="1:19" ht="14" x14ac:dyDescent="0.25">
      <c r="A15" s="84"/>
      <c r="B15" s="82"/>
      <c r="C15" s="77"/>
      <c r="D15" s="77"/>
      <c r="E15" s="77"/>
      <c r="F15" s="77"/>
      <c r="G15" s="77"/>
      <c r="H15" s="77"/>
      <c r="I15" s="77"/>
      <c r="J15" s="77"/>
      <c r="K15" s="77"/>
      <c r="L15" s="77"/>
      <c r="M15" s="77"/>
      <c r="N15" s="77"/>
      <c r="O15" s="77"/>
      <c r="P15" s="77"/>
      <c r="Q15" s="77"/>
      <c r="R15" s="77"/>
      <c r="S15" s="77"/>
    </row>
    <row r="16" spans="1:19" ht="14" x14ac:dyDescent="0.25">
      <c r="A16" s="85"/>
      <c r="B16" s="82"/>
      <c r="C16" s="77"/>
      <c r="D16" s="77"/>
      <c r="E16" s="77"/>
      <c r="F16" s="77"/>
      <c r="G16" s="77"/>
      <c r="H16" s="77"/>
      <c r="I16" s="77"/>
      <c r="J16" s="77"/>
      <c r="K16" s="77"/>
      <c r="L16" s="77"/>
      <c r="M16" s="77"/>
      <c r="N16" s="77"/>
      <c r="O16" s="77"/>
      <c r="P16" s="77"/>
      <c r="Q16" s="77"/>
      <c r="R16" s="77"/>
      <c r="S16" s="77"/>
    </row>
    <row r="17" spans="1:19" ht="14" x14ac:dyDescent="0.25">
      <c r="A17" s="85"/>
      <c r="B17" s="82"/>
      <c r="C17" s="77"/>
      <c r="D17" s="77"/>
      <c r="E17" s="77"/>
      <c r="F17" s="77"/>
      <c r="G17" s="77"/>
      <c r="H17" s="77"/>
      <c r="I17" s="77"/>
      <c r="J17" s="77"/>
      <c r="K17" s="77"/>
      <c r="L17" s="77"/>
      <c r="M17" s="77"/>
      <c r="N17" s="77"/>
      <c r="O17" s="77"/>
      <c r="P17" s="77"/>
      <c r="Q17" s="77"/>
      <c r="R17" s="77"/>
      <c r="S17" s="77"/>
    </row>
    <row r="18" spans="1:19" ht="14" x14ac:dyDescent="0.25">
      <c r="A18" s="85"/>
      <c r="B18" s="82"/>
      <c r="C18" s="77"/>
      <c r="D18" s="77"/>
      <c r="E18" s="77"/>
      <c r="F18" s="77"/>
      <c r="G18" s="77"/>
      <c r="H18" s="77"/>
      <c r="I18" s="77"/>
      <c r="J18" s="77"/>
      <c r="K18" s="77"/>
      <c r="L18" s="77"/>
      <c r="M18" s="77"/>
      <c r="N18" s="77"/>
      <c r="O18" s="77"/>
      <c r="P18" s="77"/>
      <c r="Q18" s="77"/>
      <c r="R18" s="77"/>
      <c r="S18" s="77"/>
    </row>
    <row r="19" spans="1:19" ht="14" x14ac:dyDescent="0.25">
      <c r="A19" s="85"/>
      <c r="B19" s="82"/>
      <c r="C19" s="77"/>
      <c r="D19" s="77"/>
      <c r="E19" s="77"/>
      <c r="F19" s="77"/>
      <c r="G19" s="77"/>
      <c r="H19" s="77"/>
      <c r="I19" s="77"/>
      <c r="J19" s="77"/>
      <c r="K19" s="77"/>
      <c r="L19" s="77"/>
      <c r="M19" s="77"/>
      <c r="N19" s="77"/>
      <c r="O19" s="77"/>
      <c r="P19" s="86"/>
      <c r="Q19" s="86"/>
      <c r="R19" s="86"/>
      <c r="S19" s="77"/>
    </row>
    <row r="20" spans="1:19" ht="14.5" x14ac:dyDescent="0.25">
      <c r="A20" s="81"/>
      <c r="B20" s="82"/>
      <c r="C20" s="77"/>
      <c r="D20" s="77"/>
      <c r="E20" s="77"/>
      <c r="F20" s="77"/>
      <c r="G20" s="77"/>
      <c r="H20" s="77"/>
      <c r="I20" s="77"/>
      <c r="J20" s="77"/>
      <c r="K20" s="77"/>
      <c r="L20" s="77"/>
      <c r="M20" s="77"/>
      <c r="N20" s="77"/>
      <c r="O20" s="77"/>
      <c r="P20" s="86"/>
      <c r="Q20" s="86"/>
      <c r="R20" s="86"/>
      <c r="S20" s="77"/>
    </row>
    <row r="21" spans="1:19" ht="14" x14ac:dyDescent="0.25">
      <c r="A21" s="85"/>
      <c r="B21" s="82"/>
      <c r="C21" s="77"/>
      <c r="D21" s="77"/>
      <c r="E21" s="77"/>
      <c r="F21" s="77"/>
      <c r="G21" s="77"/>
      <c r="H21" s="77"/>
      <c r="I21" s="77"/>
      <c r="J21" s="77"/>
      <c r="K21" s="77"/>
      <c r="L21" s="77"/>
      <c r="M21" s="77"/>
      <c r="N21" s="77"/>
      <c r="O21" s="77"/>
      <c r="P21" s="86"/>
      <c r="Q21" s="86"/>
      <c r="R21" s="86"/>
      <c r="S21" s="77"/>
    </row>
    <row r="22" spans="1:19" ht="14.5" x14ac:dyDescent="0.25">
      <c r="A22" s="81"/>
      <c r="B22" s="77"/>
      <c r="C22" s="77"/>
      <c r="D22" s="77"/>
      <c r="E22" s="77"/>
      <c r="F22" s="77"/>
      <c r="G22" s="77"/>
      <c r="H22" s="77"/>
      <c r="I22" s="77"/>
      <c r="J22" s="77"/>
      <c r="K22" s="77"/>
      <c r="L22" s="77"/>
      <c r="M22" s="77"/>
      <c r="N22" s="77"/>
      <c r="O22" s="77"/>
      <c r="P22" s="86"/>
      <c r="Q22" s="86"/>
      <c r="R22" s="86"/>
      <c r="S22" s="77"/>
    </row>
    <row r="23" spans="1:19" ht="14" x14ac:dyDescent="0.25">
      <c r="A23" s="85"/>
      <c r="B23" s="77"/>
      <c r="C23" s="77"/>
      <c r="D23" s="77"/>
      <c r="E23" s="77"/>
      <c r="F23" s="77"/>
      <c r="G23" s="77"/>
      <c r="H23" s="77"/>
      <c r="I23" s="77"/>
      <c r="J23" s="77"/>
      <c r="K23" s="77"/>
      <c r="L23" s="77"/>
      <c r="M23" s="77"/>
      <c r="N23" s="77"/>
      <c r="O23" s="77"/>
      <c r="P23" s="86"/>
      <c r="Q23" s="87"/>
      <c r="R23" s="86"/>
      <c r="S23" s="77"/>
    </row>
    <row r="24" spans="1:19" ht="14.5" x14ac:dyDescent="0.25">
      <c r="A24" s="81"/>
      <c r="B24" s="77"/>
      <c r="C24" s="77"/>
      <c r="D24" s="77"/>
      <c r="E24" s="77"/>
      <c r="F24" s="77"/>
      <c r="G24" s="77"/>
      <c r="H24" s="77"/>
      <c r="I24" s="77"/>
      <c r="J24" s="77"/>
      <c r="K24" s="77"/>
      <c r="L24" s="77"/>
      <c r="M24" s="77"/>
      <c r="N24" s="77"/>
      <c r="O24" s="77"/>
      <c r="P24" s="86"/>
      <c r="Q24" s="87"/>
      <c r="R24" s="86"/>
      <c r="S24" s="77"/>
    </row>
    <row r="25" spans="1:19" ht="14" x14ac:dyDescent="0.25">
      <c r="A25" s="85"/>
      <c r="B25" s="77"/>
      <c r="C25" s="77"/>
      <c r="D25" s="77"/>
      <c r="E25" s="77"/>
      <c r="F25" s="77"/>
      <c r="G25" s="77"/>
      <c r="H25" s="77"/>
      <c r="I25" s="77"/>
      <c r="J25" s="77"/>
      <c r="K25" s="77"/>
      <c r="L25" s="77"/>
      <c r="M25" s="77"/>
      <c r="N25" s="77"/>
      <c r="O25" s="77"/>
      <c r="P25" s="86"/>
      <c r="Q25" s="87"/>
      <c r="R25" s="86"/>
      <c r="S25" s="77"/>
    </row>
    <row r="26" spans="1:19" x14ac:dyDescent="0.25">
      <c r="A26" s="77"/>
      <c r="B26" s="77"/>
      <c r="C26" s="77"/>
      <c r="D26" s="77"/>
      <c r="E26" s="77"/>
      <c r="F26" s="77"/>
      <c r="G26" s="77"/>
      <c r="H26" s="77"/>
      <c r="I26" s="77"/>
      <c r="J26" s="77"/>
      <c r="K26" s="77"/>
      <c r="L26" s="77"/>
      <c r="M26" s="77"/>
      <c r="N26" s="77"/>
      <c r="O26" s="77"/>
      <c r="P26" s="86"/>
      <c r="Q26" s="87"/>
      <c r="R26" s="86"/>
      <c r="S26" s="77"/>
    </row>
    <row r="27" spans="1:19" x14ac:dyDescent="0.25">
      <c r="A27" s="77"/>
      <c r="B27" s="77"/>
      <c r="C27" s="77"/>
      <c r="D27" s="77"/>
      <c r="E27" s="77"/>
      <c r="F27" s="77"/>
      <c r="G27" s="77"/>
      <c r="H27" s="77"/>
      <c r="I27" s="77"/>
      <c r="J27" s="77"/>
      <c r="K27" s="77"/>
      <c r="L27" s="77"/>
      <c r="M27" s="77"/>
      <c r="N27" s="77"/>
      <c r="O27" s="77"/>
      <c r="P27" s="86"/>
      <c r="Q27" s="87"/>
      <c r="R27" s="86"/>
      <c r="S27" s="77"/>
    </row>
    <row r="28" spans="1:19" x14ac:dyDescent="0.25">
      <c r="A28" s="77"/>
      <c r="B28" s="77"/>
      <c r="C28" s="77"/>
      <c r="D28" s="77"/>
      <c r="E28" s="77"/>
      <c r="F28" s="77"/>
      <c r="G28" s="77"/>
      <c r="H28" s="77"/>
      <c r="I28" s="77"/>
      <c r="J28" s="77"/>
      <c r="K28" s="77"/>
      <c r="L28" s="77"/>
      <c r="M28" s="77"/>
      <c r="N28" s="77"/>
      <c r="O28" s="77"/>
      <c r="P28" s="86"/>
      <c r="Q28" s="87"/>
      <c r="R28" s="86"/>
      <c r="S28" s="77"/>
    </row>
    <row r="29" spans="1:19" x14ac:dyDescent="0.25">
      <c r="A29" s="77"/>
      <c r="B29" s="77"/>
      <c r="C29" s="77"/>
      <c r="D29" s="77"/>
      <c r="E29" s="77"/>
      <c r="F29" s="77"/>
      <c r="G29" s="77"/>
      <c r="H29" s="77"/>
      <c r="I29" s="77"/>
      <c r="J29" s="77"/>
      <c r="K29" s="77"/>
      <c r="L29" s="77"/>
      <c r="M29" s="77"/>
      <c r="N29" s="77"/>
      <c r="O29" s="77"/>
      <c r="P29" s="86"/>
      <c r="Q29" s="87"/>
      <c r="R29" s="86"/>
      <c r="S29" s="77"/>
    </row>
    <row r="30" spans="1:19" x14ac:dyDescent="0.25">
      <c r="A30" s="77"/>
      <c r="B30" s="77"/>
      <c r="C30" s="77"/>
      <c r="D30" s="77"/>
      <c r="E30" s="77"/>
      <c r="F30" s="77"/>
      <c r="G30" s="77"/>
      <c r="H30" s="77"/>
      <c r="I30" s="77"/>
      <c r="J30" s="77"/>
      <c r="K30" s="77"/>
      <c r="L30" s="77"/>
      <c r="M30" s="77"/>
      <c r="N30" s="77"/>
      <c r="O30" s="77"/>
      <c r="P30" s="86"/>
      <c r="Q30" s="87"/>
      <c r="R30" s="86"/>
      <c r="S30" s="77"/>
    </row>
    <row r="31" spans="1:19" x14ac:dyDescent="0.25">
      <c r="A31" s="77"/>
      <c r="B31" s="77"/>
      <c r="C31" s="77"/>
      <c r="D31" s="77"/>
      <c r="E31" s="77"/>
      <c r="F31" s="77"/>
      <c r="G31" s="77"/>
      <c r="H31" s="77"/>
      <c r="I31" s="77"/>
      <c r="J31" s="77"/>
      <c r="K31" s="77"/>
      <c r="L31" s="77"/>
      <c r="M31" s="77"/>
      <c r="N31" s="77"/>
      <c r="O31" s="77"/>
      <c r="P31" s="86"/>
      <c r="Q31" s="87"/>
      <c r="R31" s="86"/>
      <c r="S31" s="77"/>
    </row>
    <row r="32" spans="1:19" x14ac:dyDescent="0.25">
      <c r="A32" s="77"/>
      <c r="B32" s="77"/>
      <c r="C32" s="77"/>
      <c r="D32" s="77"/>
      <c r="E32" s="77"/>
      <c r="F32" s="77"/>
      <c r="G32" s="77"/>
      <c r="H32" s="77"/>
      <c r="I32" s="77"/>
      <c r="J32" s="77"/>
      <c r="K32" s="77"/>
      <c r="L32" s="77"/>
      <c r="M32" s="77"/>
      <c r="N32" s="77"/>
      <c r="O32" s="77"/>
      <c r="P32" s="86"/>
      <c r="Q32" s="87"/>
      <c r="R32" s="86"/>
      <c r="S32" s="77"/>
    </row>
    <row r="33" spans="1:19" x14ac:dyDescent="0.25">
      <c r="A33" s="77"/>
      <c r="B33" s="77"/>
      <c r="C33" s="77"/>
      <c r="D33" s="77"/>
      <c r="E33" s="77"/>
      <c r="F33" s="77"/>
      <c r="G33" s="77"/>
      <c r="H33" s="77"/>
      <c r="I33" s="77"/>
      <c r="J33" s="77"/>
      <c r="K33" s="77"/>
      <c r="L33" s="77"/>
      <c r="M33" s="77"/>
      <c r="N33" s="77"/>
      <c r="O33" s="77"/>
      <c r="P33" s="86"/>
      <c r="Q33" s="87"/>
      <c r="R33" s="86"/>
      <c r="S33" s="77"/>
    </row>
    <row r="34" spans="1:19" x14ac:dyDescent="0.25">
      <c r="A34" s="77"/>
      <c r="B34" s="77"/>
      <c r="C34" s="77"/>
      <c r="D34" s="77"/>
      <c r="E34" s="77"/>
      <c r="F34" s="77"/>
      <c r="G34" s="77"/>
      <c r="H34" s="77"/>
      <c r="I34" s="77"/>
      <c r="J34" s="77"/>
      <c r="K34" s="77"/>
      <c r="L34" s="77"/>
      <c r="M34" s="77"/>
      <c r="N34" s="77"/>
      <c r="O34" s="77"/>
      <c r="P34" s="86"/>
      <c r="Q34" s="87"/>
      <c r="R34" s="86"/>
      <c r="S34" s="77"/>
    </row>
    <row r="35" spans="1:19" x14ac:dyDescent="0.25">
      <c r="A35" s="77"/>
      <c r="B35" s="77"/>
      <c r="C35" s="77"/>
      <c r="D35" s="77"/>
      <c r="E35" s="77"/>
      <c r="F35" s="77"/>
      <c r="G35" s="77"/>
      <c r="H35" s="77"/>
      <c r="I35" s="77"/>
      <c r="J35" s="77"/>
      <c r="K35" s="77"/>
      <c r="L35" s="77"/>
      <c r="M35" s="77"/>
      <c r="N35" s="77"/>
      <c r="O35" s="77"/>
      <c r="P35" s="86"/>
      <c r="Q35" s="87"/>
      <c r="R35" s="86"/>
      <c r="S35" s="77"/>
    </row>
    <row r="36" spans="1:19" x14ac:dyDescent="0.25">
      <c r="A36" s="77"/>
      <c r="B36" s="77"/>
      <c r="C36" s="77"/>
      <c r="D36" s="77"/>
      <c r="E36" s="77"/>
      <c r="F36" s="77"/>
      <c r="G36" s="77"/>
      <c r="H36" s="77"/>
      <c r="I36" s="77"/>
      <c r="J36" s="77"/>
      <c r="K36" s="77"/>
      <c r="L36" s="77"/>
      <c r="M36" s="77"/>
      <c r="N36" s="77"/>
      <c r="O36" s="77"/>
      <c r="P36" s="86"/>
      <c r="Q36" s="87"/>
      <c r="R36" s="86"/>
      <c r="S36" s="77"/>
    </row>
    <row r="37" spans="1:19" x14ac:dyDescent="0.25">
      <c r="A37" s="77"/>
      <c r="B37" s="77"/>
      <c r="C37" s="77"/>
      <c r="D37" s="77"/>
      <c r="E37" s="77"/>
      <c r="F37" s="77"/>
      <c r="G37" s="77"/>
      <c r="H37" s="77"/>
      <c r="I37" s="77"/>
      <c r="J37" s="77"/>
      <c r="K37" s="77"/>
      <c r="L37" s="77"/>
      <c r="M37" s="77"/>
      <c r="N37" s="77"/>
      <c r="O37" s="77"/>
      <c r="P37" s="86"/>
      <c r="Q37" s="87"/>
      <c r="R37" s="86"/>
      <c r="S37" s="77"/>
    </row>
    <row r="38" spans="1:19" x14ac:dyDescent="0.25">
      <c r="A38" s="77"/>
      <c r="B38" s="77"/>
      <c r="C38" s="77"/>
      <c r="D38" s="77"/>
      <c r="E38" s="77"/>
      <c r="F38" s="77"/>
      <c r="G38" s="77"/>
      <c r="H38" s="77"/>
      <c r="I38" s="77"/>
      <c r="J38" s="77"/>
      <c r="K38" s="77"/>
      <c r="L38" s="77"/>
      <c r="M38" s="77"/>
      <c r="N38" s="77"/>
      <c r="O38" s="77"/>
      <c r="P38" s="86"/>
      <c r="Q38" s="87"/>
      <c r="R38" s="86"/>
      <c r="S38" s="77"/>
    </row>
    <row r="39" spans="1:19" x14ac:dyDescent="0.25">
      <c r="A39" s="77"/>
      <c r="B39" s="77"/>
      <c r="C39" s="77"/>
      <c r="D39" s="77"/>
      <c r="E39" s="77"/>
      <c r="F39" s="77"/>
      <c r="G39" s="77"/>
      <c r="H39" s="77"/>
      <c r="I39" s="77"/>
      <c r="J39" s="77"/>
      <c r="K39" s="77"/>
      <c r="L39" s="77"/>
      <c r="M39" s="77"/>
      <c r="N39" s="77"/>
      <c r="O39" s="77"/>
      <c r="P39" s="86"/>
      <c r="Q39" s="87"/>
      <c r="R39" s="86"/>
      <c r="S39" s="77"/>
    </row>
    <row r="40" spans="1:19" x14ac:dyDescent="0.25">
      <c r="A40" s="77"/>
      <c r="B40" s="77"/>
      <c r="C40" s="77"/>
      <c r="D40" s="77"/>
      <c r="E40" s="77"/>
      <c r="F40" s="77"/>
      <c r="G40" s="77"/>
      <c r="H40" s="77"/>
      <c r="I40" s="77"/>
      <c r="J40" s="77"/>
      <c r="K40" s="77"/>
      <c r="L40" s="77"/>
      <c r="M40" s="77"/>
      <c r="N40" s="77"/>
      <c r="O40" s="77"/>
      <c r="P40" s="86"/>
      <c r="Q40" s="87"/>
      <c r="R40" s="86"/>
      <c r="S40" s="77"/>
    </row>
    <row r="41" spans="1:19" x14ac:dyDescent="0.25">
      <c r="A41" s="77"/>
      <c r="B41" s="77"/>
      <c r="C41" s="77"/>
      <c r="D41" s="77"/>
      <c r="E41" s="77"/>
      <c r="F41" s="77"/>
      <c r="G41" s="77"/>
      <c r="H41" s="77"/>
      <c r="I41" s="77"/>
      <c r="J41" s="77"/>
      <c r="K41" s="77"/>
      <c r="L41" s="77"/>
      <c r="M41" s="77"/>
      <c r="N41" s="77"/>
      <c r="O41" s="77"/>
      <c r="P41" s="86"/>
      <c r="Q41" s="87"/>
      <c r="R41" s="86"/>
      <c r="S41" s="77"/>
    </row>
    <row r="42" spans="1:19" x14ac:dyDescent="0.25">
      <c r="A42" s="77"/>
      <c r="B42" s="77"/>
      <c r="C42" s="77"/>
      <c r="D42" s="77"/>
      <c r="E42" s="77"/>
      <c r="F42" s="77"/>
      <c r="G42" s="77"/>
      <c r="H42" s="77"/>
      <c r="I42" s="77"/>
      <c r="J42" s="77"/>
      <c r="K42" s="77"/>
      <c r="L42" s="77"/>
      <c r="M42" s="77"/>
      <c r="N42" s="77"/>
      <c r="O42" s="77"/>
      <c r="P42" s="86"/>
      <c r="Q42" s="87"/>
      <c r="R42" s="86"/>
      <c r="S42" s="77"/>
    </row>
    <row r="43" spans="1:19" x14ac:dyDescent="0.25">
      <c r="A43" s="77"/>
      <c r="B43" s="77"/>
      <c r="C43" s="77"/>
      <c r="D43" s="77"/>
      <c r="E43" s="77"/>
      <c r="F43" s="77"/>
      <c r="G43" s="77"/>
      <c r="H43" s="77"/>
      <c r="I43" s="77"/>
      <c r="J43" s="77"/>
      <c r="K43" s="77"/>
      <c r="L43" s="77"/>
      <c r="M43" s="77"/>
      <c r="N43" s="77"/>
      <c r="O43" s="77"/>
      <c r="P43" s="86"/>
      <c r="Q43" s="87"/>
      <c r="R43" s="86"/>
      <c r="S43" s="77"/>
    </row>
    <row r="44" spans="1:19" x14ac:dyDescent="0.25">
      <c r="A44" s="77"/>
      <c r="B44" s="77"/>
      <c r="C44" s="77"/>
      <c r="D44" s="77"/>
      <c r="E44" s="77"/>
      <c r="F44" s="77"/>
      <c r="G44" s="77"/>
      <c r="H44" s="77"/>
      <c r="I44" s="77"/>
      <c r="J44" s="77"/>
      <c r="K44" s="77"/>
      <c r="L44" s="77"/>
      <c r="M44" s="77"/>
      <c r="N44" s="77"/>
      <c r="O44" s="77"/>
      <c r="P44" s="86"/>
      <c r="Q44" s="87"/>
      <c r="R44" s="86"/>
      <c r="S44" s="77"/>
    </row>
    <row r="45" spans="1:19" x14ac:dyDescent="0.25">
      <c r="A45" s="77"/>
      <c r="B45" s="77"/>
      <c r="C45" s="77"/>
      <c r="D45" s="77"/>
      <c r="E45" s="77"/>
      <c r="F45" s="77"/>
      <c r="G45" s="77"/>
      <c r="H45" s="77"/>
      <c r="I45" s="77"/>
      <c r="J45" s="77"/>
      <c r="K45" s="77"/>
      <c r="L45" s="77"/>
      <c r="M45" s="77"/>
      <c r="N45" s="77"/>
      <c r="O45" s="77"/>
      <c r="P45" s="86"/>
      <c r="Q45" s="87"/>
      <c r="R45" s="86"/>
      <c r="S45" s="77"/>
    </row>
    <row r="46" spans="1:19" x14ac:dyDescent="0.25">
      <c r="A46" s="77"/>
      <c r="B46" s="77"/>
      <c r="C46" s="77"/>
      <c r="D46" s="77"/>
      <c r="E46" s="77"/>
      <c r="F46" s="77"/>
      <c r="G46" s="77"/>
      <c r="H46" s="77"/>
      <c r="I46" s="77"/>
      <c r="J46" s="77"/>
      <c r="K46" s="77"/>
      <c r="L46" s="77"/>
      <c r="M46" s="77"/>
      <c r="N46" s="77"/>
      <c r="O46" s="77"/>
      <c r="P46" s="86"/>
      <c r="Q46" s="87"/>
      <c r="R46" s="86"/>
      <c r="S46" s="77"/>
    </row>
    <row r="47" spans="1:19" x14ac:dyDescent="0.25">
      <c r="A47" s="77"/>
      <c r="B47" s="77"/>
      <c r="C47" s="77"/>
      <c r="D47" s="77"/>
      <c r="E47" s="77"/>
      <c r="F47" s="77"/>
      <c r="G47" s="77"/>
      <c r="H47" s="77"/>
      <c r="I47" s="77"/>
      <c r="J47" s="77"/>
      <c r="K47" s="77"/>
      <c r="L47" s="77"/>
      <c r="M47" s="77"/>
      <c r="N47" s="77"/>
      <c r="O47" s="77"/>
      <c r="P47" s="86"/>
      <c r="Q47" s="86"/>
      <c r="R47" s="86"/>
      <c r="S47" s="77"/>
    </row>
    <row r="48" spans="1:19" x14ac:dyDescent="0.25">
      <c r="A48" s="77"/>
      <c r="B48" s="77"/>
      <c r="C48" s="77"/>
      <c r="D48" s="77"/>
      <c r="E48" s="77"/>
      <c r="F48" s="77"/>
      <c r="G48" s="77"/>
      <c r="H48" s="77"/>
      <c r="I48" s="77"/>
      <c r="J48" s="77"/>
      <c r="K48" s="77"/>
      <c r="L48" s="77"/>
      <c r="M48" s="77"/>
      <c r="N48" s="77"/>
      <c r="O48" s="77"/>
      <c r="P48" s="86"/>
      <c r="Q48" s="86"/>
      <c r="R48" s="86"/>
      <c r="S48" s="77"/>
    </row>
    <row r="49" spans="1:19" x14ac:dyDescent="0.25">
      <c r="A49" s="77"/>
      <c r="B49" s="77"/>
      <c r="C49" s="77"/>
      <c r="D49" s="77"/>
      <c r="E49" s="77"/>
      <c r="F49" s="77"/>
      <c r="G49" s="77"/>
      <c r="H49" s="77"/>
      <c r="I49" s="77"/>
      <c r="J49" s="77"/>
      <c r="K49" s="77"/>
      <c r="L49" s="77"/>
      <c r="M49" s="77"/>
      <c r="N49" s="77"/>
      <c r="O49" s="77"/>
      <c r="P49" s="86"/>
      <c r="Q49" s="86"/>
      <c r="R49" s="86"/>
      <c r="S49" s="77"/>
    </row>
    <row r="50" spans="1:19" x14ac:dyDescent="0.25">
      <c r="A50" s="77"/>
      <c r="B50" s="77"/>
      <c r="C50" s="77"/>
      <c r="D50" s="77"/>
      <c r="E50" s="77"/>
      <c r="F50" s="77"/>
      <c r="G50" s="77"/>
      <c r="H50" s="77"/>
      <c r="I50" s="77"/>
      <c r="J50" s="77"/>
      <c r="K50" s="77"/>
      <c r="L50" s="77"/>
      <c r="M50" s="77"/>
      <c r="N50" s="77"/>
      <c r="O50" s="77"/>
      <c r="P50" s="86"/>
      <c r="Q50" s="86"/>
      <c r="R50" s="86"/>
      <c r="S50" s="77"/>
    </row>
    <row r="51" spans="1:19" x14ac:dyDescent="0.25">
      <c r="A51" s="77"/>
      <c r="B51" s="77"/>
      <c r="C51" s="77"/>
      <c r="D51" s="77"/>
      <c r="E51" s="77"/>
      <c r="F51" s="77"/>
      <c r="G51" s="77"/>
      <c r="H51" s="77"/>
      <c r="I51" s="77"/>
      <c r="J51" s="77"/>
      <c r="K51" s="77"/>
      <c r="L51" s="77"/>
      <c r="M51" s="77"/>
      <c r="N51" s="77"/>
      <c r="O51" s="77"/>
      <c r="P51" s="86"/>
      <c r="Q51" s="86"/>
      <c r="R51" s="86"/>
      <c r="S51" s="77"/>
    </row>
    <row r="52" spans="1:19" x14ac:dyDescent="0.25">
      <c r="A52" s="77"/>
      <c r="B52" s="77"/>
      <c r="C52" s="77"/>
      <c r="D52" s="77"/>
      <c r="E52" s="77"/>
      <c r="F52" s="77"/>
      <c r="G52" s="77"/>
      <c r="H52" s="77"/>
      <c r="I52" s="77"/>
      <c r="J52" s="77"/>
      <c r="K52" s="77"/>
      <c r="L52" s="77"/>
      <c r="M52" s="77"/>
      <c r="N52" s="77"/>
      <c r="O52" s="77"/>
      <c r="P52" s="86"/>
      <c r="Q52" s="86"/>
      <c r="R52" s="86"/>
      <c r="S52" s="77"/>
    </row>
    <row r="53" spans="1:19" x14ac:dyDescent="0.25">
      <c r="A53" s="77"/>
      <c r="B53" s="77"/>
      <c r="C53" s="77"/>
      <c r="D53" s="77"/>
      <c r="E53" s="77"/>
      <c r="F53" s="77"/>
      <c r="G53" s="77"/>
      <c r="H53" s="77"/>
      <c r="I53" s="77"/>
      <c r="J53" s="77"/>
      <c r="K53" s="77"/>
      <c r="L53" s="77"/>
      <c r="M53" s="77"/>
      <c r="N53" s="77"/>
      <c r="O53" s="77"/>
      <c r="P53" s="86"/>
      <c r="Q53" s="86"/>
      <c r="R53" s="86"/>
      <c r="S53" s="77"/>
    </row>
    <row r="54" spans="1:19" x14ac:dyDescent="0.25">
      <c r="A54" s="77"/>
      <c r="B54" s="77"/>
      <c r="C54" s="77"/>
      <c r="D54" s="77"/>
      <c r="E54" s="77"/>
      <c r="F54" s="77"/>
      <c r="G54" s="77"/>
      <c r="H54" s="77"/>
      <c r="I54" s="77"/>
      <c r="J54" s="77"/>
      <c r="K54" s="77"/>
      <c r="L54" s="77"/>
      <c r="M54" s="77"/>
      <c r="N54" s="77"/>
      <c r="O54" s="77"/>
      <c r="P54" s="86"/>
      <c r="Q54" s="86"/>
      <c r="R54" s="86"/>
      <c r="S54" s="77"/>
    </row>
    <row r="55" spans="1:19" x14ac:dyDescent="0.25">
      <c r="A55" s="77"/>
      <c r="B55" s="77"/>
      <c r="C55" s="77"/>
      <c r="D55" s="77"/>
      <c r="E55" s="77"/>
      <c r="F55" s="77"/>
      <c r="G55" s="77"/>
      <c r="H55" s="77"/>
      <c r="I55" s="77"/>
      <c r="J55" s="77"/>
      <c r="K55" s="77"/>
      <c r="L55" s="77"/>
      <c r="M55" s="77"/>
      <c r="N55" s="77"/>
      <c r="O55" s="77"/>
      <c r="P55" s="86"/>
      <c r="Q55" s="86"/>
      <c r="R55" s="86"/>
      <c r="S55" s="77"/>
    </row>
    <row r="56" spans="1:19" x14ac:dyDescent="0.25">
      <c r="A56" s="77"/>
      <c r="B56" s="77"/>
      <c r="C56" s="77"/>
      <c r="D56" s="77"/>
      <c r="E56" s="77"/>
      <c r="F56" s="77"/>
      <c r="G56" s="77"/>
      <c r="H56" s="77"/>
      <c r="I56" s="77"/>
      <c r="J56" s="77"/>
      <c r="K56" s="77"/>
      <c r="L56" s="77"/>
      <c r="M56" s="77"/>
      <c r="N56" s="77"/>
      <c r="O56" s="77"/>
      <c r="P56" s="86"/>
      <c r="Q56" s="86"/>
      <c r="R56" s="86"/>
      <c r="S56" s="77"/>
    </row>
    <row r="57" spans="1:19" x14ac:dyDescent="0.25">
      <c r="A57" s="77"/>
      <c r="B57" s="77"/>
      <c r="C57" s="77"/>
      <c r="D57" s="77"/>
      <c r="E57" s="77"/>
      <c r="F57" s="77"/>
      <c r="G57" s="77"/>
      <c r="H57" s="77"/>
      <c r="I57" s="77"/>
      <c r="J57" s="77"/>
      <c r="K57" s="77"/>
      <c r="L57" s="77"/>
      <c r="M57" s="77"/>
      <c r="N57" s="77"/>
      <c r="O57" s="77"/>
      <c r="P57" s="86"/>
      <c r="Q57" s="86"/>
      <c r="R57" s="86"/>
      <c r="S57" s="77"/>
    </row>
    <row r="58" spans="1:19" x14ac:dyDescent="0.25">
      <c r="A58" s="77"/>
      <c r="B58" s="77"/>
      <c r="C58" s="77"/>
      <c r="D58" s="77"/>
      <c r="E58" s="77"/>
      <c r="F58" s="77"/>
      <c r="G58" s="77"/>
      <c r="H58" s="77"/>
      <c r="I58" s="77"/>
      <c r="J58" s="77"/>
      <c r="K58" s="77"/>
      <c r="L58" s="77"/>
      <c r="M58" s="77"/>
      <c r="N58" s="77"/>
      <c r="O58" s="77"/>
      <c r="P58" s="86"/>
      <c r="Q58" s="86"/>
      <c r="R58" s="86"/>
      <c r="S58" s="77"/>
    </row>
    <row r="59" spans="1:19" x14ac:dyDescent="0.25">
      <c r="A59" s="77"/>
      <c r="B59" s="77"/>
      <c r="C59" s="77"/>
      <c r="D59" s="77"/>
      <c r="E59" s="77"/>
      <c r="F59" s="77"/>
      <c r="G59" s="77"/>
      <c r="H59" s="77"/>
      <c r="I59" s="77"/>
      <c r="J59" s="77"/>
      <c r="K59" s="77"/>
      <c r="L59" s="77"/>
      <c r="M59" s="77"/>
      <c r="N59" s="77"/>
      <c r="O59" s="77"/>
      <c r="P59" s="86"/>
      <c r="Q59" s="86"/>
      <c r="R59" s="86"/>
      <c r="S59" s="77"/>
    </row>
    <row r="60" spans="1:19" x14ac:dyDescent="0.25">
      <c r="A60" s="77"/>
      <c r="B60" s="77"/>
      <c r="C60" s="77"/>
      <c r="D60" s="77"/>
      <c r="E60" s="77"/>
      <c r="F60" s="77"/>
      <c r="G60" s="77"/>
      <c r="H60" s="77"/>
      <c r="I60" s="77"/>
      <c r="J60" s="77"/>
      <c r="K60" s="77"/>
      <c r="L60" s="77"/>
      <c r="M60" s="77"/>
      <c r="N60" s="77"/>
      <c r="O60" s="77"/>
      <c r="P60" s="86"/>
      <c r="Q60" s="86"/>
      <c r="R60" s="86"/>
      <c r="S60" s="77"/>
    </row>
    <row r="61" spans="1:19" x14ac:dyDescent="0.25">
      <c r="A61" s="77"/>
      <c r="B61" s="77"/>
      <c r="C61" s="77"/>
      <c r="D61" s="77"/>
      <c r="E61" s="77"/>
      <c r="F61" s="77"/>
      <c r="G61" s="77"/>
      <c r="H61" s="77"/>
      <c r="I61" s="77"/>
      <c r="J61" s="77"/>
      <c r="K61" s="77"/>
      <c r="L61" s="77"/>
      <c r="M61" s="77"/>
      <c r="N61" s="77"/>
      <c r="O61" s="77"/>
      <c r="P61" s="86"/>
      <c r="Q61" s="86"/>
      <c r="R61" s="86"/>
      <c r="S61" s="77"/>
    </row>
    <row r="62" spans="1:19" x14ac:dyDescent="0.25">
      <c r="A62" s="77"/>
      <c r="B62" s="77"/>
      <c r="C62" s="77"/>
      <c r="D62" s="77"/>
      <c r="E62" s="77"/>
      <c r="F62" s="77"/>
      <c r="G62" s="77"/>
      <c r="H62" s="77"/>
      <c r="I62" s="77"/>
      <c r="J62" s="77"/>
      <c r="K62" s="77"/>
      <c r="L62" s="77"/>
      <c r="M62" s="77"/>
      <c r="N62" s="77"/>
      <c r="O62" s="77"/>
      <c r="P62" s="86"/>
      <c r="Q62" s="86"/>
      <c r="R62" s="86"/>
      <c r="S62" s="77"/>
    </row>
    <row r="63" spans="1:19" x14ac:dyDescent="0.25">
      <c r="A63" s="77"/>
      <c r="B63" s="77"/>
      <c r="C63" s="77"/>
      <c r="D63" s="77"/>
      <c r="E63" s="77"/>
      <c r="F63" s="77"/>
      <c r="G63" s="77"/>
      <c r="H63" s="77"/>
      <c r="I63" s="77"/>
      <c r="J63" s="77"/>
      <c r="K63" s="77"/>
      <c r="L63" s="77"/>
      <c r="M63" s="77"/>
      <c r="N63" s="77"/>
      <c r="O63" s="77"/>
      <c r="P63" s="86"/>
      <c r="Q63" s="86"/>
      <c r="R63" s="86"/>
      <c r="S63" s="77"/>
    </row>
    <row r="64" spans="1:19" x14ac:dyDescent="0.25">
      <c r="A64" s="77"/>
      <c r="B64" s="77"/>
      <c r="C64" s="77"/>
      <c r="D64" s="77"/>
      <c r="E64" s="77"/>
      <c r="F64" s="77"/>
      <c r="G64" s="77"/>
      <c r="H64" s="77"/>
      <c r="I64" s="77"/>
      <c r="J64" s="77"/>
      <c r="K64" s="77"/>
      <c r="L64" s="77"/>
      <c r="M64" s="77"/>
      <c r="N64" s="77"/>
      <c r="O64" s="77"/>
      <c r="P64" s="86"/>
      <c r="Q64" s="86"/>
      <c r="R64" s="86"/>
      <c r="S64" s="77"/>
    </row>
    <row r="65" spans="1:19" x14ac:dyDescent="0.25">
      <c r="A65" s="77"/>
      <c r="B65" s="77"/>
      <c r="C65" s="77"/>
      <c r="D65" s="77"/>
      <c r="E65" s="77"/>
      <c r="F65" s="77"/>
      <c r="G65" s="77"/>
      <c r="H65" s="77"/>
      <c r="I65" s="77"/>
      <c r="J65" s="77"/>
      <c r="K65" s="77"/>
      <c r="L65" s="77"/>
      <c r="M65" s="77"/>
      <c r="N65" s="77"/>
      <c r="O65" s="77"/>
      <c r="P65" s="77"/>
      <c r="Q65" s="77"/>
      <c r="R65" s="77"/>
      <c r="S65" s="77"/>
    </row>
    <row r="66" spans="1:19" x14ac:dyDescent="0.25">
      <c r="A66" s="77"/>
      <c r="B66" s="77"/>
      <c r="C66" s="77"/>
      <c r="D66" s="77"/>
      <c r="E66" s="77"/>
      <c r="F66" s="77"/>
      <c r="G66" s="77"/>
      <c r="H66" s="77"/>
      <c r="I66" s="77"/>
      <c r="J66" s="77"/>
      <c r="K66" s="77"/>
      <c r="L66" s="77"/>
      <c r="M66" s="77"/>
      <c r="N66" s="77"/>
      <c r="O66" s="77"/>
      <c r="P66" s="77"/>
      <c r="Q66" s="77"/>
      <c r="R66" s="77"/>
      <c r="S66" s="77"/>
    </row>
    <row r="67" spans="1:19" x14ac:dyDescent="0.25">
      <c r="A67" s="77"/>
      <c r="B67" s="77"/>
      <c r="C67" s="77"/>
      <c r="D67" s="77"/>
      <c r="E67" s="77"/>
      <c r="F67" s="77"/>
      <c r="G67" s="77"/>
      <c r="H67" s="77"/>
      <c r="I67" s="77"/>
      <c r="J67" s="77"/>
      <c r="K67" s="77"/>
      <c r="L67" s="77"/>
      <c r="M67" s="77"/>
      <c r="N67" s="77"/>
      <c r="O67" s="77"/>
      <c r="P67" s="77"/>
      <c r="Q67" s="77"/>
      <c r="R67" s="77"/>
      <c r="S67" s="77"/>
    </row>
    <row r="68" spans="1:19" x14ac:dyDescent="0.25">
      <c r="A68" s="77"/>
      <c r="B68" s="77"/>
      <c r="C68" s="77"/>
      <c r="D68" s="77"/>
      <c r="E68" s="77"/>
      <c r="F68" s="77"/>
      <c r="G68" s="77"/>
      <c r="H68" s="77"/>
      <c r="I68" s="77"/>
      <c r="J68" s="77"/>
      <c r="K68" s="77"/>
      <c r="L68" s="77"/>
      <c r="M68" s="77"/>
      <c r="N68" s="77"/>
      <c r="O68" s="77"/>
      <c r="P68" s="77"/>
      <c r="Q68" s="77"/>
      <c r="R68" s="77"/>
      <c r="S68" s="77"/>
    </row>
    <row r="69" spans="1:19" x14ac:dyDescent="0.25">
      <c r="A69" s="77"/>
      <c r="B69" s="77"/>
      <c r="C69" s="77"/>
      <c r="D69" s="77"/>
      <c r="E69" s="77"/>
      <c r="F69" s="77"/>
      <c r="G69" s="77"/>
      <c r="H69" s="77"/>
      <c r="I69" s="77"/>
      <c r="J69" s="77"/>
      <c r="K69" s="77"/>
      <c r="L69" s="77"/>
      <c r="M69" s="77"/>
      <c r="N69" s="77"/>
      <c r="O69" s="77"/>
      <c r="P69" s="77"/>
      <c r="Q69" s="77"/>
      <c r="R69" s="77"/>
      <c r="S69" s="77"/>
    </row>
    <row r="70" spans="1:19" x14ac:dyDescent="0.25">
      <c r="A70" s="77"/>
      <c r="B70" s="77"/>
      <c r="C70" s="77"/>
      <c r="D70" s="77"/>
      <c r="E70" s="77"/>
      <c r="F70" s="77"/>
      <c r="G70" s="77"/>
      <c r="H70" s="77"/>
      <c r="I70" s="77"/>
      <c r="J70" s="77"/>
      <c r="K70" s="77"/>
      <c r="L70" s="77"/>
      <c r="M70" s="77"/>
      <c r="N70" s="77"/>
      <c r="O70" s="77"/>
      <c r="P70" s="77"/>
      <c r="Q70" s="77"/>
      <c r="R70" s="77"/>
      <c r="S70" s="77"/>
    </row>
    <row r="71" spans="1:19" x14ac:dyDescent="0.25">
      <c r="A71" s="77"/>
      <c r="B71" s="77"/>
      <c r="C71" s="77"/>
      <c r="D71" s="77"/>
      <c r="E71" s="77"/>
      <c r="F71" s="77"/>
      <c r="G71" s="77"/>
      <c r="H71" s="77"/>
      <c r="I71" s="77"/>
      <c r="J71" s="77"/>
      <c r="K71" s="77"/>
      <c r="L71" s="77"/>
      <c r="M71" s="77"/>
      <c r="N71" s="77"/>
      <c r="O71" s="77"/>
      <c r="P71" s="77"/>
      <c r="Q71" s="77"/>
      <c r="R71" s="77"/>
      <c r="S71" s="77"/>
    </row>
    <row r="72" spans="1:19" x14ac:dyDescent="0.25">
      <c r="A72" s="77"/>
      <c r="B72" s="77"/>
      <c r="C72" s="77"/>
      <c r="D72" s="77"/>
      <c r="E72" s="77"/>
      <c r="F72" s="77"/>
      <c r="G72" s="77"/>
      <c r="H72" s="77"/>
      <c r="I72" s="77"/>
      <c r="J72" s="77"/>
      <c r="K72" s="77"/>
      <c r="L72" s="77"/>
      <c r="M72" s="77"/>
      <c r="N72" s="77"/>
      <c r="O72" s="77"/>
      <c r="P72" s="77"/>
      <c r="Q72" s="77"/>
      <c r="R72" s="77"/>
      <c r="S72" s="77"/>
    </row>
    <row r="73" spans="1:19" x14ac:dyDescent="0.25">
      <c r="A73" s="77"/>
      <c r="B73" s="77"/>
      <c r="C73" s="77"/>
      <c r="D73" s="77"/>
      <c r="E73" s="77"/>
      <c r="F73" s="77"/>
      <c r="G73" s="77"/>
      <c r="H73" s="77"/>
      <c r="I73" s="77"/>
      <c r="J73" s="77"/>
      <c r="K73" s="77"/>
      <c r="L73" s="77"/>
      <c r="M73" s="77"/>
      <c r="N73" s="77"/>
      <c r="O73" s="77"/>
      <c r="P73" s="77"/>
      <c r="Q73" s="77"/>
      <c r="R73" s="77"/>
      <c r="S73" s="77"/>
    </row>
    <row r="74" spans="1:19" x14ac:dyDescent="0.25">
      <c r="A74" s="77"/>
      <c r="B74" s="77"/>
      <c r="C74" s="77"/>
      <c r="D74" s="77"/>
      <c r="E74" s="77"/>
      <c r="F74" s="77"/>
      <c r="G74" s="77"/>
      <c r="H74" s="77"/>
      <c r="I74" s="77"/>
      <c r="J74" s="77"/>
      <c r="K74" s="77"/>
      <c r="L74" s="77"/>
      <c r="M74" s="77"/>
      <c r="N74" s="77"/>
      <c r="O74" s="77"/>
      <c r="P74" s="77"/>
      <c r="Q74" s="77"/>
      <c r="R74" s="77"/>
      <c r="S74" s="77"/>
    </row>
    <row r="75" spans="1:19" x14ac:dyDescent="0.25">
      <c r="A75" s="77"/>
      <c r="B75" s="77"/>
      <c r="C75" s="77"/>
      <c r="D75" s="77"/>
      <c r="E75" s="77"/>
      <c r="F75" s="77"/>
      <c r="G75" s="77"/>
      <c r="H75" s="77"/>
      <c r="I75" s="77"/>
      <c r="J75" s="77"/>
      <c r="K75" s="77"/>
      <c r="L75" s="77"/>
      <c r="M75" s="77"/>
      <c r="N75" s="77"/>
      <c r="O75" s="77"/>
      <c r="P75" s="77"/>
      <c r="Q75" s="77"/>
      <c r="R75" s="77"/>
      <c r="S75" s="77"/>
    </row>
    <row r="76" spans="1:19" x14ac:dyDescent="0.25">
      <c r="A76" s="77"/>
      <c r="B76" s="77"/>
      <c r="C76" s="77"/>
      <c r="D76" s="77"/>
      <c r="E76" s="77"/>
      <c r="F76" s="77"/>
      <c r="G76" s="77"/>
      <c r="H76" s="77"/>
      <c r="I76" s="77"/>
      <c r="J76" s="77"/>
      <c r="K76" s="77"/>
      <c r="L76" s="77"/>
      <c r="M76" s="77"/>
      <c r="N76" s="77"/>
      <c r="O76" s="77"/>
      <c r="P76" s="77"/>
      <c r="Q76" s="77"/>
      <c r="R76" s="77"/>
      <c r="S76" s="77"/>
    </row>
    <row r="77" spans="1:19" x14ac:dyDescent="0.25">
      <c r="A77" s="77"/>
      <c r="B77" s="77"/>
      <c r="C77" s="77"/>
      <c r="D77" s="77"/>
      <c r="E77" s="77"/>
      <c r="F77" s="77"/>
      <c r="G77" s="77"/>
      <c r="H77" s="77"/>
      <c r="I77" s="77"/>
      <c r="J77" s="77"/>
      <c r="K77" s="77"/>
      <c r="L77" s="77"/>
      <c r="M77" s="77"/>
      <c r="N77" s="77"/>
      <c r="O77" s="77"/>
      <c r="P77" s="77"/>
      <c r="Q77" s="77"/>
      <c r="R77" s="77"/>
      <c r="S77" s="77"/>
    </row>
    <row r="78" spans="1:19" x14ac:dyDescent="0.25">
      <c r="A78" s="77"/>
      <c r="B78" s="77"/>
      <c r="C78" s="77"/>
      <c r="D78" s="77"/>
      <c r="E78" s="77"/>
      <c r="F78" s="77"/>
      <c r="G78" s="77"/>
      <c r="H78" s="77"/>
      <c r="I78" s="77"/>
      <c r="J78" s="77"/>
      <c r="K78" s="77"/>
      <c r="L78" s="77"/>
      <c r="M78" s="77"/>
      <c r="N78" s="77"/>
      <c r="O78" s="77"/>
      <c r="P78" s="77"/>
      <c r="Q78" s="77"/>
      <c r="R78" s="77"/>
      <c r="S78" s="77"/>
    </row>
    <row r="79" spans="1:19" x14ac:dyDescent="0.25">
      <c r="A79" s="77"/>
      <c r="B79" s="77"/>
      <c r="C79" s="77"/>
      <c r="D79" s="77"/>
      <c r="E79" s="77"/>
      <c r="F79" s="77"/>
      <c r="G79" s="77"/>
      <c r="H79" s="77"/>
      <c r="I79" s="77"/>
      <c r="J79" s="77"/>
      <c r="K79" s="77"/>
      <c r="L79" s="77"/>
      <c r="M79" s="77"/>
      <c r="N79" s="77"/>
      <c r="O79" s="77"/>
      <c r="P79" s="77"/>
      <c r="Q79" s="77"/>
      <c r="R79" s="77"/>
      <c r="S79" s="77"/>
    </row>
    <row r="80" spans="1:19" x14ac:dyDescent="0.25">
      <c r="A80" s="77"/>
      <c r="B80" s="77"/>
      <c r="C80" s="77"/>
      <c r="D80" s="77"/>
      <c r="E80" s="77"/>
      <c r="F80" s="77"/>
      <c r="G80" s="77"/>
      <c r="H80" s="77"/>
      <c r="I80" s="77"/>
      <c r="J80" s="77"/>
      <c r="K80" s="77"/>
      <c r="L80" s="77"/>
      <c r="M80" s="77"/>
      <c r="N80" s="77"/>
      <c r="O80" s="77"/>
      <c r="P80" s="77"/>
      <c r="Q80" s="77"/>
      <c r="R80" s="77"/>
      <c r="S80" s="77"/>
    </row>
    <row r="81" spans="1:19" x14ac:dyDescent="0.25">
      <c r="A81" s="77"/>
      <c r="B81" s="77"/>
      <c r="C81" s="77"/>
      <c r="D81" s="77"/>
      <c r="E81" s="77"/>
      <c r="F81" s="77"/>
      <c r="G81" s="77"/>
      <c r="H81" s="77"/>
      <c r="I81" s="77"/>
      <c r="J81" s="77"/>
      <c r="K81" s="77"/>
      <c r="L81" s="77"/>
      <c r="M81" s="77"/>
      <c r="N81" s="77"/>
      <c r="O81" s="77"/>
      <c r="P81" s="77"/>
      <c r="Q81" s="77"/>
      <c r="R81" s="77"/>
      <c r="S81" s="77"/>
    </row>
    <row r="82" spans="1:19" x14ac:dyDescent="0.25">
      <c r="A82" s="77"/>
      <c r="B82" s="77"/>
      <c r="C82" s="77"/>
      <c r="D82" s="77"/>
      <c r="E82" s="77"/>
      <c r="F82" s="77"/>
      <c r="G82" s="77"/>
      <c r="H82" s="77"/>
      <c r="I82" s="77"/>
      <c r="J82" s="77"/>
      <c r="K82" s="77"/>
      <c r="L82" s="77"/>
      <c r="M82" s="77"/>
      <c r="N82" s="77"/>
      <c r="O82" s="77"/>
      <c r="P82" s="77"/>
      <c r="Q82" s="77"/>
      <c r="R82" s="77"/>
      <c r="S82" s="77"/>
    </row>
  </sheetData>
  <mergeCells count="2">
    <mergeCell ref="C8:Q8"/>
    <mergeCell ref="C9:Q9"/>
  </mergeCells>
  <pageMargins left="3.937007874015748E-2" right="3.937007874015748E-2" top="3.937007874015748E-2" bottom="0.35433070866141736" header="0" footer="0.11811023622047245"/>
  <pageSetup paperSize="9" scale="6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pageSetUpPr fitToPage="1"/>
  </sheetPr>
  <dimension ref="A1:U92"/>
  <sheetViews>
    <sheetView topLeftCell="A36" zoomScaleNormal="100" zoomScaleSheetLayoutView="100" workbookViewId="0"/>
  </sheetViews>
  <sheetFormatPr defaultColWidth="9.1796875" defaultRowHeight="14.5" x14ac:dyDescent="0.35"/>
  <cols>
    <col min="1" max="1" width="3.453125" bestFit="1" customWidth="1"/>
    <col min="2" max="2" width="27.26953125" customWidth="1"/>
    <col min="3" max="3" width="38.1796875" style="70" customWidth="1"/>
    <col min="4" max="4" width="9.453125" style="71" customWidth="1"/>
    <col min="5" max="5" width="2" customWidth="1"/>
    <col min="6" max="6" width="9.90625" bestFit="1" customWidth="1"/>
    <col min="7" max="8" width="9.7265625" customWidth="1"/>
    <col min="9" max="9" width="2.7265625" customWidth="1"/>
    <col min="10" max="12" width="9.7265625" customWidth="1"/>
    <col min="13" max="13" width="2.7265625" customWidth="1"/>
    <col min="14" max="14" width="9.7265625" customWidth="1"/>
    <col min="15" max="15" width="9.54296875" customWidth="1"/>
    <col min="16" max="16" width="9.7265625" customWidth="1"/>
    <col min="17" max="17" width="3.1796875" customWidth="1"/>
    <col min="18" max="18" width="16" bestFit="1" customWidth="1"/>
  </cols>
  <sheetData>
    <row r="1" spans="1:21" x14ac:dyDescent="0.35">
      <c r="A1" s="2"/>
      <c r="B1" s="2"/>
      <c r="C1" s="4"/>
      <c r="D1" s="45"/>
      <c r="E1" s="2"/>
      <c r="F1" s="2"/>
      <c r="G1" s="2"/>
      <c r="H1" s="2"/>
      <c r="I1" s="2"/>
      <c r="J1" s="2"/>
      <c r="K1" s="2"/>
      <c r="L1" s="2"/>
      <c r="M1" s="2"/>
      <c r="N1" s="2"/>
      <c r="O1" s="2"/>
      <c r="P1" s="2"/>
      <c r="Q1" s="2"/>
    </row>
    <row r="2" spans="1:21" x14ac:dyDescent="0.35">
      <c r="A2" s="2"/>
      <c r="B2" s="2"/>
      <c r="C2" s="4"/>
      <c r="D2" s="45"/>
      <c r="E2" s="2"/>
      <c r="F2" s="2"/>
      <c r="G2" s="2"/>
      <c r="H2" s="2"/>
      <c r="I2" s="2"/>
      <c r="J2" s="2"/>
      <c r="K2" s="2"/>
      <c r="L2" s="2"/>
      <c r="M2" s="2"/>
      <c r="N2" s="2"/>
      <c r="O2" s="2"/>
      <c r="P2" s="2"/>
      <c r="Q2" s="2"/>
    </row>
    <row r="3" spans="1:21" x14ac:dyDescent="0.35">
      <c r="A3" s="2"/>
      <c r="B3" s="2"/>
      <c r="C3" s="4"/>
      <c r="D3" s="45"/>
      <c r="E3" s="2"/>
      <c r="F3" s="2"/>
      <c r="G3" s="2"/>
      <c r="H3" s="2"/>
      <c r="I3" s="2"/>
      <c r="J3" s="2"/>
      <c r="K3" s="2"/>
      <c r="L3" s="2"/>
      <c r="M3" s="2"/>
      <c r="N3" s="2"/>
      <c r="O3" s="2"/>
      <c r="P3" s="2"/>
      <c r="Q3" s="2"/>
    </row>
    <row r="4" spans="1:21" ht="33.5" x14ac:dyDescent="0.75">
      <c r="A4" s="2"/>
      <c r="B4" s="113" t="s">
        <v>102</v>
      </c>
      <c r="C4" s="113"/>
      <c r="D4" s="113"/>
      <c r="E4" s="113"/>
      <c r="F4" s="113"/>
      <c r="G4" s="113"/>
      <c r="H4" s="113"/>
      <c r="I4" s="113"/>
      <c r="J4" s="113"/>
      <c r="K4" s="113"/>
      <c r="L4" s="113"/>
      <c r="M4" s="113"/>
      <c r="N4" s="113"/>
      <c r="O4" s="113"/>
      <c r="P4" s="113"/>
      <c r="Q4" s="2"/>
    </row>
    <row r="5" spans="1:21" ht="18.5" x14ac:dyDescent="0.45">
      <c r="A5" s="2"/>
      <c r="B5" s="112" t="s">
        <v>140</v>
      </c>
      <c r="C5" s="112"/>
      <c r="D5" s="112"/>
      <c r="E5" s="112"/>
      <c r="F5" s="112"/>
      <c r="G5" s="112"/>
      <c r="H5" s="112"/>
      <c r="I5" s="112"/>
      <c r="J5" s="112"/>
      <c r="K5" s="112"/>
      <c r="L5" s="112"/>
      <c r="M5" s="112"/>
      <c r="N5" s="112"/>
      <c r="O5" s="112"/>
      <c r="P5" s="112"/>
      <c r="Q5" s="2"/>
    </row>
    <row r="6" spans="1:21" s="72" customFormat="1" ht="10.5" x14ac:dyDescent="0.25">
      <c r="A6" s="60"/>
      <c r="B6" s="60"/>
      <c r="C6" s="61"/>
      <c r="D6" s="62"/>
      <c r="E6" s="60"/>
      <c r="F6" s="60"/>
      <c r="G6" s="60"/>
      <c r="H6" s="60"/>
      <c r="I6" s="60"/>
      <c r="J6" s="60"/>
      <c r="K6" s="60"/>
      <c r="L6" s="60"/>
      <c r="M6" s="60"/>
      <c r="N6" s="60"/>
      <c r="O6" s="60"/>
      <c r="P6" s="60"/>
      <c r="Q6" s="60"/>
    </row>
    <row r="7" spans="1:21" x14ac:dyDescent="0.35">
      <c r="A7" s="2"/>
      <c r="B7" s="5" t="s">
        <v>127</v>
      </c>
      <c r="C7" s="4"/>
      <c r="D7" s="45"/>
      <c r="E7" s="2"/>
      <c r="F7" s="2"/>
      <c r="G7" s="2"/>
      <c r="H7" s="2"/>
      <c r="I7" s="2"/>
      <c r="J7" s="2"/>
      <c r="K7" s="2"/>
      <c r="L7" s="2"/>
      <c r="M7" s="2"/>
      <c r="N7" s="2"/>
      <c r="O7" s="2"/>
      <c r="P7" s="2"/>
      <c r="Q7" s="2"/>
    </row>
    <row r="8" spans="1:21" x14ac:dyDescent="0.35">
      <c r="A8" s="2"/>
      <c r="B8" s="38" t="s">
        <v>87</v>
      </c>
      <c r="C8" s="4"/>
      <c r="D8" s="45"/>
      <c r="E8" s="2"/>
      <c r="F8" s="2"/>
      <c r="G8" s="2"/>
      <c r="H8" s="2"/>
      <c r="I8" s="2"/>
      <c r="J8" s="2"/>
      <c r="K8" s="2"/>
      <c r="L8" s="2"/>
      <c r="M8" s="2"/>
      <c r="N8" s="2"/>
      <c r="O8" s="2"/>
      <c r="P8" s="2"/>
      <c r="Q8" s="2"/>
    </row>
    <row r="9" spans="1:21" s="72" customFormat="1" ht="10.5" x14ac:dyDescent="0.25">
      <c r="A9" s="60"/>
      <c r="B9" s="60"/>
      <c r="C9" s="61"/>
      <c r="D9" s="62"/>
      <c r="E9" s="60"/>
      <c r="F9" s="114"/>
      <c r="G9" s="114"/>
      <c r="H9" s="114"/>
      <c r="I9" s="114"/>
      <c r="J9" s="114"/>
      <c r="K9" s="114"/>
      <c r="L9" s="114"/>
      <c r="M9" s="61"/>
      <c r="N9" s="61"/>
      <c r="O9" s="61"/>
      <c r="P9" s="61"/>
      <c r="Q9" s="60"/>
    </row>
    <row r="10" spans="1:21" x14ac:dyDescent="0.35">
      <c r="A10" s="2"/>
      <c r="B10" s="2"/>
      <c r="C10" s="4"/>
      <c r="D10" s="45"/>
      <c r="E10" s="2"/>
      <c r="F10" s="4"/>
      <c r="G10" s="4"/>
      <c r="H10" s="4"/>
      <c r="I10" s="4"/>
      <c r="J10" s="115" t="s">
        <v>115</v>
      </c>
      <c r="K10" s="115"/>
      <c r="L10" s="115"/>
      <c r="M10" s="115"/>
      <c r="N10" s="115"/>
      <c r="O10" s="115"/>
      <c r="P10" s="115"/>
      <c r="Q10" s="2"/>
    </row>
    <row r="11" spans="1:21" x14ac:dyDescent="0.35">
      <c r="A11" s="2"/>
      <c r="B11" s="2"/>
      <c r="C11" s="4"/>
      <c r="D11" s="45"/>
      <c r="E11" s="2"/>
      <c r="F11" s="116" t="s">
        <v>141</v>
      </c>
      <c r="G11" s="117"/>
      <c r="H11" s="117"/>
      <c r="I11" s="4"/>
      <c r="J11" s="115" t="s">
        <v>110</v>
      </c>
      <c r="K11" s="115"/>
      <c r="L11" s="115"/>
      <c r="M11" s="4"/>
      <c r="N11" s="115" t="s">
        <v>118</v>
      </c>
      <c r="O11" s="115"/>
      <c r="P11" s="115"/>
      <c r="Q11" s="2"/>
    </row>
    <row r="12" spans="1:21" ht="47" customHeight="1" x14ac:dyDescent="0.35">
      <c r="A12" s="2"/>
      <c r="B12" s="66" t="s">
        <v>112</v>
      </c>
      <c r="C12" s="65" t="s">
        <v>113</v>
      </c>
      <c r="D12" s="47" t="s">
        <v>114</v>
      </c>
      <c r="E12" s="48"/>
      <c r="F12" s="63" t="s">
        <v>107</v>
      </c>
      <c r="G12" s="47" t="s">
        <v>109</v>
      </c>
      <c r="H12" s="47" t="s">
        <v>108</v>
      </c>
      <c r="I12" s="48"/>
      <c r="J12" s="63" t="s">
        <v>107</v>
      </c>
      <c r="K12" s="47" t="s">
        <v>109</v>
      </c>
      <c r="L12" s="47" t="s">
        <v>108</v>
      </c>
      <c r="M12" s="48"/>
      <c r="N12" s="63" t="s">
        <v>107</v>
      </c>
      <c r="O12" s="47" t="s">
        <v>109</v>
      </c>
      <c r="P12" s="47" t="s">
        <v>108</v>
      </c>
      <c r="Q12" s="2"/>
    </row>
    <row r="13" spans="1:21" x14ac:dyDescent="0.35">
      <c r="A13" s="2"/>
      <c r="B13" s="2"/>
      <c r="C13" s="4"/>
      <c r="D13" s="45"/>
      <c r="E13" s="4"/>
      <c r="F13" s="64" t="s">
        <v>83</v>
      </c>
      <c r="G13" s="4" t="s">
        <v>83</v>
      </c>
      <c r="H13" s="4" t="s">
        <v>83</v>
      </c>
      <c r="I13" s="4"/>
      <c r="J13" s="64" t="s">
        <v>84</v>
      </c>
      <c r="K13" s="4" t="s">
        <v>84</v>
      </c>
      <c r="L13" s="4" t="s">
        <v>84</v>
      </c>
      <c r="M13" s="4"/>
      <c r="N13" s="64" t="s">
        <v>83</v>
      </c>
      <c r="O13" s="4" t="s">
        <v>83</v>
      </c>
      <c r="P13" s="4" t="s">
        <v>83</v>
      </c>
      <c r="Q13" s="2"/>
    </row>
    <row r="14" spans="1:21" ht="18.5" x14ac:dyDescent="0.45">
      <c r="A14" s="19"/>
      <c r="B14" s="49" t="s">
        <v>85</v>
      </c>
      <c r="C14" s="39" t="s">
        <v>85</v>
      </c>
      <c r="D14" s="45"/>
      <c r="E14" s="2"/>
      <c r="F14" s="23">
        <v>42.1476585176786</v>
      </c>
      <c r="G14" s="40">
        <v>16.813600950586999</v>
      </c>
      <c r="H14" s="40">
        <v>25.334057567091602</v>
      </c>
      <c r="I14" s="21"/>
      <c r="J14" s="24">
        <v>2.5240818582430435E-3</v>
      </c>
      <c r="K14" s="41">
        <v>-9.715063408965996E-5</v>
      </c>
      <c r="L14" s="41">
        <v>4.2713307925204003E-3</v>
      </c>
      <c r="M14" s="21"/>
      <c r="N14" s="42">
        <v>0.10611629401930145</v>
      </c>
      <c r="O14" s="43">
        <v>-1.6336107E-3</v>
      </c>
      <c r="P14" s="43">
        <v>0.1077499047</v>
      </c>
      <c r="Q14" s="2"/>
      <c r="S14" s="30"/>
      <c r="T14" s="46"/>
      <c r="U14" s="44"/>
    </row>
    <row r="15" spans="1:21" ht="15.5" x14ac:dyDescent="0.35">
      <c r="A15" s="2"/>
      <c r="B15" s="7"/>
      <c r="C15" s="4"/>
      <c r="D15" s="45"/>
      <c r="E15" s="2"/>
      <c r="F15" s="21"/>
      <c r="G15" s="21"/>
      <c r="H15" s="21"/>
      <c r="I15" s="21"/>
      <c r="J15" s="22"/>
      <c r="K15" s="21"/>
      <c r="L15" s="21"/>
      <c r="M15" s="21"/>
      <c r="N15" s="28"/>
      <c r="O15" s="26"/>
      <c r="P15" s="26"/>
      <c r="Q15" s="2"/>
      <c r="S15" s="29"/>
      <c r="T15" s="33"/>
      <c r="U15" s="33"/>
    </row>
    <row r="16" spans="1:21" ht="15.5" x14ac:dyDescent="0.35">
      <c r="A16" s="2"/>
      <c r="B16" s="59" t="s">
        <v>116</v>
      </c>
      <c r="C16" s="4"/>
      <c r="D16" s="45"/>
      <c r="E16" s="2"/>
      <c r="F16" s="21"/>
      <c r="G16" s="21"/>
      <c r="H16" s="21"/>
      <c r="I16" s="21"/>
      <c r="J16" s="22"/>
      <c r="K16" s="21"/>
      <c r="L16" s="21"/>
      <c r="M16" s="21"/>
      <c r="N16" s="28"/>
      <c r="O16" s="26"/>
      <c r="P16" s="26"/>
      <c r="Q16" s="2"/>
      <c r="S16" s="29"/>
      <c r="T16" s="33"/>
      <c r="U16" s="33"/>
    </row>
    <row r="17" spans="1:21" ht="16.5" x14ac:dyDescent="0.35">
      <c r="A17" s="58"/>
      <c r="B17" s="3" t="s">
        <v>86</v>
      </c>
      <c r="C17" s="10" t="s">
        <v>15</v>
      </c>
      <c r="D17" s="45">
        <v>1</v>
      </c>
      <c r="E17" s="2"/>
      <c r="F17" s="50">
        <v>50.618038805293303</v>
      </c>
      <c r="G17" s="51">
        <v>23.263421874999999</v>
      </c>
      <c r="H17" s="51">
        <v>27.354616930293304</v>
      </c>
      <c r="I17" s="4"/>
      <c r="J17" s="52">
        <v>1.1685777137178111E-3</v>
      </c>
      <c r="K17" s="53">
        <v>0</v>
      </c>
      <c r="L17" s="53">
        <v>2.1645324190422421E-3</v>
      </c>
      <c r="M17" s="4"/>
      <c r="N17" s="54">
        <v>5.9082070069599979E-2</v>
      </c>
      <c r="O17" s="55">
        <v>0</v>
      </c>
      <c r="P17" s="55">
        <v>5.9082070100000002E-2</v>
      </c>
      <c r="Q17" s="2"/>
      <c r="S17" s="56"/>
      <c r="T17" s="33"/>
      <c r="U17" s="33"/>
    </row>
    <row r="18" spans="1:21" x14ac:dyDescent="0.35">
      <c r="A18" s="2"/>
      <c r="B18" s="3" t="s">
        <v>49</v>
      </c>
      <c r="C18" s="10" t="s">
        <v>11</v>
      </c>
      <c r="D18" s="45">
        <v>2</v>
      </c>
      <c r="E18" s="2"/>
      <c r="F18" s="50">
        <v>44.531777387083501</v>
      </c>
      <c r="G18" s="51">
        <v>17.925121874999999</v>
      </c>
      <c r="H18" s="51">
        <v>26.606655512083503</v>
      </c>
      <c r="I18" s="4"/>
      <c r="J18" s="52">
        <v>3.6427095818880595E-3</v>
      </c>
      <c r="K18" s="57">
        <v>0</v>
      </c>
      <c r="L18" s="53">
        <v>6.1118320711652796E-3</v>
      </c>
      <c r="M18" s="4"/>
      <c r="N18" s="54">
        <v>0.16162756988889981</v>
      </c>
      <c r="O18" s="55">
        <v>0</v>
      </c>
      <c r="P18" s="55">
        <v>0.16162756989999999</v>
      </c>
      <c r="Q18" s="2"/>
      <c r="S18" s="56"/>
      <c r="T18" s="33"/>
      <c r="U18" s="33"/>
    </row>
    <row r="19" spans="1:21" x14ac:dyDescent="0.35">
      <c r="A19" s="2"/>
      <c r="B19" s="3" t="s">
        <v>72</v>
      </c>
      <c r="C19" s="10" t="s">
        <v>71</v>
      </c>
      <c r="D19" s="45"/>
      <c r="E19" s="2"/>
      <c r="F19" s="50">
        <v>41.330031533162803</v>
      </c>
      <c r="G19" s="51">
        <v>16.090791374999998</v>
      </c>
      <c r="H19" s="51">
        <v>25.239240158162804</v>
      </c>
      <c r="I19" s="4"/>
      <c r="J19" s="52">
        <v>3.1299883440769616E-3</v>
      </c>
      <c r="K19" s="53">
        <v>0</v>
      </c>
      <c r="L19" s="53">
        <v>5.1357002240186578E-3</v>
      </c>
      <c r="M19" s="4"/>
      <c r="N19" s="54">
        <v>0.12895887717670007</v>
      </c>
      <c r="O19" s="55">
        <v>0</v>
      </c>
      <c r="P19" s="55">
        <v>0.12895887719999999</v>
      </c>
      <c r="Q19" s="2"/>
      <c r="S19" s="56"/>
      <c r="T19" s="33"/>
      <c r="U19" s="33"/>
    </row>
    <row r="20" spans="1:21" x14ac:dyDescent="0.35">
      <c r="A20" s="2"/>
      <c r="B20" s="3" t="s">
        <v>73</v>
      </c>
      <c r="C20" s="10" t="s">
        <v>101</v>
      </c>
      <c r="D20" s="45">
        <v>3</v>
      </c>
      <c r="E20" s="2"/>
      <c r="F20" s="50">
        <v>41.3044575388382</v>
      </c>
      <c r="G20" s="51">
        <v>16.148291374999999</v>
      </c>
      <c r="H20" s="51">
        <v>25.156166163838201</v>
      </c>
      <c r="I20" s="4"/>
      <c r="J20" s="52">
        <v>3.1094314323099059E-3</v>
      </c>
      <c r="K20" s="53">
        <v>0</v>
      </c>
      <c r="L20" s="53">
        <v>5.1156541493577734E-3</v>
      </c>
      <c r="M20" s="4"/>
      <c r="N20" s="54">
        <v>0.12803526169859936</v>
      </c>
      <c r="O20" s="55">
        <v>0</v>
      </c>
      <c r="P20" s="55">
        <v>0.12803526170000001</v>
      </c>
      <c r="Q20" s="2"/>
      <c r="S20" s="56"/>
      <c r="T20" s="33"/>
      <c r="U20" s="33"/>
    </row>
    <row r="21" spans="1:21" x14ac:dyDescent="0.35">
      <c r="A21" s="2"/>
      <c r="B21" s="3" t="s">
        <v>34</v>
      </c>
      <c r="C21" s="10" t="s">
        <v>2</v>
      </c>
      <c r="D21" s="45">
        <v>4</v>
      </c>
      <c r="E21" s="2"/>
      <c r="F21" s="50">
        <v>45.700240284755097</v>
      </c>
      <c r="G21" s="51">
        <v>19.769721874999998</v>
      </c>
      <c r="H21" s="51">
        <v>25.930518409755098</v>
      </c>
      <c r="I21" s="4"/>
      <c r="J21" s="52">
        <v>3.2038158869085454E-3</v>
      </c>
      <c r="K21" s="53">
        <v>0</v>
      </c>
      <c r="L21" s="53">
        <v>5.6602674401160513E-3</v>
      </c>
      <c r="M21" s="4"/>
      <c r="N21" s="54">
        <v>0.14594756672689613</v>
      </c>
      <c r="O21" s="55">
        <v>0</v>
      </c>
      <c r="P21" s="55">
        <v>0.1459475667</v>
      </c>
      <c r="Q21" s="2"/>
      <c r="S21" s="56"/>
      <c r="T21" s="33"/>
      <c r="U21" s="33"/>
    </row>
    <row r="22" spans="1:21" x14ac:dyDescent="0.35">
      <c r="A22" s="2"/>
      <c r="B22" s="3" t="s">
        <v>69</v>
      </c>
      <c r="C22" s="10" t="s">
        <v>18</v>
      </c>
      <c r="D22" s="45">
        <v>5</v>
      </c>
      <c r="E22" s="2"/>
      <c r="F22" s="50">
        <v>45.014673308823497</v>
      </c>
      <c r="G22" s="51">
        <v>15.579121875</v>
      </c>
      <c r="H22" s="51">
        <v>29.435551433823498</v>
      </c>
      <c r="I22" s="4"/>
      <c r="J22" s="52">
        <v>-3.6485260675922504E-4</v>
      </c>
      <c r="K22" s="53">
        <v>0</v>
      </c>
      <c r="L22" s="53">
        <v>-5.5784754230370215E-4</v>
      </c>
      <c r="M22" s="4"/>
      <c r="N22" s="54">
        <v>-1.6429715323603489E-2</v>
      </c>
      <c r="O22" s="55">
        <v>0</v>
      </c>
      <c r="P22" s="55">
        <v>-1.6429715300000002E-2</v>
      </c>
      <c r="Q22" s="2"/>
      <c r="S22" s="56"/>
      <c r="T22" s="33"/>
      <c r="U22" s="33"/>
    </row>
    <row r="23" spans="1:21" x14ac:dyDescent="0.35">
      <c r="A23" s="2"/>
      <c r="B23" s="3" t="s">
        <v>76</v>
      </c>
      <c r="C23" s="10" t="s">
        <v>21</v>
      </c>
      <c r="D23" s="45"/>
      <c r="E23" s="2"/>
      <c r="F23" s="50">
        <v>39.783695349266601</v>
      </c>
      <c r="G23" s="51">
        <v>15.014826075</v>
      </c>
      <c r="H23" s="51">
        <v>24.768869274266599</v>
      </c>
      <c r="I23" s="4"/>
      <c r="J23" s="52">
        <v>6.364809003585048E-4</v>
      </c>
      <c r="K23" s="57">
        <v>0</v>
      </c>
      <c r="L23" s="53">
        <v>1.022708611646328E-3</v>
      </c>
      <c r="M23" s="4"/>
      <c r="N23" s="54">
        <v>2.5305455796200249E-2</v>
      </c>
      <c r="O23" s="55">
        <v>0</v>
      </c>
      <c r="P23" s="55">
        <v>2.5305455800000001E-2</v>
      </c>
      <c r="Q23" s="2"/>
      <c r="S23" s="56"/>
      <c r="T23" s="33"/>
      <c r="U23" s="33"/>
    </row>
    <row r="24" spans="1:21" x14ac:dyDescent="0.35">
      <c r="A24" s="2"/>
      <c r="B24" s="3" t="s">
        <v>70</v>
      </c>
      <c r="C24" s="10" t="s">
        <v>19</v>
      </c>
      <c r="D24" s="45"/>
      <c r="E24" s="2"/>
      <c r="F24" s="50">
        <v>44.194987960432201</v>
      </c>
      <c r="G24" s="51">
        <v>18.448877875000001</v>
      </c>
      <c r="H24" s="51">
        <v>25.7461100854322</v>
      </c>
      <c r="I24" s="4"/>
      <c r="J24" s="52">
        <v>3.8285432741653747E-3</v>
      </c>
      <c r="K24" s="53">
        <v>0</v>
      </c>
      <c r="L24" s="53">
        <v>6.5900399372793572E-3</v>
      </c>
      <c r="M24" s="4"/>
      <c r="N24" s="54">
        <v>0.16855709577239963</v>
      </c>
      <c r="O24" s="55">
        <v>0</v>
      </c>
      <c r="P24" s="55">
        <v>0.1685570958</v>
      </c>
      <c r="Q24" s="2"/>
      <c r="S24" s="56"/>
      <c r="T24" s="33"/>
      <c r="U24" s="33"/>
    </row>
    <row r="25" spans="1:21" x14ac:dyDescent="0.35">
      <c r="A25" s="2"/>
      <c r="B25" s="3" t="s">
        <v>82</v>
      </c>
      <c r="C25" s="10" t="s">
        <v>20</v>
      </c>
      <c r="D25" s="45">
        <v>6</v>
      </c>
      <c r="E25" s="2"/>
      <c r="F25" s="50">
        <v>43.741930740074999</v>
      </c>
      <c r="G25" s="51">
        <v>16.584221875000001</v>
      </c>
      <c r="H25" s="51">
        <v>27.157708865074998</v>
      </c>
      <c r="I25" s="4"/>
      <c r="J25" s="52">
        <v>3.0531590185816082E-3</v>
      </c>
      <c r="K25" s="57">
        <v>0</v>
      </c>
      <c r="L25" s="53">
        <v>4.9267976086837528E-3</v>
      </c>
      <c r="M25" s="4"/>
      <c r="N25" s="54">
        <v>0.13314455881869947</v>
      </c>
      <c r="O25" s="55">
        <v>0</v>
      </c>
      <c r="P25" s="55">
        <v>0.13314455880000001</v>
      </c>
      <c r="Q25" s="2"/>
      <c r="S25" s="56"/>
      <c r="T25" s="33"/>
      <c r="U25" s="33"/>
    </row>
    <row r="26" spans="1:21" x14ac:dyDescent="0.35">
      <c r="A26" s="2"/>
      <c r="B26" s="3" t="s">
        <v>38</v>
      </c>
      <c r="C26" s="10" t="s">
        <v>44</v>
      </c>
      <c r="D26" s="45"/>
      <c r="E26" s="2"/>
      <c r="F26" s="50">
        <v>44.040596813274803</v>
      </c>
      <c r="G26" s="51">
        <v>17.191120574999999</v>
      </c>
      <c r="H26" s="51">
        <v>26.849476238274804</v>
      </c>
      <c r="I26" s="4"/>
      <c r="J26" s="52">
        <v>1.8599761730336395E-2</v>
      </c>
      <c r="K26" s="53">
        <v>0</v>
      </c>
      <c r="L26" s="53">
        <v>3.0876482589110577E-2</v>
      </c>
      <c r="M26" s="4"/>
      <c r="N26" s="54">
        <v>0.80418692205190467</v>
      </c>
      <c r="O26" s="55">
        <v>0</v>
      </c>
      <c r="P26" s="55">
        <v>0.80418692209999998</v>
      </c>
      <c r="Q26" s="2"/>
      <c r="S26" s="56"/>
      <c r="T26" s="33"/>
      <c r="U26" s="33"/>
    </row>
    <row r="27" spans="1:21" x14ac:dyDescent="0.35">
      <c r="A27" s="2"/>
      <c r="B27" s="3" t="s">
        <v>67</v>
      </c>
      <c r="C27" s="10" t="s">
        <v>16</v>
      </c>
      <c r="D27" s="45"/>
      <c r="E27" s="2"/>
      <c r="F27" s="50">
        <v>42.934959822384201</v>
      </c>
      <c r="G27" s="51">
        <v>15.328421875</v>
      </c>
      <c r="H27" s="51">
        <v>27.606537947384201</v>
      </c>
      <c r="I27" s="4"/>
      <c r="J27" s="52">
        <v>4.0775988364616378E-3</v>
      </c>
      <c r="K27" s="53">
        <v>0</v>
      </c>
      <c r="L27" s="53">
        <v>6.3560601624854662E-3</v>
      </c>
      <c r="M27" s="4"/>
      <c r="N27" s="54">
        <v>0.17436056975890324</v>
      </c>
      <c r="O27" s="55">
        <v>0</v>
      </c>
      <c r="P27" s="55">
        <v>0.1743605698</v>
      </c>
      <c r="Q27" s="2"/>
      <c r="S27" s="56"/>
      <c r="T27" s="33"/>
      <c r="U27" s="33"/>
    </row>
    <row r="28" spans="1:21" x14ac:dyDescent="0.35">
      <c r="A28" s="2"/>
      <c r="B28" s="3" t="s">
        <v>68</v>
      </c>
      <c r="C28" s="10" t="s">
        <v>17</v>
      </c>
      <c r="D28" s="45"/>
      <c r="E28" s="2"/>
      <c r="F28" s="50">
        <v>42.160794215679097</v>
      </c>
      <c r="G28" s="51">
        <v>15.328421875</v>
      </c>
      <c r="H28" s="51">
        <v>26.832372340679097</v>
      </c>
      <c r="I28" s="4"/>
      <c r="J28" s="52">
        <v>-1.3515725762068276E-2</v>
      </c>
      <c r="K28" s="53">
        <v>0</v>
      </c>
      <c r="L28" s="53">
        <v>-2.1074085695067857E-2</v>
      </c>
      <c r="M28" s="4"/>
      <c r="N28" s="54">
        <v>-0.57764096946230126</v>
      </c>
      <c r="O28" s="55">
        <v>0</v>
      </c>
      <c r="P28" s="55">
        <v>-0.57764096949999999</v>
      </c>
      <c r="Q28" s="2"/>
      <c r="S28" s="56"/>
      <c r="T28" s="33"/>
      <c r="U28" s="33"/>
    </row>
    <row r="29" spans="1:21" x14ac:dyDescent="0.35">
      <c r="A29" s="2"/>
      <c r="B29" s="3" t="s">
        <v>29</v>
      </c>
      <c r="C29" s="10" t="s">
        <v>139</v>
      </c>
      <c r="D29" s="45"/>
      <c r="E29" s="2"/>
      <c r="F29" s="50">
        <v>48.3696624320296</v>
      </c>
      <c r="G29" s="51">
        <v>20.894421874999999</v>
      </c>
      <c r="H29" s="51">
        <v>27.475240557029601</v>
      </c>
      <c r="I29" s="4"/>
      <c r="J29" s="52">
        <v>2.4677157314332288E-3</v>
      </c>
      <c r="K29" s="53">
        <v>0</v>
      </c>
      <c r="L29" s="53">
        <v>4.3525369681152171E-3</v>
      </c>
      <c r="M29" s="4"/>
      <c r="N29" s="54">
        <v>0.11906874908240184</v>
      </c>
      <c r="O29" s="55">
        <v>0</v>
      </c>
      <c r="P29" s="55">
        <v>0.1190687491</v>
      </c>
      <c r="Q29" s="2"/>
      <c r="S29" s="56"/>
      <c r="T29" s="33"/>
      <c r="U29" s="33"/>
    </row>
    <row r="30" spans="1:21" x14ac:dyDescent="0.35">
      <c r="A30" s="2" t="s">
        <v>111</v>
      </c>
      <c r="B30" s="3" t="s">
        <v>52</v>
      </c>
      <c r="C30" s="10" t="s">
        <v>59</v>
      </c>
      <c r="D30" s="45"/>
      <c r="E30" s="2"/>
      <c r="F30" s="50">
        <v>43.467154346691899</v>
      </c>
      <c r="G30" s="51">
        <v>19.662944374999999</v>
      </c>
      <c r="H30" s="51">
        <v>23.8042099716919</v>
      </c>
      <c r="I30" s="4"/>
      <c r="J30" s="52">
        <v>1.0029846518186281E-2</v>
      </c>
      <c r="K30" s="57">
        <v>0</v>
      </c>
      <c r="L30" s="53">
        <v>1.8467785142058712E-2</v>
      </c>
      <c r="M30" s="4"/>
      <c r="N30" s="54">
        <v>0.43163960766359821</v>
      </c>
      <c r="O30" s="55">
        <v>0</v>
      </c>
      <c r="P30" s="55">
        <v>0.43163960769999998</v>
      </c>
      <c r="Q30" s="2"/>
      <c r="S30" s="56"/>
      <c r="T30" s="33"/>
      <c r="U30" s="33"/>
    </row>
    <row r="31" spans="1:21" x14ac:dyDescent="0.35">
      <c r="A31" s="2"/>
      <c r="B31" s="3" t="s">
        <v>63</v>
      </c>
      <c r="C31" s="10" t="s">
        <v>79</v>
      </c>
      <c r="D31" s="45">
        <v>7</v>
      </c>
      <c r="E31" s="2"/>
      <c r="F31" s="50">
        <v>45.974674482228401</v>
      </c>
      <c r="G31" s="51">
        <v>20.717513924999999</v>
      </c>
      <c r="H31" s="51">
        <v>25.257160557228403</v>
      </c>
      <c r="I31" s="4"/>
      <c r="J31" s="52">
        <v>1.1800548552576284E-3</v>
      </c>
      <c r="K31" s="57">
        <v>0</v>
      </c>
      <c r="L31" s="53">
        <v>2.1500913658223375E-3</v>
      </c>
      <c r="M31" s="4"/>
      <c r="N31" s="54">
        <v>5.4188692212299827E-2</v>
      </c>
      <c r="O31" s="55">
        <v>0</v>
      </c>
      <c r="P31" s="55">
        <v>5.4188692199999999E-2</v>
      </c>
      <c r="Q31" s="2"/>
      <c r="S31" s="56"/>
      <c r="T31" s="33"/>
      <c r="U31" s="33"/>
    </row>
    <row r="32" spans="1:21" x14ac:dyDescent="0.35">
      <c r="A32" s="2"/>
      <c r="B32" s="3" t="s">
        <v>64</v>
      </c>
      <c r="C32" s="10" t="s">
        <v>80</v>
      </c>
      <c r="D32" s="45">
        <v>8</v>
      </c>
      <c r="E32" s="2"/>
      <c r="F32" s="50">
        <v>45.974674482228401</v>
      </c>
      <c r="G32" s="51">
        <v>20.717513924999999</v>
      </c>
      <c r="H32" s="51">
        <v>25.257160557228403</v>
      </c>
      <c r="I32" s="4"/>
      <c r="J32" s="52">
        <v>1.1800548552576284E-3</v>
      </c>
      <c r="K32" s="57">
        <v>0</v>
      </c>
      <c r="L32" s="53">
        <v>2.1500913658223375E-3</v>
      </c>
      <c r="M32" s="4"/>
      <c r="N32" s="54">
        <v>5.4188692212299827E-2</v>
      </c>
      <c r="O32" s="55">
        <v>0</v>
      </c>
      <c r="P32" s="55">
        <v>5.4188692199999999E-2</v>
      </c>
      <c r="Q32" s="2"/>
      <c r="S32" s="56"/>
      <c r="T32" s="33"/>
      <c r="U32" s="33"/>
    </row>
    <row r="33" spans="1:21" x14ac:dyDescent="0.35">
      <c r="A33" s="2"/>
      <c r="B33" s="3" t="s">
        <v>37</v>
      </c>
      <c r="C33" s="10" t="s">
        <v>6</v>
      </c>
      <c r="D33" s="45">
        <v>9</v>
      </c>
      <c r="E33" s="2"/>
      <c r="F33" s="50">
        <v>41.3457558981098</v>
      </c>
      <c r="G33" s="51">
        <v>16.685421874999999</v>
      </c>
      <c r="H33" s="51">
        <v>24.660334023109801</v>
      </c>
      <c r="I33" s="4"/>
      <c r="J33" s="52">
        <v>4.9059976672338745E-3</v>
      </c>
      <c r="K33" s="53">
        <v>0</v>
      </c>
      <c r="L33" s="53">
        <v>8.2528382570641323E-3</v>
      </c>
      <c r="M33" s="4"/>
      <c r="N33" s="54">
        <v>0.20185189705009776</v>
      </c>
      <c r="O33" s="55">
        <v>0</v>
      </c>
      <c r="P33" s="55">
        <v>0.20185189710000001</v>
      </c>
      <c r="Q33" s="2"/>
      <c r="S33" s="56"/>
      <c r="T33" s="33"/>
      <c r="U33" s="33"/>
    </row>
    <row r="34" spans="1:21" x14ac:dyDescent="0.35">
      <c r="A34" s="2" t="s">
        <v>111</v>
      </c>
      <c r="B34" s="3" t="s">
        <v>61</v>
      </c>
      <c r="C34" s="10" t="s">
        <v>60</v>
      </c>
      <c r="D34" s="45"/>
      <c r="E34" s="2"/>
      <c r="F34" s="50">
        <v>48.409349556398801</v>
      </c>
      <c r="G34" s="51">
        <v>24.502316875000002</v>
      </c>
      <c r="H34" s="51">
        <v>23.9070326813988</v>
      </c>
      <c r="I34" s="4"/>
      <c r="J34" s="52">
        <v>1.1008052258648204E-2</v>
      </c>
      <c r="K34" s="57">
        <v>0</v>
      </c>
      <c r="L34" s="53">
        <v>2.2544555705129588E-2</v>
      </c>
      <c r="M34" s="4"/>
      <c r="N34" s="54">
        <v>0.52709041093540066</v>
      </c>
      <c r="O34" s="55">
        <v>0</v>
      </c>
      <c r="P34" s="55">
        <v>0.52709041089999997</v>
      </c>
      <c r="Q34" s="2"/>
      <c r="S34" s="56"/>
      <c r="T34" s="33"/>
      <c r="U34" s="33"/>
    </row>
    <row r="35" spans="1:21" x14ac:dyDescent="0.35">
      <c r="A35" s="2"/>
      <c r="B35" s="3" t="s">
        <v>33</v>
      </c>
      <c r="C35" s="10" t="s">
        <v>1</v>
      </c>
      <c r="D35" s="45" t="s">
        <v>132</v>
      </c>
      <c r="E35" s="2"/>
      <c r="F35" s="50">
        <v>48.646675279035499</v>
      </c>
      <c r="G35" s="51">
        <v>24.275421874999999</v>
      </c>
      <c r="H35" s="51">
        <v>24.3712534040355</v>
      </c>
      <c r="I35" s="4"/>
      <c r="J35" s="52">
        <v>5.6201488602067862E-3</v>
      </c>
      <c r="K35" s="53">
        <v>0</v>
      </c>
      <c r="L35" s="53">
        <v>1.1281351995776623E-2</v>
      </c>
      <c r="M35" s="4"/>
      <c r="N35" s="54">
        <v>0.27187358659450211</v>
      </c>
      <c r="O35" s="55">
        <v>0</v>
      </c>
      <c r="P35" s="55">
        <v>0.27187358659999999</v>
      </c>
      <c r="Q35" s="2"/>
      <c r="S35" s="56"/>
      <c r="T35" s="33"/>
      <c r="U35" s="33"/>
    </row>
    <row r="36" spans="1:21" x14ac:dyDescent="0.35">
      <c r="A36" s="2" t="s">
        <v>111</v>
      </c>
      <c r="B36" s="3" t="s">
        <v>55</v>
      </c>
      <c r="C36" s="10" t="s">
        <v>54</v>
      </c>
      <c r="D36" s="45"/>
      <c r="E36" s="2"/>
      <c r="F36" s="50">
        <v>44.046012993144402</v>
      </c>
      <c r="G36" s="51">
        <v>19.662944374999999</v>
      </c>
      <c r="H36" s="51">
        <v>24.383068618144403</v>
      </c>
      <c r="I36" s="4"/>
      <c r="J36" s="52">
        <v>5.0684600868566854E-3</v>
      </c>
      <c r="K36" s="57">
        <v>0</v>
      </c>
      <c r="L36" s="53">
        <v>9.1933331977929189E-3</v>
      </c>
      <c r="M36" s="4"/>
      <c r="N36" s="54">
        <v>0.22211965423890234</v>
      </c>
      <c r="O36" s="55">
        <v>0</v>
      </c>
      <c r="P36" s="55">
        <v>0.22211965419999999</v>
      </c>
      <c r="Q36" s="2"/>
      <c r="S36" s="56"/>
      <c r="T36" s="33"/>
      <c r="U36" s="33"/>
    </row>
    <row r="37" spans="1:21" x14ac:dyDescent="0.35">
      <c r="A37" s="2" t="s">
        <v>111</v>
      </c>
      <c r="B37" s="3" t="s">
        <v>62</v>
      </c>
      <c r="C37" s="10" t="s">
        <v>13</v>
      </c>
      <c r="D37" s="45">
        <v>12</v>
      </c>
      <c r="E37" s="2"/>
      <c r="F37" s="50">
        <v>46.379177250528599</v>
      </c>
      <c r="G37" s="51">
        <v>20.575584374999998</v>
      </c>
      <c r="H37" s="51">
        <v>25.803592875528601</v>
      </c>
      <c r="I37" s="4"/>
      <c r="J37" s="52">
        <v>4.0786094594125188E-3</v>
      </c>
      <c r="K37" s="57">
        <v>0</v>
      </c>
      <c r="L37" s="53">
        <v>7.3547805319700288E-3</v>
      </c>
      <c r="M37" s="4"/>
      <c r="N37" s="54">
        <v>0.18839416483099569</v>
      </c>
      <c r="O37" s="55">
        <v>0</v>
      </c>
      <c r="P37" s="55">
        <v>0.18839416480000001</v>
      </c>
      <c r="Q37" s="2"/>
      <c r="S37" s="56"/>
      <c r="T37" s="33"/>
      <c r="U37" s="33"/>
    </row>
    <row r="38" spans="1:21" x14ac:dyDescent="0.35">
      <c r="A38" s="2" t="s">
        <v>111</v>
      </c>
      <c r="B38" s="3" t="s">
        <v>58</v>
      </c>
      <c r="C38" s="10" t="s">
        <v>57</v>
      </c>
      <c r="D38" s="45"/>
      <c r="E38" s="2"/>
      <c r="F38" s="50">
        <v>48.2689356089897</v>
      </c>
      <c r="G38" s="51">
        <v>24.502316875000002</v>
      </c>
      <c r="H38" s="51">
        <v>23.766618733989699</v>
      </c>
      <c r="I38" s="4"/>
      <c r="J38" s="52">
        <v>6.1330158316721395E-3</v>
      </c>
      <c r="K38" s="57">
        <v>0</v>
      </c>
      <c r="L38" s="53">
        <v>1.253513777454196E-2</v>
      </c>
      <c r="M38" s="4"/>
      <c r="N38" s="54">
        <v>0.29422963128109814</v>
      </c>
      <c r="O38" s="55">
        <v>0</v>
      </c>
      <c r="P38" s="55">
        <v>0.29422963130000002</v>
      </c>
      <c r="Q38" s="2"/>
      <c r="S38" s="56"/>
      <c r="T38" s="33"/>
      <c r="U38" s="33"/>
    </row>
    <row r="39" spans="1:21" x14ac:dyDescent="0.35">
      <c r="A39" s="2" t="s">
        <v>111</v>
      </c>
      <c r="B39" s="3" t="s">
        <v>56</v>
      </c>
      <c r="C39" s="10" t="s">
        <v>53</v>
      </c>
      <c r="D39" s="45"/>
      <c r="E39" s="2"/>
      <c r="F39" s="50">
        <v>43.084000190120499</v>
      </c>
      <c r="G39" s="51">
        <v>19.662944374999999</v>
      </c>
      <c r="H39" s="51">
        <v>23.4210558151205</v>
      </c>
      <c r="I39" s="4"/>
      <c r="J39" s="52">
        <v>8.401622139389886E-3</v>
      </c>
      <c r="K39" s="57">
        <v>0</v>
      </c>
      <c r="L39" s="53">
        <v>1.5564918465162725E-2</v>
      </c>
      <c r="M39" s="4"/>
      <c r="N39" s="54">
        <v>0.35895964653730061</v>
      </c>
      <c r="O39" s="55">
        <v>0</v>
      </c>
      <c r="P39" s="55">
        <v>0.35895964650000001</v>
      </c>
      <c r="Q39" s="2"/>
      <c r="S39" s="56"/>
      <c r="T39" s="33"/>
      <c r="U39" s="33"/>
    </row>
    <row r="40" spans="1:21" x14ac:dyDescent="0.35">
      <c r="A40" s="2"/>
      <c r="B40" s="3" t="s">
        <v>36</v>
      </c>
      <c r="C40" s="10" t="s">
        <v>4</v>
      </c>
      <c r="D40" s="45">
        <v>13</v>
      </c>
      <c r="E40" s="2"/>
      <c r="F40" s="50">
        <v>44.682690392549901</v>
      </c>
      <c r="G40" s="51">
        <v>22.718321875000001</v>
      </c>
      <c r="H40" s="51">
        <v>21.9643685175499</v>
      </c>
      <c r="I40" s="4"/>
      <c r="J40" s="52">
        <v>5.6144854939998989E-3</v>
      </c>
      <c r="K40" s="53">
        <v>0</v>
      </c>
      <c r="L40" s="53">
        <v>1.14884105557016E-2</v>
      </c>
      <c r="M40" s="4"/>
      <c r="N40" s="54">
        <v>0.24946967318059876</v>
      </c>
      <c r="O40" s="55">
        <v>0</v>
      </c>
      <c r="P40" s="55">
        <v>0.24946967319999999</v>
      </c>
      <c r="Q40" s="2"/>
      <c r="S40" s="56"/>
      <c r="T40" s="33"/>
      <c r="U40" s="33"/>
    </row>
    <row r="41" spans="1:21" x14ac:dyDescent="0.35">
      <c r="A41" s="2"/>
      <c r="B41" s="3" t="s">
        <v>75</v>
      </c>
      <c r="C41" s="10" t="s">
        <v>74</v>
      </c>
      <c r="D41" s="45"/>
      <c r="E41" s="2"/>
      <c r="F41" s="50">
        <v>37.198510939705301</v>
      </c>
      <c r="G41" s="51">
        <v>12.280921875000001</v>
      </c>
      <c r="H41" s="51">
        <v>24.9175890647053</v>
      </c>
      <c r="I41" s="4"/>
      <c r="J41" s="52">
        <v>5.0519495219543131E-3</v>
      </c>
      <c r="K41" s="53">
        <v>0</v>
      </c>
      <c r="L41" s="53">
        <v>7.5606866986124288E-3</v>
      </c>
      <c r="M41" s="4"/>
      <c r="N41" s="54">
        <v>0.18698038409720397</v>
      </c>
      <c r="O41" s="55">
        <v>0</v>
      </c>
      <c r="P41" s="55">
        <v>0.18698038410000001</v>
      </c>
      <c r="Q41" s="2"/>
      <c r="S41" s="56"/>
      <c r="T41" s="33"/>
      <c r="U41" s="33"/>
    </row>
    <row r="42" spans="1:21" ht="15.5" x14ac:dyDescent="0.35">
      <c r="A42" s="2"/>
      <c r="B42" s="3"/>
      <c r="C42" s="10"/>
      <c r="D42" s="45"/>
      <c r="E42" s="45"/>
      <c r="F42" s="75"/>
      <c r="G42" s="76"/>
      <c r="H42" s="25"/>
      <c r="I42" s="25"/>
      <c r="J42" s="25"/>
      <c r="K42" s="25"/>
      <c r="L42" s="25"/>
      <c r="M42" s="25"/>
      <c r="N42" s="27"/>
      <c r="O42" s="27"/>
      <c r="P42" s="27"/>
      <c r="Q42" s="2"/>
      <c r="S42" s="31"/>
      <c r="T42" s="33"/>
      <c r="U42" s="33"/>
    </row>
    <row r="43" spans="1:21" ht="15.5" x14ac:dyDescent="0.35">
      <c r="A43" s="2"/>
      <c r="B43" s="59" t="s">
        <v>117</v>
      </c>
      <c r="C43" s="4"/>
      <c r="D43" s="45"/>
      <c r="E43" s="2"/>
      <c r="F43" s="75"/>
      <c r="G43" s="76"/>
      <c r="H43" s="21"/>
      <c r="I43" s="21"/>
      <c r="J43" s="22"/>
      <c r="K43" s="21"/>
      <c r="L43" s="21"/>
      <c r="M43" s="21"/>
      <c r="N43" s="28"/>
      <c r="O43" s="26"/>
      <c r="P43" s="26"/>
      <c r="Q43" s="2"/>
      <c r="S43" s="29"/>
      <c r="T43" s="33"/>
      <c r="U43" s="33"/>
    </row>
    <row r="44" spans="1:21" x14ac:dyDescent="0.35">
      <c r="A44" s="2"/>
      <c r="B44" s="3" t="s">
        <v>46</v>
      </c>
      <c r="C44" s="10" t="s">
        <v>8</v>
      </c>
      <c r="D44" s="45"/>
      <c r="E44" s="2"/>
      <c r="F44" s="50">
        <v>38.431640933593698</v>
      </c>
      <c r="G44" s="51">
        <v>11.459821874999999</v>
      </c>
      <c r="H44" s="51">
        <v>26.971819058593699</v>
      </c>
      <c r="I44" s="4"/>
      <c r="J44" s="52">
        <v>-8.9434473011685833E-3</v>
      </c>
      <c r="K44" s="53">
        <v>0</v>
      </c>
      <c r="L44" s="53">
        <v>-1.2695110728757064E-2</v>
      </c>
      <c r="M44" s="4"/>
      <c r="N44" s="54">
        <v>-0.34681305970990195</v>
      </c>
      <c r="O44" s="55">
        <v>0</v>
      </c>
      <c r="P44" s="55">
        <v>-0.34681305969999998</v>
      </c>
      <c r="Q44" s="2"/>
      <c r="S44" s="56"/>
      <c r="T44" s="33"/>
      <c r="U44" s="33"/>
    </row>
    <row r="45" spans="1:21" x14ac:dyDescent="0.35">
      <c r="A45" s="2"/>
      <c r="B45" s="3" t="s">
        <v>47</v>
      </c>
      <c r="C45" s="10" t="s">
        <v>9</v>
      </c>
      <c r="D45" s="45" t="s">
        <v>133</v>
      </c>
      <c r="E45" s="2"/>
      <c r="F45" s="50">
        <v>38.784951930837501</v>
      </c>
      <c r="G45" s="51">
        <v>11.886687500000001</v>
      </c>
      <c r="H45" s="51">
        <v>26.8982644308375</v>
      </c>
      <c r="I45" s="4"/>
      <c r="J45" s="52">
        <v>-1.6657552040803991E-2</v>
      </c>
      <c r="K45" s="53">
        <v>0</v>
      </c>
      <c r="L45" s="53">
        <v>-2.3843223209483178E-2</v>
      </c>
      <c r="M45" s="4"/>
      <c r="N45" s="54">
        <v>-0.65700647473200036</v>
      </c>
      <c r="O45" s="55">
        <v>0</v>
      </c>
      <c r="P45" s="55">
        <v>-0.65700647469999995</v>
      </c>
      <c r="Q45" s="2"/>
      <c r="S45" s="56"/>
      <c r="T45" s="33"/>
      <c r="U45" s="33"/>
    </row>
    <row r="46" spans="1:21" x14ac:dyDescent="0.35">
      <c r="A46" s="2"/>
      <c r="B46" s="3" t="s">
        <v>43</v>
      </c>
      <c r="C46" s="10" t="s">
        <v>45</v>
      </c>
      <c r="D46" s="45" t="s">
        <v>134</v>
      </c>
      <c r="E46" s="2"/>
      <c r="F46" s="50">
        <v>47.121214617800298</v>
      </c>
      <c r="G46" s="51">
        <v>19.029121875000001</v>
      </c>
      <c r="H46" s="51">
        <v>28.092092742800297</v>
      </c>
      <c r="I46" s="4"/>
      <c r="J46" s="52">
        <v>2.6465684511063348E-3</v>
      </c>
      <c r="K46" s="53">
        <v>0</v>
      </c>
      <c r="L46" s="53">
        <v>4.4472832494750758E-3</v>
      </c>
      <c r="M46" s="4"/>
      <c r="N46" s="54">
        <v>0.1243803389043947</v>
      </c>
      <c r="O46" s="55">
        <v>0</v>
      </c>
      <c r="P46" s="55">
        <v>0.1243803389</v>
      </c>
      <c r="Q46" s="2"/>
      <c r="S46" s="56"/>
      <c r="T46" s="33"/>
      <c r="U46" s="33"/>
    </row>
    <row r="47" spans="1:21" x14ac:dyDescent="0.35">
      <c r="A47" s="2"/>
      <c r="B47" s="3" t="s">
        <v>26</v>
      </c>
      <c r="C47" s="10" t="s">
        <v>0</v>
      </c>
      <c r="D47" s="45"/>
      <c r="E47" s="2"/>
      <c r="F47" s="50">
        <v>46.951554043378103</v>
      </c>
      <c r="G47" s="51">
        <v>18.210321875000002</v>
      </c>
      <c r="H47" s="51">
        <v>28.741232168378101</v>
      </c>
      <c r="I47" s="4"/>
      <c r="J47" s="52">
        <v>-6.115239144569018E-3</v>
      </c>
      <c r="K47" s="53">
        <v>0</v>
      </c>
      <c r="L47" s="53">
        <v>-9.9512714428182658E-3</v>
      </c>
      <c r="M47" s="4"/>
      <c r="N47" s="54">
        <v>-0.28888659177879816</v>
      </c>
      <c r="O47" s="55">
        <v>0</v>
      </c>
      <c r="P47" s="55">
        <v>-0.28888659179999998</v>
      </c>
      <c r="Q47" s="2"/>
      <c r="S47" s="56"/>
      <c r="T47" s="33"/>
      <c r="U47" s="33"/>
    </row>
    <row r="48" spans="1:21" x14ac:dyDescent="0.35">
      <c r="A48" s="2"/>
      <c r="B48" s="3" t="s">
        <v>77</v>
      </c>
      <c r="C48" s="10" t="s">
        <v>22</v>
      </c>
      <c r="D48" s="45">
        <v>18</v>
      </c>
      <c r="E48" s="2"/>
      <c r="F48" s="50">
        <v>48.527689100272802</v>
      </c>
      <c r="G48" s="51">
        <v>19.934705475000001</v>
      </c>
      <c r="H48" s="51">
        <v>28.592983625272801</v>
      </c>
      <c r="I48" s="4"/>
      <c r="J48" s="52">
        <v>4.8747901024650542E-3</v>
      </c>
      <c r="K48" s="53">
        <v>0</v>
      </c>
      <c r="L48" s="53">
        <v>8.3016531470285759E-3</v>
      </c>
      <c r="M48" s="4"/>
      <c r="N48" s="54">
        <v>0.23541470126580322</v>
      </c>
      <c r="O48" s="55">
        <v>0</v>
      </c>
      <c r="P48" s="55">
        <v>0.2354147013</v>
      </c>
      <c r="Q48" s="2"/>
      <c r="S48" s="56"/>
      <c r="T48" s="33"/>
      <c r="U48" s="33"/>
    </row>
    <row r="49" spans="1:21" x14ac:dyDescent="0.35">
      <c r="A49" s="2"/>
      <c r="B49" s="3" t="s">
        <v>39</v>
      </c>
      <c r="C49" s="10" t="s">
        <v>40</v>
      </c>
      <c r="D49" s="45" t="s">
        <v>135</v>
      </c>
      <c r="E49" s="2"/>
      <c r="F49" s="50">
        <v>45.477932491814201</v>
      </c>
      <c r="G49" s="51">
        <v>20.295271875000001</v>
      </c>
      <c r="H49" s="51">
        <v>25.1826606168142</v>
      </c>
      <c r="I49" s="4"/>
      <c r="J49" s="52">
        <v>1.8761440546419816E-3</v>
      </c>
      <c r="K49" s="53">
        <v>0</v>
      </c>
      <c r="L49" s="53">
        <v>3.3933014545539653E-3</v>
      </c>
      <c r="M49" s="4"/>
      <c r="N49" s="54">
        <v>8.5163373904300954E-2</v>
      </c>
      <c r="O49" s="55">
        <v>0</v>
      </c>
      <c r="P49" s="55">
        <v>8.5163373900000006E-2</v>
      </c>
      <c r="Q49" s="2"/>
      <c r="S49" s="56"/>
      <c r="T49" s="33"/>
      <c r="U49" s="33"/>
    </row>
    <row r="50" spans="1:21" x14ac:dyDescent="0.35">
      <c r="A50" s="2"/>
      <c r="B50" s="3" t="s">
        <v>42</v>
      </c>
      <c r="C50" s="10" t="s">
        <v>41</v>
      </c>
      <c r="D50" s="45"/>
      <c r="E50" s="2"/>
      <c r="F50" s="50">
        <v>45.097932491814198</v>
      </c>
      <c r="G50" s="51">
        <v>20.295271875000001</v>
      </c>
      <c r="H50" s="51">
        <v>24.802660616814197</v>
      </c>
      <c r="I50" s="4"/>
      <c r="J50" s="52">
        <v>1.8919825545773428E-3</v>
      </c>
      <c r="K50" s="53">
        <v>0</v>
      </c>
      <c r="L50" s="53">
        <v>3.4454691372309831E-3</v>
      </c>
      <c r="M50" s="4"/>
      <c r="N50" s="54">
        <v>8.5163373904300954E-2</v>
      </c>
      <c r="O50" s="55">
        <v>0</v>
      </c>
      <c r="P50" s="55">
        <v>8.5163373900000006E-2</v>
      </c>
      <c r="Q50" s="2"/>
      <c r="S50" s="56"/>
      <c r="T50" s="33"/>
      <c r="U50" s="33"/>
    </row>
    <row r="51" spans="1:21" x14ac:dyDescent="0.35">
      <c r="A51" s="2" t="s">
        <v>111</v>
      </c>
      <c r="B51" s="3" t="s">
        <v>66</v>
      </c>
      <c r="C51" s="10" t="s">
        <v>12</v>
      </c>
      <c r="D51" s="45"/>
      <c r="E51" s="2"/>
      <c r="F51" s="50">
        <v>38.608311998429997</v>
      </c>
      <c r="G51" s="51">
        <v>14.615251369215001</v>
      </c>
      <c r="H51" s="51">
        <v>23.993060629214995</v>
      </c>
      <c r="I51" s="4"/>
      <c r="J51" s="52">
        <v>2.1347750385303232E-3</v>
      </c>
      <c r="K51" s="53">
        <v>0</v>
      </c>
      <c r="L51" s="53">
        <v>3.439635297748378E-3</v>
      </c>
      <c r="M51" s="4"/>
      <c r="N51" s="54">
        <v>8.2244487255593413E-2</v>
      </c>
      <c r="O51" s="55">
        <v>0</v>
      </c>
      <c r="P51" s="55">
        <v>8.2244487300000002E-2</v>
      </c>
      <c r="Q51" s="2"/>
      <c r="S51" s="56"/>
      <c r="T51" s="33"/>
      <c r="U51" s="33"/>
    </row>
    <row r="52" spans="1:21" x14ac:dyDescent="0.35">
      <c r="A52" s="2"/>
      <c r="B52" s="3" t="s">
        <v>30</v>
      </c>
      <c r="C52" s="10" t="s">
        <v>31</v>
      </c>
      <c r="D52" s="45">
        <v>20</v>
      </c>
      <c r="E52" s="2"/>
      <c r="F52" s="50">
        <v>38.1567024445648</v>
      </c>
      <c r="G52" s="51">
        <v>12.288557875</v>
      </c>
      <c r="H52" s="51">
        <v>25.868144569564798</v>
      </c>
      <c r="I52" s="4"/>
      <c r="J52" s="52">
        <v>2.6451650786691872E-3</v>
      </c>
      <c r="K52" s="53">
        <v>0</v>
      </c>
      <c r="L52" s="53">
        <v>3.9066490917332164E-3</v>
      </c>
      <c r="M52" s="4"/>
      <c r="N52" s="54">
        <v>0.10066450259660087</v>
      </c>
      <c r="O52" s="55">
        <v>0</v>
      </c>
      <c r="P52" s="55">
        <v>0.1006645026</v>
      </c>
      <c r="Q52" s="2"/>
      <c r="S52" s="56"/>
      <c r="T52" s="33"/>
      <c r="U52" s="33"/>
    </row>
    <row r="53" spans="1:21" x14ac:dyDescent="0.35">
      <c r="A53" s="2"/>
      <c r="B53" s="3" t="s">
        <v>24</v>
      </c>
      <c r="C53" s="10" t="s">
        <v>28</v>
      </c>
      <c r="D53" s="45">
        <v>21</v>
      </c>
      <c r="E53" s="2"/>
      <c r="F53" s="50">
        <v>43.204977650784699</v>
      </c>
      <c r="G53" s="51">
        <v>17.946971874999999</v>
      </c>
      <c r="H53" s="51">
        <v>25.258005775784699</v>
      </c>
      <c r="I53" s="4"/>
      <c r="J53" s="52">
        <v>1.7828761090439293E-3</v>
      </c>
      <c r="K53" s="53">
        <v>0</v>
      </c>
      <c r="L53" s="53">
        <v>3.0535596751957161E-3</v>
      </c>
      <c r="M53" s="4"/>
      <c r="N53" s="54">
        <v>7.6892033475900234E-2</v>
      </c>
      <c r="O53" s="55">
        <v>0</v>
      </c>
      <c r="P53" s="55">
        <v>7.6892033499999998E-2</v>
      </c>
      <c r="Q53" s="2"/>
      <c r="S53" s="56"/>
      <c r="T53" s="33"/>
      <c r="U53" s="33"/>
    </row>
    <row r="54" spans="1:21" x14ac:dyDescent="0.35">
      <c r="A54" s="2"/>
      <c r="B54" s="3" t="s">
        <v>48</v>
      </c>
      <c r="C54" s="10" t="s">
        <v>10</v>
      </c>
      <c r="D54" s="45">
        <v>22</v>
      </c>
      <c r="E54" s="2"/>
      <c r="F54" s="50">
        <v>44.723172329788099</v>
      </c>
      <c r="G54" s="51">
        <v>19.170801874999999</v>
      </c>
      <c r="H54" s="51">
        <v>25.5523704547881</v>
      </c>
      <c r="I54" s="4"/>
      <c r="J54" s="52">
        <v>1.4874932225998894E-3</v>
      </c>
      <c r="K54" s="53">
        <v>0</v>
      </c>
      <c r="L54" s="53">
        <v>2.6064016697064929E-3</v>
      </c>
      <c r="M54" s="4"/>
      <c r="N54" s="54">
        <v>6.6426606606597716E-2</v>
      </c>
      <c r="O54" s="55">
        <v>0</v>
      </c>
      <c r="P54" s="55">
        <v>6.6426606599999993E-2</v>
      </c>
      <c r="Q54" s="2"/>
      <c r="S54" s="56"/>
      <c r="T54" s="33"/>
      <c r="U54" s="33"/>
    </row>
    <row r="55" spans="1:21" x14ac:dyDescent="0.35">
      <c r="A55" s="2"/>
      <c r="B55" s="3" t="s">
        <v>81</v>
      </c>
      <c r="C55" s="10" t="s">
        <v>3</v>
      </c>
      <c r="D55" s="45"/>
      <c r="E55" s="2"/>
      <c r="F55" s="50">
        <v>42.490475397039098</v>
      </c>
      <c r="G55" s="51">
        <v>16.795421874999999</v>
      </c>
      <c r="H55" s="51">
        <v>25.6950535220391</v>
      </c>
      <c r="I55" s="4"/>
      <c r="J55" s="52">
        <v>1.3297521658817146E-3</v>
      </c>
      <c r="K55" s="53">
        <v>0</v>
      </c>
      <c r="L55" s="53">
        <v>2.2008498560164291E-3</v>
      </c>
      <c r="M55" s="4"/>
      <c r="N55" s="54">
        <v>5.6426768071496269E-2</v>
      </c>
      <c r="O55" s="55">
        <v>0</v>
      </c>
      <c r="P55" s="55">
        <v>5.6426768099999997E-2</v>
      </c>
      <c r="Q55" s="2"/>
      <c r="S55" s="56"/>
      <c r="T55" s="33"/>
      <c r="U55" s="33"/>
    </row>
    <row r="56" spans="1:21" x14ac:dyDescent="0.35">
      <c r="A56" s="2"/>
      <c r="B56" s="3" t="s">
        <v>27</v>
      </c>
      <c r="C56" s="10" t="s">
        <v>23</v>
      </c>
      <c r="D56" s="45"/>
      <c r="E56" s="2"/>
      <c r="F56" s="50">
        <v>42.383896351440399</v>
      </c>
      <c r="G56" s="51">
        <v>18.297721875000001</v>
      </c>
      <c r="H56" s="51">
        <v>24.086174476440398</v>
      </c>
      <c r="I56" s="4"/>
      <c r="J56" s="52">
        <v>2.654830320764523E-3</v>
      </c>
      <c r="K56" s="53">
        <v>0</v>
      </c>
      <c r="L56" s="53">
        <v>4.6810857375645387E-3</v>
      </c>
      <c r="M56" s="4"/>
      <c r="N56" s="54">
        <v>0.1122241171569982</v>
      </c>
      <c r="O56" s="55">
        <v>0</v>
      </c>
      <c r="P56" s="55">
        <v>0.1122241172</v>
      </c>
      <c r="Q56" s="2"/>
      <c r="S56" s="56"/>
      <c r="T56" s="33"/>
      <c r="U56" s="33"/>
    </row>
    <row r="57" spans="1:21" x14ac:dyDescent="0.35">
      <c r="A57" s="2"/>
      <c r="B57" s="3" t="s">
        <v>35</v>
      </c>
      <c r="C57" s="10" t="s">
        <v>25</v>
      </c>
      <c r="D57" s="45"/>
      <c r="E57" s="2"/>
      <c r="F57" s="50">
        <v>48.882590529187397</v>
      </c>
      <c r="G57" s="51">
        <v>24.733121874999998</v>
      </c>
      <c r="H57" s="51">
        <v>24.149468654187398</v>
      </c>
      <c r="I57" s="4"/>
      <c r="J57" s="52">
        <v>1.4206798267999421E-3</v>
      </c>
      <c r="K57" s="53">
        <v>0</v>
      </c>
      <c r="L57" s="53">
        <v>2.8798854442710908E-3</v>
      </c>
      <c r="M57" s="4"/>
      <c r="N57" s="54">
        <v>6.9347988957595419E-2</v>
      </c>
      <c r="O57" s="55">
        <v>0</v>
      </c>
      <c r="P57" s="55">
        <v>6.9347988999999999E-2</v>
      </c>
      <c r="Q57" s="2"/>
      <c r="S57" s="56"/>
      <c r="T57" s="33"/>
      <c r="U57" s="33"/>
    </row>
    <row r="58" spans="1:21" x14ac:dyDescent="0.35">
      <c r="A58" s="2" t="s">
        <v>111</v>
      </c>
      <c r="B58" s="3" t="s">
        <v>50</v>
      </c>
      <c r="C58" s="10" t="s">
        <v>51</v>
      </c>
      <c r="D58" s="45"/>
      <c r="E58" s="2"/>
      <c r="F58" s="50">
        <v>50.996952161728402</v>
      </c>
      <c r="G58" s="51">
        <v>25.627532765000002</v>
      </c>
      <c r="H58" s="51">
        <v>25.3694193967284</v>
      </c>
      <c r="I58" s="4"/>
      <c r="J58" s="52">
        <v>-2.9079857857350788E-2</v>
      </c>
      <c r="K58" s="53">
        <v>0</v>
      </c>
      <c r="L58" s="53">
        <v>-5.6787408675502027E-2</v>
      </c>
      <c r="M58" s="4"/>
      <c r="N58" s="54">
        <v>-1.5274007157256975</v>
      </c>
      <c r="O58" s="55">
        <v>0</v>
      </c>
      <c r="P58" s="55">
        <v>-1.5274007157</v>
      </c>
      <c r="Q58" s="2"/>
      <c r="S58" s="56"/>
      <c r="T58" s="33"/>
      <c r="U58" s="33"/>
    </row>
    <row r="59" spans="1:21" x14ac:dyDescent="0.35">
      <c r="A59" s="2" t="s">
        <v>111</v>
      </c>
      <c r="B59" s="3" t="s">
        <v>65</v>
      </c>
      <c r="C59" s="10" t="s">
        <v>78</v>
      </c>
      <c r="D59" s="45">
        <v>23</v>
      </c>
      <c r="E59" s="2"/>
      <c r="F59" s="50">
        <v>44.173444547066197</v>
      </c>
      <c r="G59" s="51">
        <v>19.236434084957999</v>
      </c>
      <c r="H59" s="51">
        <v>24.937010462108198</v>
      </c>
      <c r="I59" s="4"/>
      <c r="J59" s="52">
        <v>4.3876409924417104E-3</v>
      </c>
      <c r="K59" s="53">
        <v>0</v>
      </c>
      <c r="L59" s="53">
        <v>7.7986671228704729E-3</v>
      </c>
      <c r="M59" s="4"/>
      <c r="N59" s="54">
        <v>0.19297053066139824</v>
      </c>
      <c r="O59" s="55">
        <v>0</v>
      </c>
      <c r="P59" s="55">
        <v>0.1929705307</v>
      </c>
      <c r="Q59" s="2"/>
      <c r="S59" s="56"/>
      <c r="T59" s="33"/>
      <c r="U59" s="33"/>
    </row>
    <row r="60" spans="1:21" x14ac:dyDescent="0.35">
      <c r="A60" s="2" t="s">
        <v>111</v>
      </c>
      <c r="B60" s="3" t="s">
        <v>32</v>
      </c>
      <c r="C60" s="10" t="s">
        <v>5</v>
      </c>
      <c r="D60" s="45"/>
      <c r="E60" s="2"/>
      <c r="F60" s="50">
        <v>39.019170387541301</v>
      </c>
      <c r="G60" s="51">
        <v>13.5515700025018</v>
      </c>
      <c r="H60" s="51">
        <v>25.467600385039503</v>
      </c>
      <c r="I60" s="4"/>
      <c r="J60" s="52">
        <v>5.2505172291850144E-3</v>
      </c>
      <c r="K60" s="53">
        <v>0</v>
      </c>
      <c r="L60" s="53">
        <v>8.0669087778066917E-3</v>
      </c>
      <c r="M60" s="4"/>
      <c r="N60" s="54">
        <v>0.20380076695010274</v>
      </c>
      <c r="O60" s="55">
        <v>0</v>
      </c>
      <c r="P60" s="55">
        <v>0.20380076699999999</v>
      </c>
      <c r="Q60" s="2"/>
      <c r="S60" s="56"/>
      <c r="T60" s="33"/>
      <c r="U60" s="33"/>
    </row>
    <row r="61" spans="1:21" x14ac:dyDescent="0.35">
      <c r="A61" s="2"/>
      <c r="B61" s="3"/>
      <c r="C61" s="10"/>
      <c r="D61" s="45"/>
      <c r="E61" s="2"/>
      <c r="F61" s="2"/>
      <c r="G61" s="2"/>
      <c r="H61" s="2"/>
      <c r="I61" s="4"/>
      <c r="J61" s="6"/>
      <c r="K61" s="34"/>
      <c r="L61" s="2"/>
      <c r="M61" s="4"/>
      <c r="N61" s="6"/>
      <c r="O61" s="2"/>
      <c r="P61" s="2"/>
      <c r="Q61" s="2"/>
    </row>
    <row r="62" spans="1:21" x14ac:dyDescent="0.35">
      <c r="A62" s="2"/>
      <c r="B62" s="8" t="s">
        <v>136</v>
      </c>
      <c r="C62" s="4"/>
      <c r="D62" s="45"/>
      <c r="E62" s="2"/>
      <c r="F62" s="2"/>
      <c r="G62" s="2"/>
      <c r="H62" s="2"/>
      <c r="I62" s="4"/>
      <c r="J62" s="6"/>
      <c r="K62" s="2"/>
      <c r="L62" s="2"/>
      <c r="M62" s="4"/>
      <c r="N62" s="6"/>
      <c r="O62" s="2"/>
      <c r="P62" s="2"/>
      <c r="Q62" s="2"/>
    </row>
    <row r="63" spans="1:21" x14ac:dyDescent="0.35">
      <c r="A63" s="2"/>
      <c r="B63" t="s">
        <v>106</v>
      </c>
      <c r="C63" s="4"/>
      <c r="D63" s="45"/>
      <c r="E63" s="2"/>
      <c r="F63" s="2"/>
      <c r="G63" s="2"/>
      <c r="H63" s="2"/>
      <c r="I63" s="4"/>
      <c r="J63" s="6"/>
      <c r="K63" s="2"/>
      <c r="L63" s="2"/>
      <c r="M63" s="4"/>
      <c r="N63" s="6"/>
      <c r="O63" s="2"/>
      <c r="P63" s="2"/>
      <c r="Q63" s="2"/>
    </row>
    <row r="64" spans="1:21" x14ac:dyDescent="0.35">
      <c r="A64" s="2"/>
      <c r="B64" s="4"/>
      <c r="C64" s="4"/>
      <c r="D64" s="45"/>
      <c r="E64" s="2"/>
      <c r="F64" s="2"/>
      <c r="G64" s="2"/>
      <c r="H64" s="2"/>
      <c r="I64" s="4"/>
      <c r="J64" s="6"/>
      <c r="K64" s="2"/>
      <c r="L64" s="2"/>
      <c r="M64" s="4"/>
      <c r="N64" s="6"/>
      <c r="O64" s="2"/>
      <c r="P64" s="2"/>
      <c r="Q64" s="2"/>
    </row>
    <row r="65" spans="1:17" s="36" customFormat="1" x14ac:dyDescent="0.35">
      <c r="A65" s="3"/>
      <c r="B65" s="67" t="s">
        <v>138</v>
      </c>
      <c r="C65" s="69" t="s">
        <v>88</v>
      </c>
      <c r="D65" s="3" t="s">
        <v>97</v>
      </c>
      <c r="E65" s="3"/>
      <c r="F65" s="3"/>
      <c r="G65" s="3"/>
      <c r="H65" s="3"/>
      <c r="I65" s="67"/>
      <c r="J65" s="3"/>
      <c r="K65" s="3"/>
      <c r="L65" s="3" t="s">
        <v>92</v>
      </c>
      <c r="M65" s="3"/>
      <c r="N65" s="68"/>
      <c r="O65" s="3"/>
      <c r="P65" s="3"/>
      <c r="Q65" s="3"/>
    </row>
    <row r="66" spans="1:17" x14ac:dyDescent="0.35">
      <c r="A66" s="2"/>
      <c r="B66" s="4">
        <v>1</v>
      </c>
      <c r="C66" s="9" t="s">
        <v>89</v>
      </c>
      <c r="D66" s="9" t="s">
        <v>15</v>
      </c>
      <c r="E66" s="9"/>
      <c r="F66" s="2"/>
      <c r="G66" s="2"/>
      <c r="H66" s="2"/>
      <c r="I66" s="4"/>
      <c r="J66" s="2"/>
      <c r="K66" s="2"/>
      <c r="L66" s="20">
        <v>2.5</v>
      </c>
      <c r="M66" s="2" t="s">
        <v>83</v>
      </c>
      <c r="N66" s="6"/>
      <c r="O66" s="2"/>
      <c r="P66" s="2"/>
      <c r="Q66" s="2"/>
    </row>
    <row r="67" spans="1:17" x14ac:dyDescent="0.35">
      <c r="A67" s="2"/>
      <c r="B67" s="4">
        <v>2</v>
      </c>
      <c r="C67" s="9" t="s">
        <v>137</v>
      </c>
      <c r="D67" s="9" t="s">
        <v>125</v>
      </c>
      <c r="E67" s="9"/>
      <c r="F67" s="2"/>
      <c r="G67" s="2"/>
      <c r="H67" s="2"/>
      <c r="I67" s="4"/>
      <c r="J67" s="2"/>
      <c r="K67" s="2"/>
      <c r="L67" s="20">
        <v>2.4</v>
      </c>
      <c r="M67" s="2" t="s">
        <v>83</v>
      </c>
      <c r="N67" s="6"/>
      <c r="O67" s="2"/>
      <c r="P67" s="2"/>
      <c r="Q67" s="2"/>
    </row>
    <row r="68" spans="1:17" x14ac:dyDescent="0.35">
      <c r="A68" s="2"/>
      <c r="B68" s="4">
        <v>3</v>
      </c>
      <c r="C68" s="9" t="s">
        <v>90</v>
      </c>
      <c r="D68" s="9" t="s">
        <v>128</v>
      </c>
      <c r="E68" s="9"/>
      <c r="F68" s="2"/>
      <c r="G68" s="2"/>
      <c r="H68" s="2"/>
      <c r="I68" s="4"/>
      <c r="J68" s="2"/>
      <c r="K68" s="2"/>
      <c r="L68" s="20">
        <v>4.6900000000000004</v>
      </c>
      <c r="M68" s="2" t="s">
        <v>83</v>
      </c>
      <c r="N68" s="6"/>
      <c r="O68" s="2"/>
      <c r="P68" s="2"/>
      <c r="Q68" s="2"/>
    </row>
    <row r="69" spans="1:17" x14ac:dyDescent="0.35">
      <c r="A69" s="2"/>
      <c r="B69" s="4">
        <v>4</v>
      </c>
      <c r="C69" s="9" t="s">
        <v>89</v>
      </c>
      <c r="D69" s="9" t="s">
        <v>2</v>
      </c>
      <c r="E69" s="9"/>
      <c r="F69" s="2"/>
      <c r="G69" s="2"/>
      <c r="H69" s="2"/>
      <c r="I69" s="4"/>
      <c r="J69" s="2"/>
      <c r="K69" s="2"/>
      <c r="L69" s="20">
        <v>2.4500000000000002</v>
      </c>
      <c r="M69" s="2" t="s">
        <v>83</v>
      </c>
      <c r="N69" s="6"/>
      <c r="O69" s="2"/>
      <c r="P69" s="2"/>
      <c r="Q69" s="2"/>
    </row>
    <row r="70" spans="1:17" x14ac:dyDescent="0.35">
      <c r="A70" s="2"/>
      <c r="B70" s="4">
        <v>5</v>
      </c>
      <c r="C70" s="9" t="s">
        <v>91</v>
      </c>
      <c r="D70" s="9" t="s">
        <v>96</v>
      </c>
      <c r="E70" s="9"/>
      <c r="F70" s="2"/>
      <c r="G70" s="2"/>
      <c r="H70" s="2"/>
      <c r="I70" s="4"/>
      <c r="J70" s="2"/>
      <c r="K70" s="2"/>
      <c r="L70" s="20">
        <v>5.5</v>
      </c>
      <c r="M70" s="2" t="s">
        <v>83</v>
      </c>
      <c r="N70" s="6"/>
      <c r="O70" s="2"/>
      <c r="P70" s="2"/>
      <c r="Q70" s="2"/>
    </row>
    <row r="71" spans="1:17" x14ac:dyDescent="0.35">
      <c r="A71" s="2"/>
      <c r="B71" s="4">
        <v>6</v>
      </c>
      <c r="C71" s="9" t="s">
        <v>89</v>
      </c>
      <c r="D71" s="9" t="s">
        <v>20</v>
      </c>
      <c r="E71" s="9"/>
      <c r="F71" s="2"/>
      <c r="G71" s="2"/>
      <c r="H71" s="2"/>
      <c r="I71" s="4"/>
      <c r="J71" s="2"/>
      <c r="K71" s="2"/>
      <c r="L71" s="20">
        <v>1.7</v>
      </c>
      <c r="M71" s="2" t="s">
        <v>83</v>
      </c>
      <c r="N71" s="6"/>
      <c r="O71" s="2"/>
      <c r="P71" s="2"/>
      <c r="Q71" s="2"/>
    </row>
    <row r="72" spans="1:17" x14ac:dyDescent="0.35">
      <c r="A72" s="2"/>
      <c r="B72" s="4">
        <v>7</v>
      </c>
      <c r="C72" s="9" t="s">
        <v>90</v>
      </c>
      <c r="D72" s="9" t="s">
        <v>93</v>
      </c>
      <c r="E72" s="9"/>
      <c r="F72" s="2"/>
      <c r="G72" s="2"/>
      <c r="H72" s="2"/>
      <c r="I72" s="4"/>
      <c r="J72" s="2"/>
      <c r="K72" s="2"/>
      <c r="L72" s="20">
        <v>3.99</v>
      </c>
      <c r="M72" s="2" t="s">
        <v>83</v>
      </c>
      <c r="N72" s="6"/>
      <c r="O72" s="2"/>
      <c r="P72" s="2"/>
      <c r="Q72" s="2"/>
    </row>
    <row r="73" spans="1:17" x14ac:dyDescent="0.35">
      <c r="A73" s="2"/>
      <c r="B73" s="4">
        <v>8</v>
      </c>
      <c r="C73" s="9" t="s">
        <v>90</v>
      </c>
      <c r="D73" s="9" t="s">
        <v>94</v>
      </c>
      <c r="E73" s="9"/>
      <c r="F73" s="2"/>
      <c r="G73" s="2"/>
      <c r="H73" s="2"/>
      <c r="I73" s="4"/>
      <c r="J73" s="2"/>
      <c r="K73" s="2"/>
      <c r="L73" s="20">
        <v>0</v>
      </c>
      <c r="M73" s="2" t="s">
        <v>83</v>
      </c>
      <c r="N73" s="6"/>
      <c r="O73" s="2"/>
      <c r="P73" s="2"/>
      <c r="Q73" s="2"/>
    </row>
    <row r="74" spans="1:17" x14ac:dyDescent="0.35">
      <c r="A74" s="2"/>
      <c r="B74" s="4">
        <v>9</v>
      </c>
      <c r="C74" s="9" t="s">
        <v>90</v>
      </c>
      <c r="D74" s="9" t="s">
        <v>95</v>
      </c>
      <c r="E74" s="9"/>
      <c r="F74" s="2"/>
      <c r="G74" s="2"/>
      <c r="H74" s="2"/>
      <c r="I74" s="4"/>
      <c r="J74" s="2"/>
      <c r="K74" s="2"/>
      <c r="L74" s="20">
        <v>2.81</v>
      </c>
      <c r="M74" s="2" t="s">
        <v>83</v>
      </c>
      <c r="N74" s="6"/>
      <c r="O74" s="2"/>
      <c r="P74" s="2"/>
      <c r="Q74" s="2"/>
    </row>
    <row r="75" spans="1:17" x14ac:dyDescent="0.35">
      <c r="A75" s="2"/>
      <c r="B75" s="4">
        <v>10</v>
      </c>
      <c r="C75" s="9" t="s">
        <v>89</v>
      </c>
      <c r="D75" s="9" t="s">
        <v>1</v>
      </c>
      <c r="E75" s="9"/>
      <c r="F75" s="2"/>
      <c r="G75" s="2"/>
      <c r="H75" s="2"/>
      <c r="I75" s="4"/>
      <c r="J75" s="2"/>
      <c r="K75" s="2"/>
      <c r="L75" s="20">
        <v>2.2799999999999998</v>
      </c>
      <c r="M75" s="2" t="s">
        <v>83</v>
      </c>
      <c r="N75" s="6"/>
      <c r="O75" s="2"/>
      <c r="P75" s="2"/>
      <c r="Q75" s="2"/>
    </row>
    <row r="76" spans="1:17" x14ac:dyDescent="0.35">
      <c r="A76" s="2"/>
      <c r="B76" s="4">
        <v>11</v>
      </c>
      <c r="C76" s="9" t="s">
        <v>91</v>
      </c>
      <c r="D76" s="9" t="s">
        <v>129</v>
      </c>
      <c r="E76" s="9"/>
      <c r="F76" s="2"/>
      <c r="G76" s="2"/>
      <c r="H76" s="2"/>
      <c r="I76" s="4"/>
      <c r="J76" s="2"/>
      <c r="K76" s="2"/>
      <c r="L76" s="20">
        <v>0</v>
      </c>
      <c r="M76" s="2" t="s">
        <v>83</v>
      </c>
      <c r="N76" s="6"/>
      <c r="O76" s="2"/>
      <c r="P76" s="2"/>
      <c r="Q76" s="2"/>
    </row>
    <row r="77" spans="1:17" x14ac:dyDescent="0.35">
      <c r="A77" s="2"/>
      <c r="B77" s="4">
        <v>12</v>
      </c>
      <c r="C77" s="9" t="s">
        <v>89</v>
      </c>
      <c r="D77" s="9" t="s">
        <v>13</v>
      </c>
      <c r="E77" s="9"/>
      <c r="F77" s="2"/>
      <c r="G77" s="2"/>
      <c r="H77" s="2"/>
      <c r="I77" s="4"/>
      <c r="J77" s="2"/>
      <c r="K77" s="2"/>
      <c r="L77" s="20">
        <v>3.88</v>
      </c>
      <c r="M77" s="2" t="s">
        <v>83</v>
      </c>
      <c r="N77" s="6"/>
      <c r="O77" s="2"/>
      <c r="P77" s="2"/>
      <c r="Q77" s="2"/>
    </row>
    <row r="78" spans="1:17" x14ac:dyDescent="0.35">
      <c r="A78" s="2"/>
      <c r="B78" s="4">
        <v>13</v>
      </c>
      <c r="C78" s="9" t="s">
        <v>89</v>
      </c>
      <c r="D78" s="9" t="s">
        <v>4</v>
      </c>
      <c r="E78" s="9"/>
      <c r="F78" s="2"/>
      <c r="G78" s="2"/>
      <c r="H78" s="2"/>
      <c r="I78" s="4"/>
      <c r="J78" s="2"/>
      <c r="K78" s="2"/>
      <c r="L78" s="20">
        <v>2.54</v>
      </c>
      <c r="M78" s="2" t="s">
        <v>83</v>
      </c>
      <c r="N78" s="6"/>
      <c r="O78" s="2"/>
      <c r="P78" s="2"/>
      <c r="Q78" s="2"/>
    </row>
    <row r="79" spans="1:17" x14ac:dyDescent="0.35">
      <c r="A79" s="2"/>
      <c r="B79" s="4">
        <v>14</v>
      </c>
      <c r="C79" s="9" t="s">
        <v>89</v>
      </c>
      <c r="D79" s="9" t="s">
        <v>9</v>
      </c>
      <c r="E79" s="9"/>
      <c r="F79" s="2"/>
      <c r="G79" s="2"/>
      <c r="H79" s="2"/>
      <c r="I79" s="4"/>
      <c r="J79" s="2"/>
      <c r="K79" s="2"/>
      <c r="L79" s="20">
        <v>2.64</v>
      </c>
      <c r="M79" s="2" t="s">
        <v>83</v>
      </c>
      <c r="N79" s="6"/>
      <c r="O79" s="2"/>
      <c r="P79" s="2"/>
      <c r="Q79" s="2"/>
    </row>
    <row r="80" spans="1:17" x14ac:dyDescent="0.35">
      <c r="A80" s="2"/>
      <c r="B80" s="4">
        <v>15</v>
      </c>
      <c r="C80" s="9" t="s">
        <v>90</v>
      </c>
      <c r="D80" s="9" t="s">
        <v>98</v>
      </c>
      <c r="E80" s="9"/>
      <c r="F80" s="2"/>
      <c r="G80" s="2"/>
      <c r="H80" s="2"/>
      <c r="I80" s="4"/>
      <c r="J80" s="2"/>
      <c r="K80" s="2"/>
      <c r="L80" s="20">
        <v>1</v>
      </c>
      <c r="M80" s="2" t="s">
        <v>83</v>
      </c>
      <c r="N80" s="6"/>
      <c r="O80" s="2"/>
      <c r="P80" s="2"/>
      <c r="Q80" s="2"/>
    </row>
    <row r="81" spans="1:17" x14ac:dyDescent="0.35">
      <c r="A81" s="2"/>
      <c r="B81" s="4">
        <v>16</v>
      </c>
      <c r="C81" s="9" t="s">
        <v>89</v>
      </c>
      <c r="D81" s="9" t="s">
        <v>7</v>
      </c>
      <c r="E81" s="9"/>
      <c r="F81" s="2"/>
      <c r="G81" s="2"/>
      <c r="H81" s="2"/>
      <c r="I81" s="4"/>
      <c r="J81" s="2"/>
      <c r="K81" s="2"/>
      <c r="L81" s="20">
        <v>2.83</v>
      </c>
      <c r="M81" s="2" t="s">
        <v>83</v>
      </c>
      <c r="N81" s="6"/>
      <c r="O81" s="2"/>
      <c r="P81" s="2"/>
      <c r="Q81" s="2"/>
    </row>
    <row r="82" spans="1:17" x14ac:dyDescent="0.35">
      <c r="A82" s="2"/>
      <c r="B82" s="4">
        <v>17</v>
      </c>
      <c r="C82" s="9" t="s">
        <v>90</v>
      </c>
      <c r="D82" s="9" t="s">
        <v>126</v>
      </c>
      <c r="E82" s="9"/>
      <c r="F82" s="2"/>
      <c r="G82" s="2"/>
      <c r="H82" s="2"/>
      <c r="I82" s="4"/>
      <c r="J82" s="2"/>
      <c r="K82" s="2"/>
      <c r="L82" s="20">
        <v>2.5</v>
      </c>
      <c r="M82" s="2" t="s">
        <v>83</v>
      </c>
      <c r="N82" s="6"/>
      <c r="O82" s="2"/>
      <c r="P82" s="2"/>
      <c r="Q82" s="2"/>
    </row>
    <row r="83" spans="1:17" x14ac:dyDescent="0.35">
      <c r="A83" s="2"/>
      <c r="B83" s="4">
        <v>18</v>
      </c>
      <c r="C83" s="9" t="s">
        <v>89</v>
      </c>
      <c r="D83" s="9" t="s">
        <v>22</v>
      </c>
      <c r="E83" s="9"/>
      <c r="F83" s="2"/>
      <c r="G83" s="2"/>
      <c r="H83" s="2"/>
      <c r="I83" s="4"/>
      <c r="J83" s="2"/>
      <c r="K83" s="2"/>
      <c r="L83" s="20">
        <v>1.95</v>
      </c>
      <c r="M83" s="2" t="s">
        <v>83</v>
      </c>
      <c r="N83" s="6"/>
      <c r="O83" s="2"/>
      <c r="P83" s="2"/>
      <c r="Q83" s="2"/>
    </row>
    <row r="84" spans="1:17" x14ac:dyDescent="0.35">
      <c r="A84" s="2"/>
      <c r="B84" s="4">
        <v>19</v>
      </c>
      <c r="C84" s="9" t="s">
        <v>89</v>
      </c>
      <c r="D84" s="9" t="s">
        <v>99</v>
      </c>
      <c r="E84" s="9"/>
      <c r="F84" s="2"/>
      <c r="G84" s="2"/>
      <c r="H84" s="2"/>
      <c r="I84" s="4"/>
      <c r="J84" s="2"/>
      <c r="K84" s="2"/>
      <c r="L84" s="20">
        <v>2.3199999999999998</v>
      </c>
      <c r="M84" s="2" t="s">
        <v>83</v>
      </c>
      <c r="N84" s="6"/>
      <c r="O84" s="2"/>
      <c r="P84" s="2"/>
      <c r="Q84" s="2"/>
    </row>
    <row r="85" spans="1:17" x14ac:dyDescent="0.35">
      <c r="A85" s="2"/>
      <c r="B85" s="4">
        <v>20</v>
      </c>
      <c r="C85" s="9" t="s">
        <v>89</v>
      </c>
      <c r="D85" s="9" t="s">
        <v>31</v>
      </c>
      <c r="E85" s="9"/>
      <c r="F85" s="2"/>
      <c r="G85" s="2"/>
      <c r="H85" s="2"/>
      <c r="I85" s="4"/>
      <c r="J85" s="2"/>
      <c r="K85" s="2"/>
      <c r="L85" s="20">
        <v>0.54</v>
      </c>
      <c r="M85" s="2" t="s">
        <v>83</v>
      </c>
      <c r="N85" s="6"/>
      <c r="O85" s="2"/>
      <c r="P85" s="2"/>
      <c r="Q85" s="2"/>
    </row>
    <row r="86" spans="1:17" x14ac:dyDescent="0.35">
      <c r="A86" s="2"/>
      <c r="B86" s="4">
        <v>21</v>
      </c>
      <c r="C86" s="9" t="s">
        <v>90</v>
      </c>
      <c r="D86" s="9" t="s">
        <v>100</v>
      </c>
      <c r="E86" s="9"/>
      <c r="F86" s="2"/>
      <c r="G86" s="2"/>
      <c r="H86" s="2"/>
      <c r="I86" s="4"/>
      <c r="J86" s="2"/>
      <c r="K86" s="2"/>
      <c r="L86" s="20">
        <v>0.75</v>
      </c>
      <c r="M86" s="2" t="s">
        <v>83</v>
      </c>
      <c r="N86" s="6"/>
      <c r="O86" s="2"/>
      <c r="P86" s="2"/>
      <c r="Q86" s="2"/>
    </row>
    <row r="87" spans="1:17" x14ac:dyDescent="0.35">
      <c r="A87" s="2"/>
      <c r="B87" s="4">
        <v>22</v>
      </c>
      <c r="C87" s="9" t="s">
        <v>89</v>
      </c>
      <c r="D87" s="9" t="s">
        <v>10</v>
      </c>
      <c r="E87" s="9"/>
      <c r="F87" s="2"/>
      <c r="G87" s="2"/>
      <c r="H87" s="2"/>
      <c r="I87" s="4"/>
      <c r="J87" s="2"/>
      <c r="K87" s="2"/>
      <c r="L87" s="20">
        <v>1.1200000000000001</v>
      </c>
      <c r="M87" s="2" t="s">
        <v>83</v>
      </c>
      <c r="N87" s="6"/>
      <c r="O87" s="2"/>
      <c r="P87" s="2"/>
      <c r="Q87" s="2"/>
    </row>
    <row r="88" spans="1:17" x14ac:dyDescent="0.35">
      <c r="A88" s="2"/>
      <c r="B88" s="4">
        <v>23</v>
      </c>
      <c r="C88" s="9" t="s">
        <v>89</v>
      </c>
      <c r="D88" s="9" t="s">
        <v>14</v>
      </c>
      <c r="E88" s="9"/>
      <c r="F88" s="2"/>
      <c r="G88" s="2"/>
      <c r="H88" s="2"/>
      <c r="I88" s="4"/>
      <c r="J88" s="2"/>
      <c r="K88" s="2"/>
      <c r="L88" s="20">
        <v>2.0099999999999998</v>
      </c>
      <c r="M88" s="2" t="s">
        <v>83</v>
      </c>
      <c r="N88" s="6"/>
      <c r="O88" s="2"/>
      <c r="P88" s="2"/>
      <c r="Q88" s="2"/>
    </row>
    <row r="89" spans="1:17" x14ac:dyDescent="0.35">
      <c r="A89" s="2"/>
      <c r="B89" s="4"/>
      <c r="C89" s="9"/>
      <c r="D89" s="9"/>
      <c r="E89" s="9"/>
      <c r="F89" s="2"/>
      <c r="G89" s="2"/>
      <c r="H89" s="2"/>
      <c r="I89" s="4"/>
      <c r="J89" s="20"/>
      <c r="K89" s="2"/>
      <c r="L89" s="2"/>
      <c r="M89" s="4"/>
      <c r="N89" s="6"/>
      <c r="O89" s="2"/>
      <c r="P89" s="2"/>
      <c r="Q89" s="2"/>
    </row>
    <row r="90" spans="1:17" x14ac:dyDescent="0.35">
      <c r="A90" s="2"/>
      <c r="B90" s="4" t="s">
        <v>103</v>
      </c>
      <c r="C90" s="9" t="s">
        <v>104</v>
      </c>
      <c r="D90" s="45"/>
      <c r="E90" s="2"/>
      <c r="F90" s="9"/>
      <c r="G90" s="2"/>
      <c r="H90" s="2"/>
      <c r="I90" s="4"/>
      <c r="J90" s="6"/>
      <c r="K90" s="2"/>
      <c r="L90" s="2"/>
      <c r="M90" s="4"/>
      <c r="N90" s="6"/>
      <c r="O90" s="2"/>
      <c r="P90" s="2"/>
      <c r="Q90" s="2"/>
    </row>
    <row r="91" spans="1:17" x14ac:dyDescent="0.35">
      <c r="A91" s="2"/>
      <c r="B91" s="2"/>
      <c r="C91" s="9" t="s">
        <v>105</v>
      </c>
      <c r="D91" s="45"/>
      <c r="E91" s="2"/>
      <c r="F91" s="2"/>
      <c r="G91" s="2"/>
      <c r="H91" s="2"/>
      <c r="I91" s="4"/>
      <c r="J91" s="6"/>
      <c r="K91" s="2"/>
      <c r="L91" s="2"/>
      <c r="M91" s="4"/>
      <c r="N91" s="6"/>
      <c r="O91" s="2"/>
      <c r="P91" s="2"/>
      <c r="Q91" s="2"/>
    </row>
    <row r="92" spans="1:17" x14ac:dyDescent="0.35">
      <c r="A92" s="2"/>
      <c r="C92" s="4"/>
      <c r="D92" s="45"/>
      <c r="E92" s="2"/>
      <c r="F92" s="2"/>
      <c r="G92" s="2"/>
      <c r="H92" s="2"/>
      <c r="I92" s="4"/>
      <c r="J92" s="6"/>
      <c r="K92" s="2"/>
      <c r="L92" s="2"/>
      <c r="M92" s="4"/>
      <c r="N92" s="6"/>
      <c r="O92" s="2"/>
      <c r="P92" s="2"/>
      <c r="Q92" s="2"/>
    </row>
  </sheetData>
  <mergeCells count="7">
    <mergeCell ref="B4:P4"/>
    <mergeCell ref="B5:P5"/>
    <mergeCell ref="F9:L9"/>
    <mergeCell ref="J10:P10"/>
    <mergeCell ref="F11:H11"/>
    <mergeCell ref="J11:L11"/>
    <mergeCell ref="N11:P11"/>
  </mergeCells>
  <pageMargins left="3.937007874015748E-2" right="3.937007874015748E-2" top="3.937007874015748E-2" bottom="0.35433070866141736" header="0" footer="0.11811023622047245"/>
  <pageSetup paperSize="9" scale="5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4E66-BEE5-4015-BC4D-1ADACF1D45E0}">
  <dimension ref="A1:D4000"/>
  <sheetViews>
    <sheetView workbookViewId="0">
      <selection activeCell="B1" sqref="B1:B1048576"/>
    </sheetView>
  </sheetViews>
  <sheetFormatPr defaultRowHeight="14.5" x14ac:dyDescent="0.35"/>
  <cols>
    <col min="1" max="1" width="19.1796875" bestFit="1" customWidth="1"/>
    <col min="2" max="2" width="10.453125" style="88" bestFit="1" customWidth="1"/>
    <col min="3" max="3" width="13.90625" bestFit="1" customWidth="1"/>
    <col min="4" max="4" width="13.6328125" bestFit="1" customWidth="1"/>
  </cols>
  <sheetData>
    <row r="1" spans="1:4" x14ac:dyDescent="0.35">
      <c r="A1" t="s">
        <v>235</v>
      </c>
      <c r="B1" s="88" t="s">
        <v>236</v>
      </c>
      <c r="C1" t="s">
        <v>237</v>
      </c>
      <c r="D1" t="s">
        <v>238</v>
      </c>
    </row>
    <row r="2" spans="1:4" x14ac:dyDescent="0.35">
      <c r="A2" t="s">
        <v>85</v>
      </c>
      <c r="B2" s="88">
        <v>43511</v>
      </c>
      <c r="C2">
        <v>30.069255642110313</v>
      </c>
      <c r="D2" t="s">
        <v>107</v>
      </c>
    </row>
    <row r="3" spans="1:4" x14ac:dyDescent="0.35">
      <c r="A3" t="s">
        <v>85</v>
      </c>
      <c r="B3" s="88">
        <v>43600</v>
      </c>
      <c r="C3">
        <v>30.114273942601692</v>
      </c>
      <c r="D3" t="s">
        <v>107</v>
      </c>
    </row>
    <row r="4" spans="1:4" x14ac:dyDescent="0.35">
      <c r="A4" t="s">
        <v>85</v>
      </c>
      <c r="B4" s="88">
        <v>43692</v>
      </c>
      <c r="C4">
        <v>30.157468404818932</v>
      </c>
      <c r="D4" t="s">
        <v>107</v>
      </c>
    </row>
    <row r="5" spans="1:4" x14ac:dyDescent="0.35">
      <c r="A5" t="s">
        <v>85</v>
      </c>
      <c r="B5" s="88">
        <v>43784</v>
      </c>
      <c r="C5">
        <v>30.693224282775919</v>
      </c>
      <c r="D5" t="s">
        <v>107</v>
      </c>
    </row>
    <row r="6" spans="1:4" x14ac:dyDescent="0.35">
      <c r="A6" t="s">
        <v>85</v>
      </c>
      <c r="B6" s="88">
        <v>43876</v>
      </c>
      <c r="C6">
        <v>30.842179720807547</v>
      </c>
      <c r="D6" t="s">
        <v>107</v>
      </c>
    </row>
    <row r="7" spans="1:4" x14ac:dyDescent="0.35">
      <c r="A7" t="s">
        <v>85</v>
      </c>
      <c r="B7" s="88">
        <v>43966</v>
      </c>
      <c r="C7">
        <v>30.680127486381309</v>
      </c>
      <c r="D7" t="s">
        <v>107</v>
      </c>
    </row>
    <row r="8" spans="1:4" x14ac:dyDescent="0.35">
      <c r="A8" t="s">
        <v>85</v>
      </c>
      <c r="B8" s="88">
        <v>44058</v>
      </c>
      <c r="C8">
        <v>30.629758162968436</v>
      </c>
      <c r="D8" t="s">
        <v>107</v>
      </c>
    </row>
    <row r="9" spans="1:4" x14ac:dyDescent="0.35">
      <c r="A9" t="s">
        <v>85</v>
      </c>
      <c r="B9" s="88">
        <v>44150</v>
      </c>
      <c r="C9">
        <v>30.5194238820261</v>
      </c>
      <c r="D9" t="s">
        <v>107</v>
      </c>
    </row>
    <row r="10" spans="1:4" x14ac:dyDescent="0.35">
      <c r="A10" t="s">
        <v>85</v>
      </c>
      <c r="B10" s="88">
        <v>44242</v>
      </c>
      <c r="C10">
        <v>30.494160696695225</v>
      </c>
      <c r="D10" t="s">
        <v>107</v>
      </c>
    </row>
    <row r="11" spans="1:4" x14ac:dyDescent="0.35">
      <c r="A11" t="s">
        <v>85</v>
      </c>
      <c r="B11" s="88">
        <v>44331</v>
      </c>
      <c r="C11">
        <v>30.818873874181993</v>
      </c>
      <c r="D11" t="s">
        <v>107</v>
      </c>
    </row>
    <row r="12" spans="1:4" x14ac:dyDescent="0.35">
      <c r="A12" t="s">
        <v>85</v>
      </c>
      <c r="B12" s="88">
        <v>44423</v>
      </c>
      <c r="C12">
        <v>31.163890562143571</v>
      </c>
      <c r="D12" t="s">
        <v>107</v>
      </c>
    </row>
    <row r="13" spans="1:4" x14ac:dyDescent="0.35">
      <c r="A13" t="s">
        <v>85</v>
      </c>
      <c r="B13" s="88">
        <v>44515</v>
      </c>
      <c r="C13">
        <v>31.4523567977418</v>
      </c>
      <c r="D13" t="s">
        <v>107</v>
      </c>
    </row>
    <row r="14" spans="1:4" x14ac:dyDescent="0.35">
      <c r="A14" t="s">
        <v>85</v>
      </c>
      <c r="B14" s="88">
        <v>44607</v>
      </c>
      <c r="C14">
        <v>31.905355013852162</v>
      </c>
      <c r="D14" t="s">
        <v>107</v>
      </c>
    </row>
    <row r="15" spans="1:4" x14ac:dyDescent="0.35">
      <c r="A15" t="s">
        <v>85</v>
      </c>
      <c r="B15" s="88">
        <v>44696</v>
      </c>
      <c r="C15">
        <v>32.357700619705732</v>
      </c>
      <c r="D15" t="s">
        <v>107</v>
      </c>
    </row>
    <row r="16" spans="1:4" x14ac:dyDescent="0.35">
      <c r="A16" t="s">
        <v>85</v>
      </c>
      <c r="B16" s="88">
        <v>44788</v>
      </c>
      <c r="C16">
        <v>32.500483202054902</v>
      </c>
      <c r="D16" t="s">
        <v>107</v>
      </c>
    </row>
    <row r="17" spans="1:4" x14ac:dyDescent="0.35">
      <c r="A17" t="s">
        <v>85</v>
      </c>
      <c r="B17" s="88">
        <v>44880</v>
      </c>
      <c r="C17">
        <v>32.532905404899097</v>
      </c>
      <c r="D17" t="s">
        <v>107</v>
      </c>
    </row>
    <row r="18" spans="1:4" x14ac:dyDescent="0.35">
      <c r="A18" t="s">
        <v>85</v>
      </c>
      <c r="B18" s="88">
        <v>44972</v>
      </c>
      <c r="C18">
        <v>32.867392077913081</v>
      </c>
      <c r="D18" t="s">
        <v>107</v>
      </c>
    </row>
    <row r="19" spans="1:4" x14ac:dyDescent="0.35">
      <c r="A19" t="s">
        <v>85</v>
      </c>
      <c r="B19" s="88">
        <v>45061</v>
      </c>
      <c r="C19">
        <v>32.998316385167001</v>
      </c>
      <c r="D19" t="s">
        <v>107</v>
      </c>
    </row>
    <row r="20" spans="1:4" x14ac:dyDescent="0.35">
      <c r="A20" t="s">
        <v>85</v>
      </c>
      <c r="B20" s="88">
        <v>45153</v>
      </c>
      <c r="C20">
        <v>33.507172432548401</v>
      </c>
      <c r="D20" t="s">
        <v>107</v>
      </c>
    </row>
    <row r="21" spans="1:4" x14ac:dyDescent="0.35">
      <c r="A21" t="s">
        <v>85</v>
      </c>
      <c r="B21" s="88">
        <v>45245</v>
      </c>
      <c r="C21">
        <v>33.737646735390001</v>
      </c>
      <c r="D21" t="s">
        <v>107</v>
      </c>
    </row>
    <row r="22" spans="1:4" x14ac:dyDescent="0.35">
      <c r="A22" t="s">
        <v>85</v>
      </c>
      <c r="B22" s="88">
        <v>45337</v>
      </c>
      <c r="C22">
        <v>33.611878811636998</v>
      </c>
      <c r="D22" t="s">
        <v>107</v>
      </c>
    </row>
    <row r="23" spans="1:4" x14ac:dyDescent="0.35">
      <c r="A23" t="s">
        <v>85</v>
      </c>
      <c r="B23" s="88">
        <v>45427</v>
      </c>
      <c r="C23">
        <v>34.706861106757799</v>
      </c>
      <c r="D23" t="s">
        <v>107</v>
      </c>
    </row>
    <row r="24" spans="1:4" x14ac:dyDescent="0.35">
      <c r="A24" t="s">
        <v>85</v>
      </c>
      <c r="B24" s="88">
        <v>45519</v>
      </c>
      <c r="C24">
        <v>34.9487276925841</v>
      </c>
      <c r="D24" t="s">
        <v>107</v>
      </c>
    </row>
    <row r="25" spans="1:4" x14ac:dyDescent="0.35">
      <c r="A25" t="s">
        <v>85</v>
      </c>
      <c r="B25" s="88">
        <v>45611</v>
      </c>
      <c r="C25">
        <v>35.3570275672433</v>
      </c>
      <c r="D25" t="s">
        <v>107</v>
      </c>
    </row>
    <row r="26" spans="1:4" x14ac:dyDescent="0.35">
      <c r="A26" t="s">
        <v>85</v>
      </c>
      <c r="B26" s="88">
        <v>45703</v>
      </c>
      <c r="C26">
        <v>35.668815199785001</v>
      </c>
      <c r="D26" t="s">
        <v>107</v>
      </c>
    </row>
    <row r="27" spans="1:4" x14ac:dyDescent="0.35">
      <c r="A27" t="s">
        <v>85</v>
      </c>
      <c r="B27" s="88">
        <v>45792</v>
      </c>
      <c r="C27">
        <v>39.257890000000003</v>
      </c>
      <c r="D27" t="s">
        <v>107</v>
      </c>
    </row>
    <row r="28" spans="1:4" x14ac:dyDescent="0.35">
      <c r="A28" t="s">
        <v>85</v>
      </c>
      <c r="B28" s="88">
        <v>45884</v>
      </c>
      <c r="C28">
        <v>39.390418069425401</v>
      </c>
      <c r="D28" t="s">
        <v>107</v>
      </c>
    </row>
    <row r="29" spans="1:4" x14ac:dyDescent="0.35">
      <c r="A29" t="s">
        <v>85</v>
      </c>
      <c r="B29" s="88">
        <v>45976</v>
      </c>
      <c r="C29">
        <v>39.302102469060401</v>
      </c>
      <c r="D29" t="s">
        <v>107</v>
      </c>
    </row>
    <row r="30" spans="1:4" x14ac:dyDescent="0.35">
      <c r="A30" t="s">
        <v>85</v>
      </c>
      <c r="B30" s="88">
        <v>46068</v>
      </c>
      <c r="C30">
        <v>40.613056093163699</v>
      </c>
      <c r="D30" t="s">
        <v>107</v>
      </c>
    </row>
    <row r="31" spans="1:4" x14ac:dyDescent="0.35">
      <c r="A31" t="s">
        <v>85</v>
      </c>
      <c r="B31" s="88">
        <v>46157</v>
      </c>
      <c r="C31">
        <v>42.041542223659299</v>
      </c>
      <c r="D31" t="s">
        <v>107</v>
      </c>
    </row>
    <row r="32" spans="1:4" x14ac:dyDescent="0.35">
      <c r="A32" t="s">
        <v>85</v>
      </c>
      <c r="B32" s="88">
        <v>46249</v>
      </c>
      <c r="C32">
        <v>42.1476585176786</v>
      </c>
      <c r="D32" t="s">
        <v>107</v>
      </c>
    </row>
    <row r="33" spans="1:4" x14ac:dyDescent="0.35">
      <c r="A33" t="s">
        <v>24</v>
      </c>
      <c r="B33" s="88">
        <v>43511</v>
      </c>
      <c r="C33">
        <v>30.407473402676224</v>
      </c>
      <c r="D33" t="s">
        <v>107</v>
      </c>
    </row>
    <row r="34" spans="1:4" x14ac:dyDescent="0.35">
      <c r="A34" t="s">
        <v>24</v>
      </c>
      <c r="B34" s="88">
        <v>43600</v>
      </c>
      <c r="C34">
        <v>31.615476084066579</v>
      </c>
      <c r="D34" t="s">
        <v>107</v>
      </c>
    </row>
    <row r="35" spans="1:4" x14ac:dyDescent="0.35">
      <c r="A35" t="s">
        <v>24</v>
      </c>
      <c r="B35" s="88">
        <v>43692</v>
      </c>
      <c r="C35">
        <v>31.585710298333996</v>
      </c>
      <c r="D35" t="s">
        <v>107</v>
      </c>
    </row>
    <row r="36" spans="1:4" x14ac:dyDescent="0.35">
      <c r="A36" t="s">
        <v>24</v>
      </c>
      <c r="B36" s="88">
        <v>43784</v>
      </c>
      <c r="C36">
        <v>32.190403163008781</v>
      </c>
      <c r="D36" t="s">
        <v>107</v>
      </c>
    </row>
    <row r="37" spans="1:4" x14ac:dyDescent="0.35">
      <c r="A37" t="s">
        <v>24</v>
      </c>
      <c r="B37" s="88">
        <v>43876</v>
      </c>
      <c r="C37">
        <v>32.259821379265894</v>
      </c>
      <c r="D37" t="s">
        <v>107</v>
      </c>
    </row>
    <row r="38" spans="1:4" x14ac:dyDescent="0.35">
      <c r="A38" t="s">
        <v>24</v>
      </c>
      <c r="B38" s="88">
        <v>43966</v>
      </c>
      <c r="C38">
        <v>31.119711675295811</v>
      </c>
      <c r="D38" t="s">
        <v>107</v>
      </c>
    </row>
    <row r="39" spans="1:4" x14ac:dyDescent="0.35">
      <c r="A39" t="s">
        <v>24</v>
      </c>
      <c r="B39" s="88">
        <v>44058</v>
      </c>
      <c r="C39">
        <v>31.108656670885669</v>
      </c>
      <c r="D39" t="s">
        <v>107</v>
      </c>
    </row>
    <row r="40" spans="1:4" x14ac:dyDescent="0.35">
      <c r="A40" t="s">
        <v>24</v>
      </c>
      <c r="B40" s="88">
        <v>44150</v>
      </c>
      <c r="C40">
        <v>31.106897510963282</v>
      </c>
      <c r="D40" t="s">
        <v>107</v>
      </c>
    </row>
    <row r="41" spans="1:4" x14ac:dyDescent="0.35">
      <c r="A41" t="s">
        <v>24</v>
      </c>
      <c r="B41" s="88">
        <v>44242</v>
      </c>
      <c r="C41">
        <v>31.142433900545495</v>
      </c>
      <c r="D41" t="s">
        <v>107</v>
      </c>
    </row>
    <row r="42" spans="1:4" x14ac:dyDescent="0.35">
      <c r="A42" t="s">
        <v>24</v>
      </c>
      <c r="B42" s="88">
        <v>44331</v>
      </c>
      <c r="C42">
        <v>30.880814171532634</v>
      </c>
      <c r="D42" t="s">
        <v>107</v>
      </c>
    </row>
    <row r="43" spans="1:4" x14ac:dyDescent="0.35">
      <c r="A43" t="s">
        <v>24</v>
      </c>
      <c r="B43" s="88">
        <v>44423</v>
      </c>
      <c r="C43">
        <v>30.532832395693728</v>
      </c>
      <c r="D43" t="s">
        <v>107</v>
      </c>
    </row>
    <row r="44" spans="1:4" x14ac:dyDescent="0.35">
      <c r="A44" t="s">
        <v>24</v>
      </c>
      <c r="B44" s="88">
        <v>44515</v>
      </c>
      <c r="C44">
        <v>30.559507718590442</v>
      </c>
      <c r="D44" t="s">
        <v>107</v>
      </c>
    </row>
    <row r="45" spans="1:4" x14ac:dyDescent="0.35">
      <c r="A45" t="s">
        <v>24</v>
      </c>
      <c r="B45" s="88">
        <v>44607</v>
      </c>
      <c r="C45">
        <v>30.916981625091132</v>
      </c>
      <c r="D45" t="s">
        <v>107</v>
      </c>
    </row>
    <row r="46" spans="1:4" x14ac:dyDescent="0.35">
      <c r="A46" t="s">
        <v>24</v>
      </c>
      <c r="B46" s="88">
        <v>44696</v>
      </c>
      <c r="C46">
        <v>31.308123089469685</v>
      </c>
      <c r="D46" t="s">
        <v>107</v>
      </c>
    </row>
    <row r="47" spans="1:4" x14ac:dyDescent="0.35">
      <c r="A47" t="s">
        <v>24</v>
      </c>
      <c r="B47" s="88">
        <v>44788</v>
      </c>
      <c r="C47">
        <v>32.105655681167228</v>
      </c>
      <c r="D47" t="s">
        <v>107</v>
      </c>
    </row>
    <row r="48" spans="1:4" x14ac:dyDescent="0.35">
      <c r="A48" t="s">
        <v>24</v>
      </c>
      <c r="B48" s="88">
        <v>44880</v>
      </c>
      <c r="C48">
        <v>32.146871019215133</v>
      </c>
      <c r="D48" t="s">
        <v>107</v>
      </c>
    </row>
    <row r="49" spans="1:4" x14ac:dyDescent="0.35">
      <c r="A49" t="s">
        <v>24</v>
      </c>
      <c r="B49" s="88">
        <v>44972</v>
      </c>
      <c r="C49">
        <v>32.396759478267597</v>
      </c>
      <c r="D49" t="s">
        <v>107</v>
      </c>
    </row>
    <row r="50" spans="1:4" x14ac:dyDescent="0.35">
      <c r="A50" t="s">
        <v>24</v>
      </c>
      <c r="B50" s="88">
        <v>45061</v>
      </c>
      <c r="C50">
        <v>33.2377242423957</v>
      </c>
      <c r="D50" t="s">
        <v>107</v>
      </c>
    </row>
    <row r="51" spans="1:4" x14ac:dyDescent="0.35">
      <c r="A51" t="s">
        <v>24</v>
      </c>
      <c r="B51" s="88">
        <v>45153</v>
      </c>
      <c r="C51">
        <v>33.636611041212198</v>
      </c>
      <c r="D51" t="s">
        <v>107</v>
      </c>
    </row>
    <row r="52" spans="1:4" x14ac:dyDescent="0.35">
      <c r="A52" t="s">
        <v>24</v>
      </c>
      <c r="B52" s="88">
        <v>45245</v>
      </c>
      <c r="C52">
        <v>33.930199529829203</v>
      </c>
      <c r="D52" t="s">
        <v>107</v>
      </c>
    </row>
    <row r="53" spans="1:4" x14ac:dyDescent="0.35">
      <c r="A53" t="s">
        <v>24</v>
      </c>
      <c r="B53" s="88">
        <v>45337</v>
      </c>
      <c r="C53">
        <v>34.359033202122802</v>
      </c>
      <c r="D53" t="s">
        <v>107</v>
      </c>
    </row>
    <row r="54" spans="1:4" x14ac:dyDescent="0.35">
      <c r="A54" t="s">
        <v>24</v>
      </c>
      <c r="B54" s="88">
        <v>45427</v>
      </c>
      <c r="C54">
        <v>35.427846013315602</v>
      </c>
      <c r="D54" t="s">
        <v>107</v>
      </c>
    </row>
    <row r="55" spans="1:4" x14ac:dyDescent="0.35">
      <c r="A55" t="s">
        <v>24</v>
      </c>
      <c r="B55" s="88">
        <v>45519</v>
      </c>
      <c r="C55">
        <v>35.203926343537098</v>
      </c>
      <c r="D55" t="s">
        <v>107</v>
      </c>
    </row>
    <row r="56" spans="1:4" x14ac:dyDescent="0.35">
      <c r="A56" t="s">
        <v>24</v>
      </c>
      <c r="B56" s="88">
        <v>45611</v>
      </c>
      <c r="C56">
        <v>36.140400699966399</v>
      </c>
      <c r="D56" t="s">
        <v>107</v>
      </c>
    </row>
    <row r="57" spans="1:4" x14ac:dyDescent="0.35">
      <c r="A57" t="s">
        <v>24</v>
      </c>
      <c r="B57" s="88">
        <v>45703</v>
      </c>
      <c r="C57">
        <v>36.268006793959898</v>
      </c>
      <c r="D57" t="s">
        <v>107</v>
      </c>
    </row>
    <row r="58" spans="1:4" x14ac:dyDescent="0.35">
      <c r="A58" t="s">
        <v>24</v>
      </c>
      <c r="B58" s="88">
        <v>45792</v>
      </c>
      <c r="C58">
        <v>40.694798898701301</v>
      </c>
      <c r="D58" t="s">
        <v>107</v>
      </c>
    </row>
    <row r="59" spans="1:4" x14ac:dyDescent="0.35">
      <c r="A59" t="s">
        <v>24</v>
      </c>
      <c r="B59" s="88">
        <v>45884</v>
      </c>
      <c r="C59">
        <v>40.800432796538402</v>
      </c>
      <c r="D59" t="s">
        <v>107</v>
      </c>
    </row>
    <row r="60" spans="1:4" x14ac:dyDescent="0.35">
      <c r="A60" t="s">
        <v>24</v>
      </c>
      <c r="B60" s="88">
        <v>45976</v>
      </c>
      <c r="C60">
        <v>40.795907614470202</v>
      </c>
      <c r="D60" t="s">
        <v>107</v>
      </c>
    </row>
    <row r="61" spans="1:4" x14ac:dyDescent="0.35">
      <c r="A61" t="s">
        <v>24</v>
      </c>
      <c r="B61" s="88">
        <v>46068</v>
      </c>
      <c r="C61">
        <v>41.846665982785801</v>
      </c>
      <c r="D61" t="s">
        <v>107</v>
      </c>
    </row>
    <row r="62" spans="1:4" x14ac:dyDescent="0.35">
      <c r="A62" t="s">
        <v>24</v>
      </c>
      <c r="B62" s="88">
        <v>46157</v>
      </c>
      <c r="C62">
        <v>43.128085617308798</v>
      </c>
      <c r="D62" t="s">
        <v>107</v>
      </c>
    </row>
    <row r="63" spans="1:4" x14ac:dyDescent="0.35">
      <c r="A63" t="s">
        <v>24</v>
      </c>
      <c r="B63" s="88">
        <v>46249</v>
      </c>
      <c r="C63">
        <v>43.204977650784699</v>
      </c>
      <c r="D63" t="s">
        <v>107</v>
      </c>
    </row>
    <row r="64" spans="1:4" x14ac:dyDescent="0.35">
      <c r="A64" t="s">
        <v>35</v>
      </c>
      <c r="B64" s="88">
        <v>43511</v>
      </c>
      <c r="C64">
        <v>32.251994081558536</v>
      </c>
      <c r="D64" t="s">
        <v>107</v>
      </c>
    </row>
    <row r="65" spans="1:4" x14ac:dyDescent="0.35">
      <c r="A65" t="s">
        <v>35</v>
      </c>
      <c r="B65" s="88">
        <v>43600</v>
      </c>
      <c r="C65">
        <v>32.455638352570006</v>
      </c>
      <c r="D65" t="s">
        <v>107</v>
      </c>
    </row>
    <row r="66" spans="1:4" x14ac:dyDescent="0.35">
      <c r="A66" t="s">
        <v>35</v>
      </c>
      <c r="B66" s="88">
        <v>43692</v>
      </c>
      <c r="C66">
        <v>32.383335593403082</v>
      </c>
      <c r="D66" t="s">
        <v>107</v>
      </c>
    </row>
    <row r="67" spans="1:4" x14ac:dyDescent="0.35">
      <c r="A67" t="s">
        <v>35</v>
      </c>
      <c r="B67" s="88">
        <v>43784</v>
      </c>
      <c r="C67">
        <v>33.015274429939304</v>
      </c>
      <c r="D67" t="s">
        <v>107</v>
      </c>
    </row>
    <row r="68" spans="1:4" x14ac:dyDescent="0.35">
      <c r="A68" t="s">
        <v>35</v>
      </c>
      <c r="B68" s="88">
        <v>43876</v>
      </c>
      <c r="C68">
        <v>33.180349074524365</v>
      </c>
      <c r="D68" t="s">
        <v>107</v>
      </c>
    </row>
    <row r="69" spans="1:4" x14ac:dyDescent="0.35">
      <c r="A69" t="s">
        <v>35</v>
      </c>
      <c r="B69" s="88">
        <v>43966</v>
      </c>
      <c r="C69">
        <v>33.205336289967548</v>
      </c>
      <c r="D69" t="s">
        <v>107</v>
      </c>
    </row>
    <row r="70" spans="1:4" x14ac:dyDescent="0.35">
      <c r="A70" t="s">
        <v>35</v>
      </c>
      <c r="B70" s="88">
        <v>44058</v>
      </c>
      <c r="C70">
        <v>33.173731357462643</v>
      </c>
      <c r="D70" t="s">
        <v>107</v>
      </c>
    </row>
    <row r="71" spans="1:4" x14ac:dyDescent="0.35">
      <c r="A71" t="s">
        <v>35</v>
      </c>
      <c r="B71" s="88">
        <v>44150</v>
      </c>
      <c r="C71">
        <v>32.40289125400659</v>
      </c>
      <c r="D71" t="s">
        <v>107</v>
      </c>
    </row>
    <row r="72" spans="1:4" x14ac:dyDescent="0.35">
      <c r="A72" t="s">
        <v>35</v>
      </c>
      <c r="B72" s="88">
        <v>44242</v>
      </c>
      <c r="C72">
        <v>32.37211398684606</v>
      </c>
      <c r="D72" t="s">
        <v>107</v>
      </c>
    </row>
    <row r="73" spans="1:4" x14ac:dyDescent="0.35">
      <c r="A73" t="s">
        <v>35</v>
      </c>
      <c r="B73" s="88">
        <v>44331</v>
      </c>
      <c r="C73">
        <v>33.32159180800663</v>
      </c>
      <c r="D73" t="s">
        <v>107</v>
      </c>
    </row>
    <row r="74" spans="1:4" x14ac:dyDescent="0.35">
      <c r="A74" t="s">
        <v>35</v>
      </c>
      <c r="B74" s="88">
        <v>44423</v>
      </c>
      <c r="C74">
        <v>34.011045287748949</v>
      </c>
      <c r="D74" t="s">
        <v>107</v>
      </c>
    </row>
    <row r="75" spans="1:4" x14ac:dyDescent="0.35">
      <c r="A75" t="s">
        <v>35</v>
      </c>
      <c r="B75" s="88">
        <v>44515</v>
      </c>
      <c r="C75">
        <v>34.187617302019028</v>
      </c>
      <c r="D75" t="s">
        <v>107</v>
      </c>
    </row>
    <row r="76" spans="1:4" x14ac:dyDescent="0.35">
      <c r="A76" t="s">
        <v>35</v>
      </c>
      <c r="B76" s="88">
        <v>44607</v>
      </c>
      <c r="C76">
        <v>34.409143051726616</v>
      </c>
      <c r="D76" t="s">
        <v>107</v>
      </c>
    </row>
    <row r="77" spans="1:4" x14ac:dyDescent="0.35">
      <c r="A77" t="s">
        <v>35</v>
      </c>
      <c r="B77" s="88">
        <v>44696</v>
      </c>
      <c r="C77">
        <v>35.502969102056717</v>
      </c>
      <c r="D77" t="s">
        <v>107</v>
      </c>
    </row>
    <row r="78" spans="1:4" x14ac:dyDescent="0.35">
      <c r="A78" t="s">
        <v>35</v>
      </c>
      <c r="B78" s="88">
        <v>44788</v>
      </c>
      <c r="C78">
        <v>36.575631843468479</v>
      </c>
      <c r="D78" t="s">
        <v>107</v>
      </c>
    </row>
    <row r="79" spans="1:4" x14ac:dyDescent="0.35">
      <c r="A79" t="s">
        <v>35</v>
      </c>
      <c r="B79" s="88">
        <v>44880</v>
      </c>
      <c r="C79">
        <v>36.501892862365601</v>
      </c>
      <c r="D79" t="s">
        <v>107</v>
      </c>
    </row>
    <row r="80" spans="1:4" x14ac:dyDescent="0.35">
      <c r="A80" t="s">
        <v>35</v>
      </c>
      <c r="B80" s="88">
        <v>44972</v>
      </c>
      <c r="C80">
        <v>36.811457719564139</v>
      </c>
      <c r="D80" t="s">
        <v>107</v>
      </c>
    </row>
    <row r="81" spans="1:4" x14ac:dyDescent="0.35">
      <c r="A81" t="s">
        <v>35</v>
      </c>
      <c r="B81" s="88">
        <v>45061</v>
      </c>
      <c r="C81">
        <v>38.465399316772299</v>
      </c>
      <c r="D81" t="s">
        <v>107</v>
      </c>
    </row>
    <row r="82" spans="1:4" x14ac:dyDescent="0.35">
      <c r="A82" t="s">
        <v>35</v>
      </c>
      <c r="B82" s="88">
        <v>45153</v>
      </c>
      <c r="C82">
        <v>38.888846010646198</v>
      </c>
      <c r="D82" t="s">
        <v>107</v>
      </c>
    </row>
    <row r="83" spans="1:4" x14ac:dyDescent="0.35">
      <c r="A83" t="s">
        <v>35</v>
      </c>
      <c r="B83" s="88">
        <v>45245</v>
      </c>
      <c r="C83">
        <v>39.102787416280201</v>
      </c>
      <c r="D83" t="s">
        <v>107</v>
      </c>
    </row>
    <row r="84" spans="1:4" x14ac:dyDescent="0.35">
      <c r="A84" t="s">
        <v>35</v>
      </c>
      <c r="B84" s="88">
        <v>45337</v>
      </c>
      <c r="C84">
        <v>39.357884189409603</v>
      </c>
      <c r="D84" t="s">
        <v>107</v>
      </c>
    </row>
    <row r="85" spans="1:4" x14ac:dyDescent="0.35">
      <c r="A85" t="s">
        <v>35</v>
      </c>
      <c r="B85" s="88">
        <v>45427</v>
      </c>
      <c r="C85">
        <v>41.156948955427502</v>
      </c>
      <c r="D85" t="s">
        <v>107</v>
      </c>
    </row>
    <row r="86" spans="1:4" x14ac:dyDescent="0.35">
      <c r="A86" t="s">
        <v>35</v>
      </c>
      <c r="B86" s="88">
        <v>45519</v>
      </c>
      <c r="C86">
        <v>42.074594516519099</v>
      </c>
      <c r="D86" t="s">
        <v>107</v>
      </c>
    </row>
    <row r="87" spans="1:4" x14ac:dyDescent="0.35">
      <c r="A87" t="s">
        <v>35</v>
      </c>
      <c r="B87" s="88">
        <v>45611</v>
      </c>
      <c r="C87">
        <v>42.6958550474966</v>
      </c>
      <c r="D87" t="s">
        <v>107</v>
      </c>
    </row>
    <row r="88" spans="1:4" x14ac:dyDescent="0.35">
      <c r="A88" t="s">
        <v>35</v>
      </c>
      <c r="B88" s="88">
        <v>45703</v>
      </c>
      <c r="C88">
        <v>42.8513749725549</v>
      </c>
      <c r="D88" t="s">
        <v>107</v>
      </c>
    </row>
    <row r="89" spans="1:4" x14ac:dyDescent="0.35">
      <c r="A89" t="s">
        <v>35</v>
      </c>
      <c r="B89" s="88">
        <v>45792</v>
      </c>
      <c r="C89">
        <v>45.655690982837399</v>
      </c>
      <c r="D89" t="s">
        <v>107</v>
      </c>
    </row>
    <row r="90" spans="1:4" x14ac:dyDescent="0.35">
      <c r="A90" t="s">
        <v>35</v>
      </c>
      <c r="B90" s="88">
        <v>45884</v>
      </c>
      <c r="C90">
        <v>45.736542619514601</v>
      </c>
      <c r="D90" t="s">
        <v>107</v>
      </c>
    </row>
    <row r="91" spans="1:4" x14ac:dyDescent="0.35">
      <c r="A91" t="s">
        <v>35</v>
      </c>
      <c r="B91" s="88">
        <v>45976</v>
      </c>
      <c r="C91">
        <v>45.708701907384302</v>
      </c>
      <c r="D91" t="s">
        <v>107</v>
      </c>
    </row>
    <row r="92" spans="1:4" x14ac:dyDescent="0.35">
      <c r="A92" t="s">
        <v>35</v>
      </c>
      <c r="B92" s="88">
        <v>46068</v>
      </c>
      <c r="C92">
        <v>46.970429668071397</v>
      </c>
      <c r="D92" t="s">
        <v>107</v>
      </c>
    </row>
    <row r="93" spans="1:4" x14ac:dyDescent="0.35">
      <c r="A93" t="s">
        <v>35</v>
      </c>
      <c r="B93" s="88">
        <v>46157</v>
      </c>
      <c r="C93">
        <v>48.813242540229801</v>
      </c>
      <c r="D93" t="s">
        <v>107</v>
      </c>
    </row>
    <row r="94" spans="1:4" x14ac:dyDescent="0.35">
      <c r="A94" t="s">
        <v>35</v>
      </c>
      <c r="B94" s="88">
        <v>46249</v>
      </c>
      <c r="C94">
        <v>48.882590529187397</v>
      </c>
      <c r="D94" t="s">
        <v>107</v>
      </c>
    </row>
    <row r="95" spans="1:4" x14ac:dyDescent="0.35">
      <c r="A95" t="s">
        <v>81</v>
      </c>
      <c r="B95" s="88">
        <v>43511</v>
      </c>
      <c r="C95">
        <v>25.633917586627419</v>
      </c>
      <c r="D95" t="s">
        <v>107</v>
      </c>
    </row>
    <row r="96" spans="1:4" x14ac:dyDescent="0.35">
      <c r="A96" t="s">
        <v>81</v>
      </c>
      <c r="B96" s="88">
        <v>43600</v>
      </c>
      <c r="C96">
        <v>25.689506084226029</v>
      </c>
      <c r="D96" t="s">
        <v>107</v>
      </c>
    </row>
    <row r="97" spans="1:4" x14ac:dyDescent="0.35">
      <c r="A97" t="s">
        <v>81</v>
      </c>
      <c r="B97" s="88">
        <v>43692</v>
      </c>
      <c r="C97">
        <v>25.607287676088571</v>
      </c>
      <c r="D97" t="s">
        <v>107</v>
      </c>
    </row>
    <row r="98" spans="1:4" x14ac:dyDescent="0.35">
      <c r="A98" t="s">
        <v>81</v>
      </c>
      <c r="B98" s="88">
        <v>43784</v>
      </c>
      <c r="C98">
        <v>26.01579497878738</v>
      </c>
      <c r="D98" t="s">
        <v>107</v>
      </c>
    </row>
    <row r="99" spans="1:4" x14ac:dyDescent="0.35">
      <c r="A99" t="s">
        <v>81</v>
      </c>
      <c r="B99" s="88">
        <v>43876</v>
      </c>
      <c r="C99">
        <v>26.328942594335981</v>
      </c>
      <c r="D99" t="s">
        <v>107</v>
      </c>
    </row>
    <row r="100" spans="1:4" x14ac:dyDescent="0.35">
      <c r="A100" t="s">
        <v>81</v>
      </c>
      <c r="B100" s="88">
        <v>43966</v>
      </c>
      <c r="C100">
        <v>26.739485379982984</v>
      </c>
      <c r="D100" t="s">
        <v>107</v>
      </c>
    </row>
    <row r="101" spans="1:4" x14ac:dyDescent="0.35">
      <c r="A101" t="s">
        <v>81</v>
      </c>
      <c r="B101" s="88">
        <v>44058</v>
      </c>
      <c r="C101">
        <v>26.746100600877892</v>
      </c>
      <c r="D101" t="s">
        <v>107</v>
      </c>
    </row>
    <row r="102" spans="1:4" x14ac:dyDescent="0.35">
      <c r="A102" t="s">
        <v>81</v>
      </c>
      <c r="B102" s="88">
        <v>44150</v>
      </c>
      <c r="C102">
        <v>26.171645406668638</v>
      </c>
      <c r="D102" t="s">
        <v>107</v>
      </c>
    </row>
    <row r="103" spans="1:4" x14ac:dyDescent="0.35">
      <c r="A103" t="s">
        <v>81</v>
      </c>
      <c r="B103" s="88">
        <v>44242</v>
      </c>
      <c r="C103">
        <v>26.20206893150754</v>
      </c>
      <c r="D103" t="s">
        <v>107</v>
      </c>
    </row>
    <row r="104" spans="1:4" x14ac:dyDescent="0.35">
      <c r="A104" t="s">
        <v>81</v>
      </c>
      <c r="B104" s="88">
        <v>44331</v>
      </c>
      <c r="C104">
        <v>26.358408133952025</v>
      </c>
      <c r="D104" t="s">
        <v>107</v>
      </c>
    </row>
    <row r="105" spans="1:4" x14ac:dyDescent="0.35">
      <c r="A105" t="s">
        <v>81</v>
      </c>
      <c r="B105" s="88">
        <v>44423</v>
      </c>
      <c r="C105">
        <v>27.230375394598799</v>
      </c>
      <c r="D105" t="s">
        <v>107</v>
      </c>
    </row>
    <row r="106" spans="1:4" x14ac:dyDescent="0.35">
      <c r="A106" t="s">
        <v>81</v>
      </c>
      <c r="B106" s="88">
        <v>44515</v>
      </c>
      <c r="C106">
        <v>27.663146333850708</v>
      </c>
      <c r="D106" t="s">
        <v>107</v>
      </c>
    </row>
    <row r="107" spans="1:4" x14ac:dyDescent="0.35">
      <c r="A107" t="s">
        <v>81</v>
      </c>
      <c r="B107" s="88">
        <v>44607</v>
      </c>
      <c r="C107">
        <v>28.151378893910969</v>
      </c>
      <c r="D107" t="s">
        <v>107</v>
      </c>
    </row>
    <row r="108" spans="1:4" x14ac:dyDescent="0.35">
      <c r="A108" t="s">
        <v>81</v>
      </c>
      <c r="B108" s="88">
        <v>44696</v>
      </c>
      <c r="C108">
        <v>29.096341638789216</v>
      </c>
      <c r="D108" t="s">
        <v>107</v>
      </c>
    </row>
    <row r="109" spans="1:4" x14ac:dyDescent="0.35">
      <c r="A109" t="s">
        <v>81</v>
      </c>
      <c r="B109" s="88">
        <v>44788</v>
      </c>
      <c r="C109">
        <v>29.663533443137421</v>
      </c>
      <c r="D109" t="s">
        <v>107</v>
      </c>
    </row>
    <row r="110" spans="1:4" x14ac:dyDescent="0.35">
      <c r="A110" t="s">
        <v>81</v>
      </c>
      <c r="B110" s="88">
        <v>44880</v>
      </c>
      <c r="C110">
        <v>29.61924985490943</v>
      </c>
      <c r="D110" t="s">
        <v>107</v>
      </c>
    </row>
    <row r="111" spans="1:4" x14ac:dyDescent="0.35">
      <c r="A111" t="s">
        <v>81</v>
      </c>
      <c r="B111" s="88">
        <v>44972</v>
      </c>
      <c r="C111">
        <v>29.784444890542431</v>
      </c>
      <c r="D111" t="s">
        <v>107</v>
      </c>
    </row>
    <row r="112" spans="1:4" x14ac:dyDescent="0.35">
      <c r="A112" t="s">
        <v>81</v>
      </c>
      <c r="B112" s="88">
        <v>45061</v>
      </c>
      <c r="C112">
        <v>30.376595486398202</v>
      </c>
      <c r="D112" t="s">
        <v>107</v>
      </c>
    </row>
    <row r="113" spans="1:4" x14ac:dyDescent="0.35">
      <c r="A113" t="s">
        <v>81</v>
      </c>
      <c r="B113" s="88">
        <v>45153</v>
      </c>
      <c r="C113">
        <v>31.2738415528883</v>
      </c>
      <c r="D113" t="s">
        <v>107</v>
      </c>
    </row>
    <row r="114" spans="1:4" x14ac:dyDescent="0.35">
      <c r="A114" t="s">
        <v>81</v>
      </c>
      <c r="B114" s="88">
        <v>45245</v>
      </c>
      <c r="C114">
        <v>31.343516578778399</v>
      </c>
      <c r="D114" t="s">
        <v>107</v>
      </c>
    </row>
    <row r="115" spans="1:4" x14ac:dyDescent="0.35">
      <c r="A115" t="s">
        <v>81</v>
      </c>
      <c r="B115" s="88">
        <v>45337</v>
      </c>
      <c r="C115">
        <v>31.580969585398002</v>
      </c>
      <c r="D115" t="s">
        <v>107</v>
      </c>
    </row>
    <row r="116" spans="1:4" x14ac:dyDescent="0.35">
      <c r="A116" t="s">
        <v>81</v>
      </c>
      <c r="B116" s="88">
        <v>45427</v>
      </c>
      <c r="C116">
        <v>33.009080101798503</v>
      </c>
      <c r="D116" t="s">
        <v>107</v>
      </c>
    </row>
    <row r="117" spans="1:4" x14ac:dyDescent="0.35">
      <c r="A117" t="s">
        <v>81</v>
      </c>
      <c r="B117" s="88">
        <v>45519</v>
      </c>
      <c r="C117">
        <v>34.488375260151003</v>
      </c>
      <c r="D117" t="s">
        <v>107</v>
      </c>
    </row>
    <row r="118" spans="1:4" x14ac:dyDescent="0.35">
      <c r="A118" t="s">
        <v>81</v>
      </c>
      <c r="B118" s="88">
        <v>45611</v>
      </c>
      <c r="C118">
        <v>35.4065350040106</v>
      </c>
      <c r="D118" t="s">
        <v>107</v>
      </c>
    </row>
    <row r="119" spans="1:4" x14ac:dyDescent="0.35">
      <c r="A119" t="s">
        <v>81</v>
      </c>
      <c r="B119" s="88">
        <v>45703</v>
      </c>
      <c r="C119">
        <v>35.544548573121901</v>
      </c>
      <c r="D119" t="s">
        <v>107</v>
      </c>
    </row>
    <row r="120" spans="1:4" x14ac:dyDescent="0.35">
      <c r="A120" t="s">
        <v>81</v>
      </c>
      <c r="B120" s="88">
        <v>45792</v>
      </c>
      <c r="C120">
        <v>38.659725632046197</v>
      </c>
      <c r="D120" t="s">
        <v>107</v>
      </c>
    </row>
    <row r="121" spans="1:4" x14ac:dyDescent="0.35">
      <c r="A121" t="s">
        <v>81</v>
      </c>
      <c r="B121" s="88">
        <v>45884</v>
      </c>
      <c r="C121">
        <v>38.812217878046802</v>
      </c>
      <c r="D121" t="s">
        <v>107</v>
      </c>
    </row>
    <row r="122" spans="1:4" x14ac:dyDescent="0.35">
      <c r="A122" t="s">
        <v>81</v>
      </c>
      <c r="B122" s="88">
        <v>45976</v>
      </c>
      <c r="C122">
        <v>38.748525707956702</v>
      </c>
      <c r="D122" t="s">
        <v>107</v>
      </c>
    </row>
    <row r="123" spans="1:4" x14ac:dyDescent="0.35">
      <c r="A123" t="s">
        <v>81</v>
      </c>
      <c r="B123" s="88">
        <v>46068</v>
      </c>
      <c r="C123">
        <v>39.651709871957401</v>
      </c>
      <c r="D123" t="s">
        <v>107</v>
      </c>
    </row>
    <row r="124" spans="1:4" x14ac:dyDescent="0.35">
      <c r="A124" t="s">
        <v>81</v>
      </c>
      <c r="B124" s="88">
        <v>46157</v>
      </c>
      <c r="C124">
        <v>42.434048628967602</v>
      </c>
      <c r="D124" t="s">
        <v>107</v>
      </c>
    </row>
    <row r="125" spans="1:4" x14ac:dyDescent="0.35">
      <c r="A125" t="s">
        <v>81</v>
      </c>
      <c r="B125" s="88">
        <v>46249</v>
      </c>
      <c r="C125">
        <v>42.490475397039098</v>
      </c>
      <c r="D125" t="s">
        <v>107</v>
      </c>
    </row>
    <row r="126" spans="1:4" x14ac:dyDescent="0.35">
      <c r="A126" t="s">
        <v>27</v>
      </c>
      <c r="B126" s="88">
        <v>43511</v>
      </c>
      <c r="C126">
        <v>28.419282831883621</v>
      </c>
      <c r="D126" t="s">
        <v>107</v>
      </c>
    </row>
    <row r="127" spans="1:4" x14ac:dyDescent="0.35">
      <c r="A127" t="s">
        <v>27</v>
      </c>
      <c r="B127" s="88">
        <v>43600</v>
      </c>
      <c r="C127">
        <v>28.50388923987655</v>
      </c>
      <c r="D127" t="s">
        <v>107</v>
      </c>
    </row>
    <row r="128" spans="1:4" x14ac:dyDescent="0.35">
      <c r="A128" t="s">
        <v>27</v>
      </c>
      <c r="B128" s="88">
        <v>43692</v>
      </c>
      <c r="C128">
        <v>28.48593634159273</v>
      </c>
      <c r="D128" t="s">
        <v>107</v>
      </c>
    </row>
    <row r="129" spans="1:4" x14ac:dyDescent="0.35">
      <c r="A129" t="s">
        <v>27</v>
      </c>
      <c r="B129" s="88">
        <v>43784</v>
      </c>
      <c r="C129">
        <v>29.009703907524347</v>
      </c>
      <c r="D129" t="s">
        <v>107</v>
      </c>
    </row>
    <row r="130" spans="1:4" x14ac:dyDescent="0.35">
      <c r="A130" t="s">
        <v>27</v>
      </c>
      <c r="B130" s="88">
        <v>43876</v>
      </c>
      <c r="C130">
        <v>29.117576247197057</v>
      </c>
      <c r="D130" t="s">
        <v>107</v>
      </c>
    </row>
    <row r="131" spans="1:4" x14ac:dyDescent="0.35">
      <c r="A131" t="s">
        <v>27</v>
      </c>
      <c r="B131" s="88">
        <v>43966</v>
      </c>
      <c r="C131">
        <v>29.161892508888897</v>
      </c>
      <c r="D131" t="s">
        <v>107</v>
      </c>
    </row>
    <row r="132" spans="1:4" x14ac:dyDescent="0.35">
      <c r="A132" t="s">
        <v>27</v>
      </c>
      <c r="B132" s="88">
        <v>44058</v>
      </c>
      <c r="C132">
        <v>29.13184401165072</v>
      </c>
      <c r="D132" t="s">
        <v>107</v>
      </c>
    </row>
    <row r="133" spans="1:4" x14ac:dyDescent="0.35">
      <c r="A133" t="s">
        <v>27</v>
      </c>
      <c r="B133" s="88">
        <v>44150</v>
      </c>
      <c r="C133">
        <v>28.269345323638991</v>
      </c>
      <c r="D133" t="s">
        <v>107</v>
      </c>
    </row>
    <row r="134" spans="1:4" x14ac:dyDescent="0.35">
      <c r="A134" t="s">
        <v>27</v>
      </c>
      <c r="B134" s="88">
        <v>44242</v>
      </c>
      <c r="C134">
        <v>28.280843429245813</v>
      </c>
      <c r="D134" t="s">
        <v>107</v>
      </c>
    </row>
    <row r="135" spans="1:4" x14ac:dyDescent="0.35">
      <c r="A135" t="s">
        <v>27</v>
      </c>
      <c r="B135" s="88">
        <v>44331</v>
      </c>
      <c r="C135">
        <v>28.725660415611955</v>
      </c>
      <c r="D135" t="s">
        <v>107</v>
      </c>
    </row>
    <row r="136" spans="1:4" x14ac:dyDescent="0.35">
      <c r="A136" t="s">
        <v>27</v>
      </c>
      <c r="B136" s="88">
        <v>44423</v>
      </c>
      <c r="C136">
        <v>29.296535157134752</v>
      </c>
      <c r="D136" t="s">
        <v>107</v>
      </c>
    </row>
    <row r="137" spans="1:4" x14ac:dyDescent="0.35">
      <c r="A137" t="s">
        <v>27</v>
      </c>
      <c r="B137" s="88">
        <v>44515</v>
      </c>
      <c r="C137">
        <v>29.744809478564708</v>
      </c>
      <c r="D137" t="s">
        <v>107</v>
      </c>
    </row>
    <row r="138" spans="1:4" x14ac:dyDescent="0.35">
      <c r="A138" t="s">
        <v>27</v>
      </c>
      <c r="B138" s="88">
        <v>44607</v>
      </c>
      <c r="C138">
        <v>29.989096696335594</v>
      </c>
      <c r="D138" t="s">
        <v>107</v>
      </c>
    </row>
    <row r="139" spans="1:4" x14ac:dyDescent="0.35">
      <c r="A139" t="s">
        <v>27</v>
      </c>
      <c r="B139" s="88">
        <v>44696</v>
      </c>
      <c r="C139">
        <v>30.818500736129391</v>
      </c>
      <c r="D139" t="s">
        <v>107</v>
      </c>
    </row>
    <row r="140" spans="1:4" x14ac:dyDescent="0.35">
      <c r="A140" t="s">
        <v>27</v>
      </c>
      <c r="B140" s="88">
        <v>44788</v>
      </c>
      <c r="C140">
        <v>31.867118977132566</v>
      </c>
      <c r="D140" t="s">
        <v>107</v>
      </c>
    </row>
    <row r="141" spans="1:4" x14ac:dyDescent="0.35">
      <c r="A141" t="s">
        <v>27</v>
      </c>
      <c r="B141" s="88">
        <v>44880</v>
      </c>
      <c r="C141">
        <v>31.729451709912833</v>
      </c>
      <c r="D141" t="s">
        <v>107</v>
      </c>
    </row>
    <row r="142" spans="1:4" x14ac:dyDescent="0.35">
      <c r="A142" t="s">
        <v>27</v>
      </c>
      <c r="B142" s="88">
        <v>44972</v>
      </c>
      <c r="C142">
        <v>32.094753284846064</v>
      </c>
      <c r="D142" t="s">
        <v>107</v>
      </c>
    </row>
    <row r="143" spans="1:4" x14ac:dyDescent="0.35">
      <c r="A143" t="s">
        <v>27</v>
      </c>
      <c r="B143" s="88">
        <v>45061</v>
      </c>
      <c r="C143">
        <v>33.014874443046402</v>
      </c>
      <c r="D143" t="s">
        <v>107</v>
      </c>
    </row>
    <row r="144" spans="1:4" x14ac:dyDescent="0.35">
      <c r="A144" t="s">
        <v>27</v>
      </c>
      <c r="B144" s="88">
        <v>45153</v>
      </c>
      <c r="C144">
        <v>33.483382252653897</v>
      </c>
      <c r="D144" t="s">
        <v>107</v>
      </c>
    </row>
    <row r="145" spans="1:4" x14ac:dyDescent="0.35">
      <c r="A145" t="s">
        <v>27</v>
      </c>
      <c r="B145" s="88">
        <v>45245</v>
      </c>
      <c r="C145">
        <v>33.689212054032303</v>
      </c>
      <c r="D145" t="s">
        <v>107</v>
      </c>
    </row>
    <row r="146" spans="1:4" x14ac:dyDescent="0.35">
      <c r="A146" t="s">
        <v>27</v>
      </c>
      <c r="B146" s="88">
        <v>45337</v>
      </c>
      <c r="C146">
        <v>33.874226997932901</v>
      </c>
      <c r="D146" t="s">
        <v>107</v>
      </c>
    </row>
    <row r="147" spans="1:4" x14ac:dyDescent="0.35">
      <c r="A147" t="s">
        <v>27</v>
      </c>
      <c r="B147" s="88">
        <v>45427</v>
      </c>
      <c r="C147">
        <v>35.386656533054101</v>
      </c>
      <c r="D147" t="s">
        <v>107</v>
      </c>
    </row>
    <row r="148" spans="1:4" x14ac:dyDescent="0.35">
      <c r="A148" t="s">
        <v>27</v>
      </c>
      <c r="B148" s="88">
        <v>45519</v>
      </c>
      <c r="C148">
        <v>35.950391499732497</v>
      </c>
      <c r="D148" t="s">
        <v>107</v>
      </c>
    </row>
    <row r="149" spans="1:4" x14ac:dyDescent="0.35">
      <c r="A149" t="s">
        <v>27</v>
      </c>
      <c r="B149" s="88">
        <v>45611</v>
      </c>
      <c r="C149">
        <v>36.7517797839499</v>
      </c>
      <c r="D149" t="s">
        <v>107</v>
      </c>
    </row>
    <row r="150" spans="1:4" x14ac:dyDescent="0.35">
      <c r="A150" t="s">
        <v>27</v>
      </c>
      <c r="B150" s="88">
        <v>45703</v>
      </c>
      <c r="C150">
        <v>36.885641729978403</v>
      </c>
      <c r="D150" t="s">
        <v>107</v>
      </c>
    </row>
    <row r="151" spans="1:4" x14ac:dyDescent="0.35">
      <c r="A151" t="s">
        <v>27</v>
      </c>
      <c r="B151" s="88">
        <v>45792</v>
      </c>
      <c r="C151">
        <v>39.356389454233302</v>
      </c>
      <c r="D151" t="s">
        <v>107</v>
      </c>
    </row>
    <row r="152" spans="1:4" x14ac:dyDescent="0.35">
      <c r="A152" t="s">
        <v>27</v>
      </c>
      <c r="B152" s="88">
        <v>45884</v>
      </c>
      <c r="C152">
        <v>39.408770622159103</v>
      </c>
      <c r="D152" t="s">
        <v>107</v>
      </c>
    </row>
    <row r="153" spans="1:4" x14ac:dyDescent="0.35">
      <c r="A153" t="s">
        <v>27</v>
      </c>
      <c r="B153" s="88">
        <v>45976</v>
      </c>
      <c r="C153">
        <v>39.402954466757997</v>
      </c>
      <c r="D153" t="s">
        <v>107</v>
      </c>
    </row>
    <row r="154" spans="1:4" x14ac:dyDescent="0.35">
      <c r="A154" t="s">
        <v>27</v>
      </c>
      <c r="B154" s="88">
        <v>46068</v>
      </c>
      <c r="C154">
        <v>40.385385280994797</v>
      </c>
      <c r="D154" t="s">
        <v>107</v>
      </c>
    </row>
    <row r="155" spans="1:4" x14ac:dyDescent="0.35">
      <c r="A155" t="s">
        <v>27</v>
      </c>
      <c r="B155" s="88">
        <v>46157</v>
      </c>
      <c r="C155">
        <v>42.2716722342834</v>
      </c>
      <c r="D155" t="s">
        <v>107</v>
      </c>
    </row>
    <row r="156" spans="1:4" x14ac:dyDescent="0.35">
      <c r="A156" t="s">
        <v>27</v>
      </c>
      <c r="B156" s="88">
        <v>46249</v>
      </c>
      <c r="C156">
        <v>42.383896351440399</v>
      </c>
      <c r="D156" t="s">
        <v>107</v>
      </c>
    </row>
    <row r="157" spans="1:4" x14ac:dyDescent="0.35">
      <c r="A157" t="s">
        <v>26</v>
      </c>
      <c r="B157" s="88">
        <v>43511</v>
      </c>
      <c r="C157">
        <v>37.986250518064146</v>
      </c>
      <c r="D157" t="s">
        <v>107</v>
      </c>
    </row>
    <row r="158" spans="1:4" x14ac:dyDescent="0.35">
      <c r="A158" t="s">
        <v>26</v>
      </c>
      <c r="B158" s="88">
        <v>43600</v>
      </c>
      <c r="C158">
        <v>38.055932368268529</v>
      </c>
      <c r="D158" t="s">
        <v>107</v>
      </c>
    </row>
    <row r="159" spans="1:4" x14ac:dyDescent="0.35">
      <c r="A159" t="s">
        <v>26</v>
      </c>
      <c r="B159" s="88">
        <v>43692</v>
      </c>
      <c r="C159">
        <v>38.312473466450953</v>
      </c>
      <c r="D159" t="s">
        <v>107</v>
      </c>
    </row>
    <row r="160" spans="1:4" x14ac:dyDescent="0.35">
      <c r="A160" t="s">
        <v>26</v>
      </c>
      <c r="B160" s="88">
        <v>43784</v>
      </c>
      <c r="C160">
        <v>38.641725644524492</v>
      </c>
      <c r="D160" t="s">
        <v>107</v>
      </c>
    </row>
    <row r="161" spans="1:4" x14ac:dyDescent="0.35">
      <c r="A161" t="s">
        <v>26</v>
      </c>
      <c r="B161" s="88">
        <v>43876</v>
      </c>
      <c r="C161">
        <v>38.970547939943586</v>
      </c>
      <c r="D161" t="s">
        <v>107</v>
      </c>
    </row>
    <row r="162" spans="1:4" x14ac:dyDescent="0.35">
      <c r="A162" t="s">
        <v>26</v>
      </c>
      <c r="B162" s="88">
        <v>43966</v>
      </c>
      <c r="C162">
        <v>39.625169750154932</v>
      </c>
      <c r="D162" t="s">
        <v>107</v>
      </c>
    </row>
    <row r="163" spans="1:4" x14ac:dyDescent="0.35">
      <c r="A163" t="s">
        <v>26</v>
      </c>
      <c r="B163" s="88">
        <v>44058</v>
      </c>
      <c r="C163">
        <v>39.586964125303332</v>
      </c>
      <c r="D163" t="s">
        <v>107</v>
      </c>
    </row>
    <row r="164" spans="1:4" x14ac:dyDescent="0.35">
      <c r="A164" t="s">
        <v>26</v>
      </c>
      <c r="B164" s="88">
        <v>44150</v>
      </c>
      <c r="C164">
        <v>39.532064703915481</v>
      </c>
      <c r="D164" t="s">
        <v>107</v>
      </c>
    </row>
    <row r="165" spans="1:4" x14ac:dyDescent="0.35">
      <c r="A165" t="s">
        <v>26</v>
      </c>
      <c r="B165" s="88">
        <v>44242</v>
      </c>
      <c r="C165">
        <v>39.518778330482284</v>
      </c>
      <c r="D165" t="s">
        <v>107</v>
      </c>
    </row>
    <row r="166" spans="1:4" x14ac:dyDescent="0.35">
      <c r="A166" t="s">
        <v>26</v>
      </c>
      <c r="B166" s="88">
        <v>44331</v>
      </c>
      <c r="C166">
        <v>39.664517688695312</v>
      </c>
      <c r="D166" t="s">
        <v>107</v>
      </c>
    </row>
    <row r="167" spans="1:4" x14ac:dyDescent="0.35">
      <c r="A167" t="s">
        <v>26</v>
      </c>
      <c r="B167" s="88">
        <v>44423</v>
      </c>
      <c r="C167">
        <v>39.878206835732215</v>
      </c>
      <c r="D167" t="s">
        <v>107</v>
      </c>
    </row>
    <row r="168" spans="1:4" x14ac:dyDescent="0.35">
      <c r="A168" t="s">
        <v>26</v>
      </c>
      <c r="B168" s="88">
        <v>44515</v>
      </c>
      <c r="C168">
        <v>39.871664305090725</v>
      </c>
      <c r="D168" t="s">
        <v>107</v>
      </c>
    </row>
    <row r="169" spans="1:4" x14ac:dyDescent="0.35">
      <c r="A169" t="s">
        <v>26</v>
      </c>
      <c r="B169" s="88">
        <v>44607</v>
      </c>
      <c r="C169">
        <v>39.857739888845671</v>
      </c>
      <c r="D169" t="s">
        <v>107</v>
      </c>
    </row>
    <row r="170" spans="1:4" x14ac:dyDescent="0.35">
      <c r="A170" t="s">
        <v>26</v>
      </c>
      <c r="B170" s="88">
        <v>44696</v>
      </c>
      <c r="C170">
        <v>40.178032620919119</v>
      </c>
      <c r="D170" t="s">
        <v>107</v>
      </c>
    </row>
    <row r="171" spans="1:4" x14ac:dyDescent="0.35">
      <c r="A171" t="s">
        <v>26</v>
      </c>
      <c r="B171" s="88">
        <v>44788</v>
      </c>
      <c r="C171">
        <v>40.381492507441699</v>
      </c>
      <c r="D171" t="s">
        <v>107</v>
      </c>
    </row>
    <row r="172" spans="1:4" x14ac:dyDescent="0.35">
      <c r="A172" t="s">
        <v>26</v>
      </c>
      <c r="B172" s="88">
        <v>44880</v>
      </c>
      <c r="C172">
        <v>40.357216736940885</v>
      </c>
      <c r="D172" t="s">
        <v>107</v>
      </c>
    </row>
    <row r="173" spans="1:4" x14ac:dyDescent="0.35">
      <c r="A173" t="s">
        <v>26</v>
      </c>
      <c r="B173" s="88">
        <v>44972</v>
      </c>
      <c r="C173">
        <v>39.761561056711272</v>
      </c>
      <c r="D173" t="s">
        <v>107</v>
      </c>
    </row>
    <row r="174" spans="1:4" x14ac:dyDescent="0.35">
      <c r="A174" t="s">
        <v>26</v>
      </c>
      <c r="B174" s="88">
        <v>45061</v>
      </c>
      <c r="C174">
        <v>40.752343432503203</v>
      </c>
      <c r="D174" t="s">
        <v>107</v>
      </c>
    </row>
    <row r="175" spans="1:4" x14ac:dyDescent="0.35">
      <c r="A175" t="s">
        <v>26</v>
      </c>
      <c r="B175" s="88">
        <v>45153</v>
      </c>
      <c r="C175">
        <v>41.045667852091199</v>
      </c>
      <c r="D175" t="s">
        <v>107</v>
      </c>
    </row>
    <row r="176" spans="1:4" x14ac:dyDescent="0.35">
      <c r="A176" t="s">
        <v>26</v>
      </c>
      <c r="B176" s="88">
        <v>45245</v>
      </c>
      <c r="C176">
        <v>41.2723906084262</v>
      </c>
      <c r="D176" t="s">
        <v>107</v>
      </c>
    </row>
    <row r="177" spans="1:4" x14ac:dyDescent="0.35">
      <c r="A177" t="s">
        <v>26</v>
      </c>
      <c r="B177" s="88">
        <v>45337</v>
      </c>
      <c r="C177">
        <v>41.2108375684859</v>
      </c>
      <c r="D177" t="s">
        <v>107</v>
      </c>
    </row>
    <row r="178" spans="1:4" x14ac:dyDescent="0.35">
      <c r="A178" t="s">
        <v>26</v>
      </c>
      <c r="B178" s="88">
        <v>45427</v>
      </c>
      <c r="C178">
        <v>44.0450295976635</v>
      </c>
      <c r="D178" t="s">
        <v>107</v>
      </c>
    </row>
    <row r="179" spans="1:4" x14ac:dyDescent="0.35">
      <c r="A179" t="s">
        <v>26</v>
      </c>
      <c r="B179" s="88">
        <v>45519</v>
      </c>
      <c r="C179">
        <v>44.760111442027799</v>
      </c>
      <c r="D179" t="s">
        <v>107</v>
      </c>
    </row>
    <row r="180" spans="1:4" x14ac:dyDescent="0.35">
      <c r="A180" t="s">
        <v>26</v>
      </c>
      <c r="B180" s="88">
        <v>45611</v>
      </c>
      <c r="C180">
        <v>45.327724673868801</v>
      </c>
      <c r="D180" t="s">
        <v>107</v>
      </c>
    </row>
    <row r="181" spans="1:4" x14ac:dyDescent="0.35">
      <c r="A181" t="s">
        <v>26</v>
      </c>
      <c r="B181" s="88">
        <v>45703</v>
      </c>
      <c r="C181">
        <v>45.449394739687499</v>
      </c>
      <c r="D181" t="s">
        <v>107</v>
      </c>
    </row>
    <row r="182" spans="1:4" x14ac:dyDescent="0.35">
      <c r="A182" t="s">
        <v>26</v>
      </c>
      <c r="B182" s="88">
        <v>45792</v>
      </c>
      <c r="C182">
        <v>45.649092212615798</v>
      </c>
      <c r="D182" t="s">
        <v>107</v>
      </c>
    </row>
    <row r="183" spans="1:4" x14ac:dyDescent="0.35">
      <c r="A183" t="s">
        <v>26</v>
      </c>
      <c r="B183" s="88">
        <v>45884</v>
      </c>
      <c r="C183">
        <v>45.693688212745599</v>
      </c>
      <c r="D183" t="s">
        <v>107</v>
      </c>
    </row>
    <row r="184" spans="1:4" x14ac:dyDescent="0.35">
      <c r="A184" t="s">
        <v>26</v>
      </c>
      <c r="B184" s="88">
        <v>45976</v>
      </c>
      <c r="C184">
        <v>45.724699385280502</v>
      </c>
      <c r="D184" t="s">
        <v>107</v>
      </c>
    </row>
    <row r="185" spans="1:4" x14ac:dyDescent="0.35">
      <c r="A185" t="s">
        <v>26</v>
      </c>
      <c r="B185" s="88">
        <v>46068</v>
      </c>
      <c r="C185">
        <v>46.397519916721201</v>
      </c>
      <c r="D185" t="s">
        <v>107</v>
      </c>
    </row>
    <row r="186" spans="1:4" x14ac:dyDescent="0.35">
      <c r="A186" t="s">
        <v>26</v>
      </c>
      <c r="B186" s="88">
        <v>46157</v>
      </c>
      <c r="C186">
        <v>47.240440635156901</v>
      </c>
      <c r="D186" t="s">
        <v>107</v>
      </c>
    </row>
    <row r="187" spans="1:4" x14ac:dyDescent="0.35">
      <c r="A187" t="s">
        <v>26</v>
      </c>
      <c r="B187" s="88">
        <v>46249</v>
      </c>
      <c r="C187">
        <v>46.951554043378103</v>
      </c>
      <c r="D187" t="s">
        <v>107</v>
      </c>
    </row>
    <row r="188" spans="1:4" x14ac:dyDescent="0.35">
      <c r="A188" t="s">
        <v>33</v>
      </c>
      <c r="B188" s="88">
        <v>43511</v>
      </c>
      <c r="C188">
        <v>36.770108583991984</v>
      </c>
      <c r="D188" t="s">
        <v>107</v>
      </c>
    </row>
    <row r="189" spans="1:4" x14ac:dyDescent="0.35">
      <c r="A189" t="s">
        <v>33</v>
      </c>
      <c r="B189" s="88">
        <v>43600</v>
      </c>
      <c r="C189">
        <v>36.906772828077273</v>
      </c>
      <c r="D189" t="s">
        <v>107</v>
      </c>
    </row>
    <row r="190" spans="1:4" x14ac:dyDescent="0.35">
      <c r="A190" t="s">
        <v>33</v>
      </c>
      <c r="B190" s="88">
        <v>43692</v>
      </c>
      <c r="C190">
        <v>36.967361965564777</v>
      </c>
      <c r="D190" t="s">
        <v>107</v>
      </c>
    </row>
    <row r="191" spans="1:4" x14ac:dyDescent="0.35">
      <c r="A191" t="s">
        <v>33</v>
      </c>
      <c r="B191" s="88">
        <v>43784</v>
      </c>
      <c r="C191">
        <v>37.514309394276722</v>
      </c>
      <c r="D191" t="s">
        <v>107</v>
      </c>
    </row>
    <row r="192" spans="1:4" x14ac:dyDescent="0.35">
      <c r="A192" t="s">
        <v>33</v>
      </c>
      <c r="B192" s="88">
        <v>43876</v>
      </c>
      <c r="C192">
        <v>37.58320290178591</v>
      </c>
      <c r="D192" t="s">
        <v>107</v>
      </c>
    </row>
    <row r="193" spans="1:4" x14ac:dyDescent="0.35">
      <c r="A193" t="s">
        <v>33</v>
      </c>
      <c r="B193" s="88">
        <v>43966</v>
      </c>
      <c r="C193">
        <v>38.071658253556691</v>
      </c>
      <c r="D193" t="s">
        <v>107</v>
      </c>
    </row>
    <row r="194" spans="1:4" x14ac:dyDescent="0.35">
      <c r="A194" t="s">
        <v>33</v>
      </c>
      <c r="B194" s="88">
        <v>44058</v>
      </c>
      <c r="C194">
        <v>38.044052252260478</v>
      </c>
      <c r="D194" t="s">
        <v>107</v>
      </c>
    </row>
    <row r="195" spans="1:4" x14ac:dyDescent="0.35">
      <c r="A195" t="s">
        <v>33</v>
      </c>
      <c r="B195" s="88">
        <v>44150</v>
      </c>
      <c r="C195">
        <v>38.033146430104573</v>
      </c>
      <c r="D195" t="s">
        <v>107</v>
      </c>
    </row>
    <row r="196" spans="1:4" x14ac:dyDescent="0.35">
      <c r="A196" t="s">
        <v>33</v>
      </c>
      <c r="B196" s="88">
        <v>44242</v>
      </c>
      <c r="C196">
        <v>38.090208022277679</v>
      </c>
      <c r="D196" t="s">
        <v>107</v>
      </c>
    </row>
    <row r="197" spans="1:4" x14ac:dyDescent="0.35">
      <c r="A197" t="s">
        <v>33</v>
      </c>
      <c r="B197" s="88">
        <v>44331</v>
      </c>
      <c r="C197">
        <v>37.623301575402394</v>
      </c>
      <c r="D197" t="s">
        <v>107</v>
      </c>
    </row>
    <row r="198" spans="1:4" x14ac:dyDescent="0.35">
      <c r="A198" t="s">
        <v>33</v>
      </c>
      <c r="B198" s="88">
        <v>44423</v>
      </c>
      <c r="C198">
        <v>37.753755232773905</v>
      </c>
      <c r="D198" t="s">
        <v>107</v>
      </c>
    </row>
    <row r="199" spans="1:4" x14ac:dyDescent="0.35">
      <c r="A199" t="s">
        <v>33</v>
      </c>
      <c r="B199" s="88">
        <v>44515</v>
      </c>
      <c r="C199">
        <v>38.069505219754092</v>
      </c>
      <c r="D199" t="s">
        <v>107</v>
      </c>
    </row>
    <row r="200" spans="1:4" x14ac:dyDescent="0.35">
      <c r="A200" t="s">
        <v>33</v>
      </c>
      <c r="B200" s="88">
        <v>44607</v>
      </c>
      <c r="C200">
        <v>38.815273826948058</v>
      </c>
      <c r="D200" t="s">
        <v>107</v>
      </c>
    </row>
    <row r="201" spans="1:4" x14ac:dyDescent="0.35">
      <c r="A201" t="s">
        <v>33</v>
      </c>
      <c r="B201" s="88">
        <v>44696</v>
      </c>
      <c r="C201">
        <v>39.322451121340961</v>
      </c>
      <c r="D201" t="s">
        <v>107</v>
      </c>
    </row>
    <row r="202" spans="1:4" x14ac:dyDescent="0.35">
      <c r="A202" t="s">
        <v>33</v>
      </c>
      <c r="B202" s="88">
        <v>44788</v>
      </c>
      <c r="C202">
        <v>39.020613836662775</v>
      </c>
      <c r="D202" t="s">
        <v>107</v>
      </c>
    </row>
    <row r="203" spans="1:4" x14ac:dyDescent="0.35">
      <c r="A203" t="s">
        <v>33</v>
      </c>
      <c r="B203" s="88">
        <v>44880</v>
      </c>
      <c r="C203">
        <v>38.995688808997876</v>
      </c>
      <c r="D203" t="s">
        <v>107</v>
      </c>
    </row>
    <row r="204" spans="1:4" x14ac:dyDescent="0.35">
      <c r="A204" t="s">
        <v>33</v>
      </c>
      <c r="B204" s="88">
        <v>44972</v>
      </c>
      <c r="C204">
        <v>39.487843570262875</v>
      </c>
      <c r="D204" t="s">
        <v>107</v>
      </c>
    </row>
    <row r="205" spans="1:4" x14ac:dyDescent="0.35">
      <c r="A205" t="s">
        <v>33</v>
      </c>
      <c r="B205" s="88">
        <v>45061</v>
      </c>
      <c r="C205">
        <v>40.244301314680499</v>
      </c>
      <c r="D205" t="s">
        <v>107</v>
      </c>
    </row>
    <row r="206" spans="1:4" x14ac:dyDescent="0.35">
      <c r="A206" t="s">
        <v>33</v>
      </c>
      <c r="B206" s="88">
        <v>45153</v>
      </c>
      <c r="C206">
        <v>40.404403570520401</v>
      </c>
      <c r="D206" t="s">
        <v>107</v>
      </c>
    </row>
    <row r="207" spans="1:4" x14ac:dyDescent="0.35">
      <c r="A207" t="s">
        <v>33</v>
      </c>
      <c r="B207" s="88">
        <v>45245</v>
      </c>
      <c r="C207">
        <v>40.488755241314998</v>
      </c>
      <c r="D207" t="s">
        <v>107</v>
      </c>
    </row>
    <row r="208" spans="1:4" x14ac:dyDescent="0.35">
      <c r="A208" t="s">
        <v>33</v>
      </c>
      <c r="B208" s="88">
        <v>45337</v>
      </c>
      <c r="C208">
        <v>40.6211411666388</v>
      </c>
      <c r="D208" t="s">
        <v>107</v>
      </c>
    </row>
    <row r="209" spans="1:4" x14ac:dyDescent="0.35">
      <c r="A209" t="s">
        <v>33</v>
      </c>
      <c r="B209" s="88">
        <v>45427</v>
      </c>
      <c r="C209">
        <v>41.417543743149203</v>
      </c>
      <c r="D209" t="s">
        <v>107</v>
      </c>
    </row>
    <row r="210" spans="1:4" x14ac:dyDescent="0.35">
      <c r="A210" t="s">
        <v>33</v>
      </c>
      <c r="B210" s="88">
        <v>45519</v>
      </c>
      <c r="C210">
        <v>41.848872356380497</v>
      </c>
      <c r="D210" t="s">
        <v>107</v>
      </c>
    </row>
    <row r="211" spans="1:4" x14ac:dyDescent="0.35">
      <c r="A211" t="s">
        <v>33</v>
      </c>
      <c r="B211" s="88">
        <v>45611</v>
      </c>
      <c r="C211">
        <v>42.355440558440101</v>
      </c>
      <c r="D211" t="s">
        <v>107</v>
      </c>
    </row>
    <row r="212" spans="1:4" x14ac:dyDescent="0.35">
      <c r="A212" t="s">
        <v>33</v>
      </c>
      <c r="B212" s="88">
        <v>45703</v>
      </c>
      <c r="C212">
        <v>43.248352593233903</v>
      </c>
      <c r="D212" t="s">
        <v>107</v>
      </c>
    </row>
    <row r="213" spans="1:4" x14ac:dyDescent="0.35">
      <c r="A213" t="s">
        <v>33</v>
      </c>
      <c r="B213" s="88">
        <v>45792</v>
      </c>
      <c r="C213">
        <v>46.775899846922201</v>
      </c>
      <c r="D213" t="s">
        <v>107</v>
      </c>
    </row>
    <row r="214" spans="1:4" x14ac:dyDescent="0.35">
      <c r="A214" t="s">
        <v>33</v>
      </c>
      <c r="B214" s="88">
        <v>45884</v>
      </c>
      <c r="C214">
        <v>46.928347458012098</v>
      </c>
      <c r="D214" t="s">
        <v>107</v>
      </c>
    </row>
    <row r="215" spans="1:4" x14ac:dyDescent="0.35">
      <c r="A215" t="s">
        <v>33</v>
      </c>
      <c r="B215" s="88">
        <v>45976</v>
      </c>
      <c r="C215">
        <v>47.0192544583333</v>
      </c>
      <c r="D215" t="s">
        <v>107</v>
      </c>
    </row>
    <row r="216" spans="1:4" x14ac:dyDescent="0.35">
      <c r="A216" t="s">
        <v>33</v>
      </c>
      <c r="B216" s="88">
        <v>46068</v>
      </c>
      <c r="C216">
        <v>48.0367173993764</v>
      </c>
      <c r="D216" t="s">
        <v>107</v>
      </c>
    </row>
    <row r="217" spans="1:4" x14ac:dyDescent="0.35">
      <c r="A217" t="s">
        <v>33</v>
      </c>
      <c r="B217" s="88">
        <v>46157</v>
      </c>
      <c r="C217">
        <v>48.374801692440997</v>
      </c>
      <c r="D217" t="s">
        <v>107</v>
      </c>
    </row>
    <row r="218" spans="1:4" x14ac:dyDescent="0.35">
      <c r="A218" t="s">
        <v>33</v>
      </c>
      <c r="B218" s="88">
        <v>46249</v>
      </c>
      <c r="C218">
        <v>48.646675279035499</v>
      </c>
      <c r="D218" t="s">
        <v>107</v>
      </c>
    </row>
    <row r="219" spans="1:4" x14ac:dyDescent="0.35">
      <c r="A219" t="s">
        <v>34</v>
      </c>
      <c r="B219" s="88">
        <v>43511</v>
      </c>
      <c r="C219">
        <v>30.001844429367583</v>
      </c>
      <c r="D219" t="s">
        <v>107</v>
      </c>
    </row>
    <row r="220" spans="1:4" x14ac:dyDescent="0.35">
      <c r="A220" t="s">
        <v>34</v>
      </c>
      <c r="B220" s="88">
        <v>43600</v>
      </c>
      <c r="C220">
        <v>30.186616977256151</v>
      </c>
      <c r="D220" t="s">
        <v>107</v>
      </c>
    </row>
    <row r="221" spans="1:4" x14ac:dyDescent="0.35">
      <c r="A221" t="s">
        <v>34</v>
      </c>
      <c r="B221" s="88">
        <v>43692</v>
      </c>
      <c r="C221">
        <v>30.228562870994502</v>
      </c>
      <c r="D221" t="s">
        <v>107</v>
      </c>
    </row>
    <row r="222" spans="1:4" x14ac:dyDescent="0.35">
      <c r="A222" t="s">
        <v>34</v>
      </c>
      <c r="B222" s="88">
        <v>43784</v>
      </c>
      <c r="C222">
        <v>30.677696894355364</v>
      </c>
      <c r="D222" t="s">
        <v>107</v>
      </c>
    </row>
    <row r="223" spans="1:4" x14ac:dyDescent="0.35">
      <c r="A223" t="s">
        <v>34</v>
      </c>
      <c r="B223" s="88">
        <v>43876</v>
      </c>
      <c r="C223">
        <v>30.925595125915738</v>
      </c>
      <c r="D223" t="s">
        <v>107</v>
      </c>
    </row>
    <row r="224" spans="1:4" x14ac:dyDescent="0.35">
      <c r="A224" t="s">
        <v>34</v>
      </c>
      <c r="B224" s="88">
        <v>43966</v>
      </c>
      <c r="C224">
        <v>31.378534615500467</v>
      </c>
      <c r="D224" t="s">
        <v>107</v>
      </c>
    </row>
    <row r="225" spans="1:4" x14ac:dyDescent="0.35">
      <c r="A225" t="s">
        <v>34</v>
      </c>
      <c r="B225" s="88">
        <v>44058</v>
      </c>
      <c r="C225">
        <v>31.386375074508106</v>
      </c>
      <c r="D225" t="s">
        <v>107</v>
      </c>
    </row>
    <row r="226" spans="1:4" x14ac:dyDescent="0.35">
      <c r="A226" t="s">
        <v>34</v>
      </c>
      <c r="B226" s="88">
        <v>44150</v>
      </c>
      <c r="C226">
        <v>31.192061753244456</v>
      </c>
      <c r="D226" t="s">
        <v>107</v>
      </c>
    </row>
    <row r="227" spans="1:4" x14ac:dyDescent="0.35">
      <c r="A227" t="s">
        <v>34</v>
      </c>
      <c r="B227" s="88">
        <v>44242</v>
      </c>
      <c r="C227">
        <v>31.319775564283599</v>
      </c>
      <c r="D227" t="s">
        <v>107</v>
      </c>
    </row>
    <row r="228" spans="1:4" x14ac:dyDescent="0.35">
      <c r="A228" t="s">
        <v>34</v>
      </c>
      <c r="B228" s="88">
        <v>44331</v>
      </c>
      <c r="C228">
        <v>31.465797886429289</v>
      </c>
      <c r="D228" t="s">
        <v>107</v>
      </c>
    </row>
    <row r="229" spans="1:4" x14ac:dyDescent="0.35">
      <c r="A229" t="s">
        <v>34</v>
      </c>
      <c r="B229" s="88">
        <v>44423</v>
      </c>
      <c r="C229">
        <v>32.274658466854824</v>
      </c>
      <c r="D229" t="s">
        <v>107</v>
      </c>
    </row>
    <row r="230" spans="1:4" x14ac:dyDescent="0.35">
      <c r="A230" t="s">
        <v>34</v>
      </c>
      <c r="B230" s="88">
        <v>44515</v>
      </c>
      <c r="C230">
        <v>32.499204901464523</v>
      </c>
      <c r="D230" t="s">
        <v>107</v>
      </c>
    </row>
    <row r="231" spans="1:4" x14ac:dyDescent="0.35">
      <c r="A231" t="s">
        <v>34</v>
      </c>
      <c r="B231" s="88">
        <v>44607</v>
      </c>
      <c r="C231">
        <v>33.291959299305731</v>
      </c>
      <c r="D231" t="s">
        <v>107</v>
      </c>
    </row>
    <row r="232" spans="1:4" x14ac:dyDescent="0.35">
      <c r="A232" t="s">
        <v>34</v>
      </c>
      <c r="B232" s="88">
        <v>44696</v>
      </c>
      <c r="C232">
        <v>33.933209726066643</v>
      </c>
      <c r="D232" t="s">
        <v>107</v>
      </c>
    </row>
    <row r="233" spans="1:4" x14ac:dyDescent="0.35">
      <c r="A233" t="s">
        <v>34</v>
      </c>
      <c r="B233" s="88">
        <v>44788</v>
      </c>
      <c r="C233">
        <v>33.808867380926962</v>
      </c>
      <c r="D233" t="s">
        <v>107</v>
      </c>
    </row>
    <row r="234" spans="1:4" x14ac:dyDescent="0.35">
      <c r="A234" t="s">
        <v>34</v>
      </c>
      <c r="B234" s="88">
        <v>44880</v>
      </c>
      <c r="C234">
        <v>33.879805401989806</v>
      </c>
      <c r="D234" t="s">
        <v>107</v>
      </c>
    </row>
    <row r="235" spans="1:4" x14ac:dyDescent="0.35">
      <c r="A235" t="s">
        <v>34</v>
      </c>
      <c r="B235" s="88">
        <v>44972</v>
      </c>
      <c r="C235">
        <v>34.388015247151522</v>
      </c>
      <c r="D235" t="s">
        <v>107</v>
      </c>
    </row>
    <row r="236" spans="1:4" x14ac:dyDescent="0.35">
      <c r="A236" t="s">
        <v>34</v>
      </c>
      <c r="B236" s="88">
        <v>45061</v>
      </c>
      <c r="C236">
        <v>34.927109889155503</v>
      </c>
      <c r="D236" t="s">
        <v>107</v>
      </c>
    </row>
    <row r="237" spans="1:4" x14ac:dyDescent="0.35">
      <c r="A237" t="s">
        <v>34</v>
      </c>
      <c r="B237" s="88">
        <v>45153</v>
      </c>
      <c r="C237">
        <v>35.2349758797682</v>
      </c>
      <c r="D237" t="s">
        <v>107</v>
      </c>
    </row>
    <row r="238" spans="1:4" x14ac:dyDescent="0.35">
      <c r="A238" t="s">
        <v>34</v>
      </c>
      <c r="B238" s="88">
        <v>45245</v>
      </c>
      <c r="C238">
        <v>35.448915663996203</v>
      </c>
      <c r="D238" t="s">
        <v>107</v>
      </c>
    </row>
    <row r="239" spans="1:4" x14ac:dyDescent="0.35">
      <c r="A239" t="s">
        <v>34</v>
      </c>
      <c r="B239" s="88">
        <v>45337</v>
      </c>
      <c r="C239">
        <v>35.563787833808597</v>
      </c>
      <c r="D239" t="s">
        <v>107</v>
      </c>
    </row>
    <row r="240" spans="1:4" x14ac:dyDescent="0.35">
      <c r="A240" t="s">
        <v>34</v>
      </c>
      <c r="B240" s="88">
        <v>45427</v>
      </c>
      <c r="C240">
        <v>36.844923186998997</v>
      </c>
      <c r="D240" t="s">
        <v>107</v>
      </c>
    </row>
    <row r="241" spans="1:4" x14ac:dyDescent="0.35">
      <c r="A241" t="s">
        <v>34</v>
      </c>
      <c r="B241" s="88">
        <v>45519</v>
      </c>
      <c r="C241">
        <v>38.8564063991968</v>
      </c>
      <c r="D241" t="s">
        <v>107</v>
      </c>
    </row>
    <row r="242" spans="1:4" x14ac:dyDescent="0.35">
      <c r="A242" t="s">
        <v>34</v>
      </c>
      <c r="B242" s="88">
        <v>45611</v>
      </c>
      <c r="C242">
        <v>39.233445514733901</v>
      </c>
      <c r="D242" t="s">
        <v>107</v>
      </c>
    </row>
    <row r="243" spans="1:4" x14ac:dyDescent="0.35">
      <c r="A243" t="s">
        <v>34</v>
      </c>
      <c r="B243" s="88">
        <v>45703</v>
      </c>
      <c r="C243">
        <v>39.940472941309501</v>
      </c>
      <c r="D243" t="s">
        <v>107</v>
      </c>
    </row>
    <row r="244" spans="1:4" x14ac:dyDescent="0.35">
      <c r="A244" t="s">
        <v>34</v>
      </c>
      <c r="B244" s="88">
        <v>45792</v>
      </c>
      <c r="C244">
        <v>42.650867297181399</v>
      </c>
      <c r="D244" t="s">
        <v>107</v>
      </c>
    </row>
    <row r="245" spans="1:4" x14ac:dyDescent="0.35">
      <c r="A245" t="s">
        <v>34</v>
      </c>
      <c r="B245" s="88">
        <v>45884</v>
      </c>
      <c r="C245">
        <v>42.785559223616602</v>
      </c>
      <c r="D245" t="s">
        <v>107</v>
      </c>
    </row>
    <row r="246" spans="1:4" x14ac:dyDescent="0.35">
      <c r="A246" t="s">
        <v>34</v>
      </c>
      <c r="B246" s="88">
        <v>45976</v>
      </c>
      <c r="C246">
        <v>42.851602831420898</v>
      </c>
      <c r="D246" t="s">
        <v>107</v>
      </c>
    </row>
    <row r="247" spans="1:4" x14ac:dyDescent="0.35">
      <c r="A247" t="s">
        <v>34</v>
      </c>
      <c r="B247" s="88">
        <v>46068</v>
      </c>
      <c r="C247">
        <v>44.403546346386399</v>
      </c>
      <c r="D247" t="s">
        <v>107</v>
      </c>
    </row>
    <row r="248" spans="1:4" x14ac:dyDescent="0.35">
      <c r="A248" t="s">
        <v>34</v>
      </c>
      <c r="B248" s="88">
        <v>46157</v>
      </c>
      <c r="C248">
        <v>45.554292718028201</v>
      </c>
      <c r="D248" t="s">
        <v>107</v>
      </c>
    </row>
    <row r="249" spans="1:4" x14ac:dyDescent="0.35">
      <c r="A249" t="s">
        <v>34</v>
      </c>
      <c r="B249" s="88">
        <v>46249</v>
      </c>
      <c r="C249">
        <v>45.700240284755097</v>
      </c>
      <c r="D249" t="s">
        <v>107</v>
      </c>
    </row>
    <row r="250" spans="1:4" x14ac:dyDescent="0.35">
      <c r="A250" t="s">
        <v>29</v>
      </c>
      <c r="B250" s="88">
        <v>43511</v>
      </c>
      <c r="C250">
        <v>34.793062682113387</v>
      </c>
      <c r="D250" t="s">
        <v>107</v>
      </c>
    </row>
    <row r="251" spans="1:4" x14ac:dyDescent="0.35">
      <c r="A251" t="s">
        <v>29</v>
      </c>
      <c r="B251" s="88">
        <v>43600</v>
      </c>
      <c r="C251">
        <v>34.98527394076924</v>
      </c>
      <c r="D251" t="s">
        <v>107</v>
      </c>
    </row>
    <row r="252" spans="1:4" x14ac:dyDescent="0.35">
      <c r="A252" t="s">
        <v>29</v>
      </c>
      <c r="B252" s="88">
        <v>43692</v>
      </c>
      <c r="C252">
        <v>34.804965112473909</v>
      </c>
      <c r="D252" t="s">
        <v>107</v>
      </c>
    </row>
    <row r="253" spans="1:4" x14ac:dyDescent="0.35">
      <c r="A253" t="s">
        <v>29</v>
      </c>
      <c r="B253" s="88">
        <v>43784</v>
      </c>
      <c r="C253">
        <v>35.479230987545407</v>
      </c>
      <c r="D253" t="s">
        <v>107</v>
      </c>
    </row>
    <row r="254" spans="1:4" x14ac:dyDescent="0.35">
      <c r="A254" t="s">
        <v>29</v>
      </c>
      <c r="B254" s="88">
        <v>43876</v>
      </c>
      <c r="C254">
        <v>35.726375890819654</v>
      </c>
      <c r="D254" t="s">
        <v>107</v>
      </c>
    </row>
    <row r="255" spans="1:4" x14ac:dyDescent="0.35">
      <c r="A255" t="s">
        <v>29</v>
      </c>
      <c r="B255" s="88">
        <v>43966</v>
      </c>
      <c r="C255">
        <v>35.203923526184255</v>
      </c>
      <c r="D255" t="s">
        <v>107</v>
      </c>
    </row>
    <row r="256" spans="1:4" x14ac:dyDescent="0.35">
      <c r="A256" t="s">
        <v>29</v>
      </c>
      <c r="B256" s="88">
        <v>44058</v>
      </c>
      <c r="C256">
        <v>35.204921942412199</v>
      </c>
      <c r="D256" t="s">
        <v>107</v>
      </c>
    </row>
    <row r="257" spans="1:4" x14ac:dyDescent="0.35">
      <c r="A257" t="s">
        <v>29</v>
      </c>
      <c r="B257" s="88">
        <v>44150</v>
      </c>
      <c r="C257">
        <v>35.19541250755649</v>
      </c>
      <c r="D257" t="s">
        <v>107</v>
      </c>
    </row>
    <row r="258" spans="1:4" x14ac:dyDescent="0.35">
      <c r="A258" t="s">
        <v>29</v>
      </c>
      <c r="B258" s="88">
        <v>44242</v>
      </c>
      <c r="C258">
        <v>34.034722740565286</v>
      </c>
      <c r="D258" t="s">
        <v>107</v>
      </c>
    </row>
    <row r="259" spans="1:4" x14ac:dyDescent="0.35">
      <c r="A259" t="s">
        <v>29</v>
      </c>
      <c r="B259" s="88">
        <v>44331</v>
      </c>
      <c r="C259">
        <v>34.958020996295957</v>
      </c>
      <c r="D259" t="s">
        <v>107</v>
      </c>
    </row>
    <row r="260" spans="1:4" x14ac:dyDescent="0.35">
      <c r="A260" t="s">
        <v>29</v>
      </c>
      <c r="B260" s="88">
        <v>44423</v>
      </c>
      <c r="C260">
        <v>35.370618812164842</v>
      </c>
      <c r="D260" t="s">
        <v>107</v>
      </c>
    </row>
    <row r="261" spans="1:4" x14ac:dyDescent="0.35">
      <c r="A261" t="s">
        <v>29</v>
      </c>
      <c r="B261" s="88">
        <v>44515</v>
      </c>
      <c r="C261">
        <v>35.882013421038955</v>
      </c>
      <c r="D261" t="s">
        <v>107</v>
      </c>
    </row>
    <row r="262" spans="1:4" x14ac:dyDescent="0.35">
      <c r="A262" t="s">
        <v>29</v>
      </c>
      <c r="B262" s="88">
        <v>44607</v>
      </c>
      <c r="C262">
        <v>36.138785099018577</v>
      </c>
      <c r="D262" t="s">
        <v>107</v>
      </c>
    </row>
    <row r="263" spans="1:4" x14ac:dyDescent="0.35">
      <c r="A263" t="s">
        <v>29</v>
      </c>
      <c r="B263" s="88">
        <v>44696</v>
      </c>
      <c r="C263">
        <v>36.564950754109439</v>
      </c>
      <c r="D263" t="s">
        <v>107</v>
      </c>
    </row>
    <row r="264" spans="1:4" x14ac:dyDescent="0.35">
      <c r="A264" t="s">
        <v>29</v>
      </c>
      <c r="B264" s="88">
        <v>44788</v>
      </c>
      <c r="C264">
        <v>36.950682403372163</v>
      </c>
      <c r="D264" t="s">
        <v>107</v>
      </c>
    </row>
    <row r="265" spans="1:4" x14ac:dyDescent="0.35">
      <c r="A265" t="s">
        <v>29</v>
      </c>
      <c r="B265" s="88">
        <v>44880</v>
      </c>
      <c r="C265">
        <v>37.133127998053872</v>
      </c>
      <c r="D265" t="s">
        <v>107</v>
      </c>
    </row>
    <row r="266" spans="1:4" x14ac:dyDescent="0.35">
      <c r="A266" t="s">
        <v>29</v>
      </c>
      <c r="B266" s="88">
        <v>44972</v>
      </c>
      <c r="C266">
        <v>37.157336685169284</v>
      </c>
      <c r="D266" t="s">
        <v>107</v>
      </c>
    </row>
    <row r="267" spans="1:4" x14ac:dyDescent="0.35">
      <c r="A267" t="s">
        <v>29</v>
      </c>
      <c r="B267" s="88">
        <v>45061</v>
      </c>
      <c r="C267">
        <v>37.182065655327499</v>
      </c>
      <c r="D267" t="s">
        <v>107</v>
      </c>
    </row>
    <row r="268" spans="1:4" x14ac:dyDescent="0.35">
      <c r="A268" t="s">
        <v>29</v>
      </c>
      <c r="B268" s="88">
        <v>45153</v>
      </c>
      <c r="C268">
        <v>37.1391756176168</v>
      </c>
      <c r="D268" t="s">
        <v>107</v>
      </c>
    </row>
    <row r="269" spans="1:4" x14ac:dyDescent="0.35">
      <c r="A269" t="s">
        <v>29</v>
      </c>
      <c r="B269" s="88">
        <v>45245</v>
      </c>
      <c r="C269">
        <v>37.608724074803</v>
      </c>
      <c r="D269" t="s">
        <v>107</v>
      </c>
    </row>
    <row r="270" spans="1:4" x14ac:dyDescent="0.35">
      <c r="A270" t="s">
        <v>29</v>
      </c>
      <c r="B270" s="88">
        <v>45337</v>
      </c>
      <c r="C270">
        <v>37.596528486894002</v>
      </c>
      <c r="D270" t="s">
        <v>107</v>
      </c>
    </row>
    <row r="271" spans="1:4" x14ac:dyDescent="0.35">
      <c r="A271" t="s">
        <v>29</v>
      </c>
      <c r="B271" s="88">
        <v>45427</v>
      </c>
      <c r="C271">
        <v>39.268472652549498</v>
      </c>
      <c r="D271" t="s">
        <v>107</v>
      </c>
    </row>
    <row r="272" spans="1:4" x14ac:dyDescent="0.35">
      <c r="A272" t="s">
        <v>29</v>
      </c>
      <c r="B272" s="88">
        <v>45519</v>
      </c>
      <c r="C272">
        <v>39.619805850480297</v>
      </c>
      <c r="D272" t="s">
        <v>107</v>
      </c>
    </row>
    <row r="273" spans="1:4" x14ac:dyDescent="0.35">
      <c r="A273" t="s">
        <v>29</v>
      </c>
      <c r="B273" s="88">
        <v>45611</v>
      </c>
      <c r="C273">
        <v>40.370059454135401</v>
      </c>
      <c r="D273" t="s">
        <v>107</v>
      </c>
    </row>
    <row r="274" spans="1:4" x14ac:dyDescent="0.35">
      <c r="A274" t="s">
        <v>29</v>
      </c>
      <c r="B274" s="88">
        <v>45703</v>
      </c>
      <c r="C274">
        <v>40.648140846773103</v>
      </c>
      <c r="D274" t="s">
        <v>107</v>
      </c>
    </row>
    <row r="275" spans="1:4" x14ac:dyDescent="0.35">
      <c r="A275" t="s">
        <v>29</v>
      </c>
      <c r="B275" s="88">
        <v>45792</v>
      </c>
      <c r="C275">
        <v>45.021346357695201</v>
      </c>
      <c r="D275" t="s">
        <v>107</v>
      </c>
    </row>
    <row r="276" spans="1:4" x14ac:dyDescent="0.35">
      <c r="A276" t="s">
        <v>29</v>
      </c>
      <c r="B276" s="88">
        <v>45884</v>
      </c>
      <c r="C276">
        <v>45.295283283655301</v>
      </c>
      <c r="D276" t="s">
        <v>107</v>
      </c>
    </row>
    <row r="277" spans="1:4" x14ac:dyDescent="0.35">
      <c r="A277" t="s">
        <v>29</v>
      </c>
      <c r="B277" s="88">
        <v>45976</v>
      </c>
      <c r="C277">
        <v>45.273601086270098</v>
      </c>
      <c r="D277" t="s">
        <v>107</v>
      </c>
    </row>
    <row r="278" spans="1:4" x14ac:dyDescent="0.35">
      <c r="A278" t="s">
        <v>29</v>
      </c>
      <c r="B278" s="88">
        <v>46068</v>
      </c>
      <c r="C278">
        <v>46.013048819595603</v>
      </c>
      <c r="D278" t="s">
        <v>107</v>
      </c>
    </row>
    <row r="279" spans="1:4" x14ac:dyDescent="0.35">
      <c r="A279" t="s">
        <v>29</v>
      </c>
      <c r="B279" s="88">
        <v>46157</v>
      </c>
      <c r="C279">
        <v>48.250593682947198</v>
      </c>
      <c r="D279" t="s">
        <v>107</v>
      </c>
    </row>
    <row r="280" spans="1:4" x14ac:dyDescent="0.35">
      <c r="A280" t="s">
        <v>29</v>
      </c>
      <c r="B280" s="88">
        <v>46249</v>
      </c>
      <c r="C280">
        <v>48.3696624320296</v>
      </c>
      <c r="D280" t="s">
        <v>107</v>
      </c>
    </row>
    <row r="281" spans="1:4" x14ac:dyDescent="0.35">
      <c r="A281" t="s">
        <v>36</v>
      </c>
      <c r="B281" s="88">
        <v>43511</v>
      </c>
      <c r="C281">
        <v>28.289629384460145</v>
      </c>
      <c r="D281" t="s">
        <v>107</v>
      </c>
    </row>
    <row r="282" spans="1:4" x14ac:dyDescent="0.35">
      <c r="A282" t="s">
        <v>36</v>
      </c>
      <c r="B282" s="88">
        <v>43600</v>
      </c>
      <c r="C282">
        <v>28.518597686931194</v>
      </c>
      <c r="D282" t="s">
        <v>107</v>
      </c>
    </row>
    <row r="283" spans="1:4" x14ac:dyDescent="0.35">
      <c r="A283" t="s">
        <v>36</v>
      </c>
      <c r="B283" s="88">
        <v>43692</v>
      </c>
      <c r="C283">
        <v>28.734064706176504</v>
      </c>
      <c r="D283" t="s">
        <v>107</v>
      </c>
    </row>
    <row r="284" spans="1:4" x14ac:dyDescent="0.35">
      <c r="A284" t="s">
        <v>36</v>
      </c>
      <c r="B284" s="88">
        <v>43784</v>
      </c>
      <c r="C284">
        <v>29.265244581328933</v>
      </c>
      <c r="D284" t="s">
        <v>107</v>
      </c>
    </row>
    <row r="285" spans="1:4" x14ac:dyDescent="0.35">
      <c r="A285" t="s">
        <v>36</v>
      </c>
      <c r="B285" s="88">
        <v>43876</v>
      </c>
      <c r="C285">
        <v>29.458346852576323</v>
      </c>
      <c r="D285" t="s">
        <v>107</v>
      </c>
    </row>
    <row r="286" spans="1:4" x14ac:dyDescent="0.35">
      <c r="A286" t="s">
        <v>36</v>
      </c>
      <c r="B286" s="88">
        <v>43966</v>
      </c>
      <c r="C286">
        <v>29.697133002469684</v>
      </c>
      <c r="D286" t="s">
        <v>107</v>
      </c>
    </row>
    <row r="287" spans="1:4" x14ac:dyDescent="0.35">
      <c r="A287" t="s">
        <v>36</v>
      </c>
      <c r="B287" s="88">
        <v>44058</v>
      </c>
      <c r="C287">
        <v>29.703804920763378</v>
      </c>
      <c r="D287" t="s">
        <v>107</v>
      </c>
    </row>
    <row r="288" spans="1:4" x14ac:dyDescent="0.35">
      <c r="A288" t="s">
        <v>36</v>
      </c>
      <c r="B288" s="88">
        <v>44150</v>
      </c>
      <c r="C288">
        <v>29.466911754761171</v>
      </c>
      <c r="D288" t="s">
        <v>107</v>
      </c>
    </row>
    <row r="289" spans="1:4" x14ac:dyDescent="0.35">
      <c r="A289" t="s">
        <v>36</v>
      </c>
      <c r="B289" s="88">
        <v>44242</v>
      </c>
      <c r="C289">
        <v>29.765294533229408</v>
      </c>
      <c r="D289" t="s">
        <v>107</v>
      </c>
    </row>
    <row r="290" spans="1:4" x14ac:dyDescent="0.35">
      <c r="A290" t="s">
        <v>36</v>
      </c>
      <c r="B290" s="88">
        <v>44331</v>
      </c>
      <c r="C290">
        <v>29.983193908490367</v>
      </c>
      <c r="D290" t="s">
        <v>107</v>
      </c>
    </row>
    <row r="291" spans="1:4" x14ac:dyDescent="0.35">
      <c r="A291" t="s">
        <v>36</v>
      </c>
      <c r="B291" s="88">
        <v>44423</v>
      </c>
      <c r="C291">
        <v>30.534694027315808</v>
      </c>
      <c r="D291" t="s">
        <v>107</v>
      </c>
    </row>
    <row r="292" spans="1:4" x14ac:dyDescent="0.35">
      <c r="A292" t="s">
        <v>36</v>
      </c>
      <c r="B292" s="88">
        <v>44515</v>
      </c>
      <c r="C292">
        <v>30.928150533638991</v>
      </c>
      <c r="D292" t="s">
        <v>107</v>
      </c>
    </row>
    <row r="293" spans="1:4" x14ac:dyDescent="0.35">
      <c r="A293" t="s">
        <v>36</v>
      </c>
      <c r="B293" s="88">
        <v>44607</v>
      </c>
      <c r="C293">
        <v>31.561180346389722</v>
      </c>
      <c r="D293" t="s">
        <v>107</v>
      </c>
    </row>
    <row r="294" spans="1:4" x14ac:dyDescent="0.35">
      <c r="A294" t="s">
        <v>36</v>
      </c>
      <c r="B294" s="88">
        <v>44696</v>
      </c>
      <c r="C294">
        <v>32.379883959825925</v>
      </c>
      <c r="D294" t="s">
        <v>107</v>
      </c>
    </row>
    <row r="295" spans="1:4" x14ac:dyDescent="0.35">
      <c r="A295" t="s">
        <v>36</v>
      </c>
      <c r="B295" s="88">
        <v>44788</v>
      </c>
      <c r="C295">
        <v>32.684633931866919</v>
      </c>
      <c r="D295" t="s">
        <v>107</v>
      </c>
    </row>
    <row r="296" spans="1:4" x14ac:dyDescent="0.35">
      <c r="A296" t="s">
        <v>36</v>
      </c>
      <c r="B296" s="88">
        <v>44880</v>
      </c>
      <c r="C296">
        <v>32.684724470944367</v>
      </c>
      <c r="D296" t="s">
        <v>107</v>
      </c>
    </row>
    <row r="297" spans="1:4" x14ac:dyDescent="0.35">
      <c r="A297" t="s">
        <v>36</v>
      </c>
      <c r="B297" s="88">
        <v>44972</v>
      </c>
      <c r="C297">
        <v>33.431353923408381</v>
      </c>
      <c r="D297" t="s">
        <v>107</v>
      </c>
    </row>
    <row r="298" spans="1:4" x14ac:dyDescent="0.35">
      <c r="A298" t="s">
        <v>36</v>
      </c>
      <c r="B298" s="88">
        <v>45061</v>
      </c>
      <c r="C298">
        <v>34.625148209294402</v>
      </c>
      <c r="D298" t="s">
        <v>107</v>
      </c>
    </row>
    <row r="299" spans="1:4" x14ac:dyDescent="0.35">
      <c r="A299" t="s">
        <v>36</v>
      </c>
      <c r="B299" s="88">
        <v>45153</v>
      </c>
      <c r="C299">
        <v>34.669651164624597</v>
      </c>
      <c r="D299" t="s">
        <v>107</v>
      </c>
    </row>
    <row r="300" spans="1:4" x14ac:dyDescent="0.35">
      <c r="A300" t="s">
        <v>36</v>
      </c>
      <c r="B300" s="88">
        <v>45245</v>
      </c>
      <c r="C300">
        <v>34.963013850266101</v>
      </c>
      <c r="D300" t="s">
        <v>107</v>
      </c>
    </row>
    <row r="301" spans="1:4" x14ac:dyDescent="0.35">
      <c r="A301" t="s">
        <v>36</v>
      </c>
      <c r="B301" s="88">
        <v>45337</v>
      </c>
      <c r="C301">
        <v>35.167937604024999</v>
      </c>
      <c r="D301" t="s">
        <v>107</v>
      </c>
    </row>
    <row r="302" spans="1:4" x14ac:dyDescent="0.35">
      <c r="A302" t="s">
        <v>36</v>
      </c>
      <c r="B302" s="88">
        <v>45427</v>
      </c>
      <c r="C302">
        <v>36.129396345186997</v>
      </c>
      <c r="D302" t="s">
        <v>107</v>
      </c>
    </row>
    <row r="303" spans="1:4" x14ac:dyDescent="0.35">
      <c r="A303" t="s">
        <v>36</v>
      </c>
      <c r="B303" s="88">
        <v>45519</v>
      </c>
      <c r="C303">
        <v>36.1401934904017</v>
      </c>
      <c r="D303" t="s">
        <v>107</v>
      </c>
    </row>
    <row r="304" spans="1:4" x14ac:dyDescent="0.35">
      <c r="A304" t="s">
        <v>36</v>
      </c>
      <c r="B304" s="88">
        <v>45611</v>
      </c>
      <c r="C304">
        <v>36.9474001112685</v>
      </c>
      <c r="D304" t="s">
        <v>107</v>
      </c>
    </row>
    <row r="305" spans="1:4" x14ac:dyDescent="0.35">
      <c r="A305" t="s">
        <v>36</v>
      </c>
      <c r="B305" s="88">
        <v>45703</v>
      </c>
      <c r="C305">
        <v>37.601445522087197</v>
      </c>
      <c r="D305" t="s">
        <v>107</v>
      </c>
    </row>
    <row r="306" spans="1:4" x14ac:dyDescent="0.35">
      <c r="A306" t="s">
        <v>36</v>
      </c>
      <c r="B306" s="88">
        <v>45792</v>
      </c>
      <c r="C306">
        <v>40.908080064994202</v>
      </c>
      <c r="D306" t="s">
        <v>107</v>
      </c>
    </row>
    <row r="307" spans="1:4" x14ac:dyDescent="0.35">
      <c r="A307" t="s">
        <v>36</v>
      </c>
      <c r="B307" s="88">
        <v>45884</v>
      </c>
      <c r="C307">
        <v>41.371886984403197</v>
      </c>
      <c r="D307" t="s">
        <v>107</v>
      </c>
    </row>
    <row r="308" spans="1:4" x14ac:dyDescent="0.35">
      <c r="A308" t="s">
        <v>36</v>
      </c>
      <c r="B308" s="88">
        <v>45976</v>
      </c>
      <c r="C308">
        <v>41.373606010882497</v>
      </c>
      <c r="D308" t="s">
        <v>107</v>
      </c>
    </row>
    <row r="309" spans="1:4" x14ac:dyDescent="0.35">
      <c r="A309" t="s">
        <v>36</v>
      </c>
      <c r="B309" s="88">
        <v>46068</v>
      </c>
      <c r="C309">
        <v>42.259787961678903</v>
      </c>
      <c r="D309" t="s">
        <v>107</v>
      </c>
    </row>
    <row r="310" spans="1:4" x14ac:dyDescent="0.35">
      <c r="A310" t="s">
        <v>36</v>
      </c>
      <c r="B310" s="88">
        <v>46157</v>
      </c>
      <c r="C310">
        <v>44.433220719369302</v>
      </c>
      <c r="D310" t="s">
        <v>107</v>
      </c>
    </row>
    <row r="311" spans="1:4" x14ac:dyDescent="0.35">
      <c r="A311" t="s">
        <v>36</v>
      </c>
      <c r="B311" s="88">
        <v>46249</v>
      </c>
      <c r="C311">
        <v>44.682690392549901</v>
      </c>
      <c r="D311" t="s">
        <v>107</v>
      </c>
    </row>
    <row r="312" spans="1:4" x14ac:dyDescent="0.35">
      <c r="A312" t="s">
        <v>30</v>
      </c>
      <c r="B312" s="88">
        <v>43511</v>
      </c>
      <c r="C312">
        <v>27.663913238415866</v>
      </c>
      <c r="D312" t="s">
        <v>107</v>
      </c>
    </row>
    <row r="313" spans="1:4" x14ac:dyDescent="0.35">
      <c r="A313" t="s">
        <v>30</v>
      </c>
      <c r="B313" s="88">
        <v>43600</v>
      </c>
      <c r="C313">
        <v>28.071544402982443</v>
      </c>
      <c r="D313" t="s">
        <v>107</v>
      </c>
    </row>
    <row r="314" spans="1:4" x14ac:dyDescent="0.35">
      <c r="A314" t="s">
        <v>30</v>
      </c>
      <c r="B314" s="88">
        <v>43692</v>
      </c>
      <c r="C314">
        <v>28.25336824744209</v>
      </c>
      <c r="D314" t="s">
        <v>107</v>
      </c>
    </row>
    <row r="315" spans="1:4" x14ac:dyDescent="0.35">
      <c r="A315" t="s">
        <v>30</v>
      </c>
      <c r="B315" s="88">
        <v>43784</v>
      </c>
      <c r="C315">
        <v>28.437718844278368</v>
      </c>
      <c r="D315" t="s">
        <v>107</v>
      </c>
    </row>
    <row r="316" spans="1:4" x14ac:dyDescent="0.35">
      <c r="A316" t="s">
        <v>30</v>
      </c>
      <c r="B316" s="88">
        <v>43876</v>
      </c>
      <c r="C316">
        <v>28.579555014559428</v>
      </c>
      <c r="D316" t="s">
        <v>107</v>
      </c>
    </row>
    <row r="317" spans="1:4" x14ac:dyDescent="0.35">
      <c r="A317" t="s">
        <v>30</v>
      </c>
      <c r="B317" s="88">
        <v>43966</v>
      </c>
      <c r="C317">
        <v>28.12149043274847</v>
      </c>
      <c r="D317" t="s">
        <v>107</v>
      </c>
    </row>
    <row r="318" spans="1:4" x14ac:dyDescent="0.35">
      <c r="A318" t="s">
        <v>30</v>
      </c>
      <c r="B318" s="88">
        <v>44058</v>
      </c>
      <c r="C318">
        <v>28.101768075946303</v>
      </c>
      <c r="D318" t="s">
        <v>107</v>
      </c>
    </row>
    <row r="319" spans="1:4" x14ac:dyDescent="0.35">
      <c r="A319" t="s">
        <v>30</v>
      </c>
      <c r="B319" s="88">
        <v>44150</v>
      </c>
      <c r="C319">
        <v>28.069359775201939</v>
      </c>
      <c r="D319" t="s">
        <v>107</v>
      </c>
    </row>
    <row r="320" spans="1:4" x14ac:dyDescent="0.35">
      <c r="A320" t="s">
        <v>30</v>
      </c>
      <c r="B320" s="88">
        <v>44242</v>
      </c>
      <c r="C320">
        <v>28.089813065984142</v>
      </c>
      <c r="D320" t="s">
        <v>107</v>
      </c>
    </row>
    <row r="321" spans="1:4" x14ac:dyDescent="0.35">
      <c r="A321" t="s">
        <v>30</v>
      </c>
      <c r="B321" s="88">
        <v>44331</v>
      </c>
      <c r="C321">
        <v>28.110954814690491</v>
      </c>
      <c r="D321" t="s">
        <v>107</v>
      </c>
    </row>
    <row r="322" spans="1:4" x14ac:dyDescent="0.35">
      <c r="A322" t="s">
        <v>30</v>
      </c>
      <c r="B322" s="88">
        <v>44423</v>
      </c>
      <c r="C322">
        <v>28.137088308518287</v>
      </c>
      <c r="D322" t="s">
        <v>107</v>
      </c>
    </row>
    <row r="323" spans="1:4" x14ac:dyDescent="0.35">
      <c r="A323" t="s">
        <v>30</v>
      </c>
      <c r="B323" s="88">
        <v>44515</v>
      </c>
      <c r="C323">
        <v>28.075792918068032</v>
      </c>
      <c r="D323" t="s">
        <v>107</v>
      </c>
    </row>
    <row r="324" spans="1:4" x14ac:dyDescent="0.35">
      <c r="A324" t="s">
        <v>30</v>
      </c>
      <c r="B324" s="88">
        <v>44607</v>
      </c>
      <c r="C324">
        <v>28.199987703711649</v>
      </c>
      <c r="D324" t="s">
        <v>107</v>
      </c>
    </row>
    <row r="325" spans="1:4" x14ac:dyDescent="0.35">
      <c r="A325" t="s">
        <v>30</v>
      </c>
      <c r="B325" s="88">
        <v>44696</v>
      </c>
      <c r="C325">
        <v>28.752154512545729</v>
      </c>
      <c r="D325" t="s">
        <v>107</v>
      </c>
    </row>
    <row r="326" spans="1:4" x14ac:dyDescent="0.35">
      <c r="A326" t="s">
        <v>30</v>
      </c>
      <c r="B326" s="88">
        <v>44788</v>
      </c>
      <c r="C326">
        <v>28.77087626761492</v>
      </c>
      <c r="D326" t="s">
        <v>107</v>
      </c>
    </row>
    <row r="327" spans="1:4" x14ac:dyDescent="0.35">
      <c r="A327" t="s">
        <v>30</v>
      </c>
      <c r="B327" s="88">
        <v>44880</v>
      </c>
      <c r="C327">
        <v>28.752161242186428</v>
      </c>
      <c r="D327" t="s">
        <v>107</v>
      </c>
    </row>
    <row r="328" spans="1:4" x14ac:dyDescent="0.35">
      <c r="A328" t="s">
        <v>30</v>
      </c>
      <c r="B328" s="88">
        <v>44972</v>
      </c>
      <c r="C328">
        <v>28.790682323640869</v>
      </c>
      <c r="D328" t="s">
        <v>107</v>
      </c>
    </row>
    <row r="329" spans="1:4" x14ac:dyDescent="0.35">
      <c r="A329" t="s">
        <v>30</v>
      </c>
      <c r="B329" s="88">
        <v>45061</v>
      </c>
      <c r="C329">
        <v>30.1873000223693</v>
      </c>
      <c r="D329" t="s">
        <v>107</v>
      </c>
    </row>
    <row r="330" spans="1:4" x14ac:dyDescent="0.35">
      <c r="A330" t="s">
        <v>30</v>
      </c>
      <c r="B330" s="88">
        <v>45153</v>
      </c>
      <c r="C330">
        <v>30.388359899654699</v>
      </c>
      <c r="D330" t="s">
        <v>107</v>
      </c>
    </row>
    <row r="331" spans="1:4" x14ac:dyDescent="0.35">
      <c r="A331" t="s">
        <v>30</v>
      </c>
      <c r="B331" s="88">
        <v>45245</v>
      </c>
      <c r="C331">
        <v>30.471232889804</v>
      </c>
      <c r="D331" t="s">
        <v>107</v>
      </c>
    </row>
    <row r="332" spans="1:4" x14ac:dyDescent="0.35">
      <c r="A332" t="s">
        <v>30</v>
      </c>
      <c r="B332" s="88">
        <v>45337</v>
      </c>
      <c r="C332">
        <v>30.541775232580299</v>
      </c>
      <c r="D332" t="s">
        <v>107</v>
      </c>
    </row>
    <row r="333" spans="1:4" x14ac:dyDescent="0.35">
      <c r="A333" t="s">
        <v>30</v>
      </c>
      <c r="B333" s="88">
        <v>45427</v>
      </c>
      <c r="C333">
        <v>32.080364717824203</v>
      </c>
      <c r="D333" t="s">
        <v>107</v>
      </c>
    </row>
    <row r="334" spans="1:4" x14ac:dyDescent="0.35">
      <c r="A334" t="s">
        <v>30</v>
      </c>
      <c r="B334" s="88">
        <v>45519</v>
      </c>
      <c r="C334">
        <v>32.252094990488203</v>
      </c>
      <c r="D334" t="s">
        <v>107</v>
      </c>
    </row>
    <row r="335" spans="1:4" x14ac:dyDescent="0.35">
      <c r="A335" t="s">
        <v>30</v>
      </c>
      <c r="B335" s="88">
        <v>45611</v>
      </c>
      <c r="C335">
        <v>32.4873299915552</v>
      </c>
      <c r="D335" t="s">
        <v>107</v>
      </c>
    </row>
    <row r="336" spans="1:4" x14ac:dyDescent="0.35">
      <c r="A336" t="s">
        <v>30</v>
      </c>
      <c r="B336" s="88">
        <v>45703</v>
      </c>
      <c r="C336">
        <v>32.667139695210899</v>
      </c>
      <c r="D336" t="s">
        <v>107</v>
      </c>
    </row>
    <row r="337" spans="1:4" x14ac:dyDescent="0.35">
      <c r="A337" t="s">
        <v>30</v>
      </c>
      <c r="B337" s="88">
        <v>45792</v>
      </c>
      <c r="C337">
        <v>35.065994177381498</v>
      </c>
      <c r="D337" t="s">
        <v>107</v>
      </c>
    </row>
    <row r="338" spans="1:4" x14ac:dyDescent="0.35">
      <c r="A338" t="s">
        <v>30</v>
      </c>
      <c r="B338" s="88">
        <v>45884</v>
      </c>
      <c r="C338">
        <v>35.135101205404403</v>
      </c>
      <c r="D338" t="s">
        <v>107</v>
      </c>
    </row>
    <row r="339" spans="1:4" x14ac:dyDescent="0.35">
      <c r="A339" t="s">
        <v>30</v>
      </c>
      <c r="B339" s="88">
        <v>45976</v>
      </c>
      <c r="C339">
        <v>35.138735630389498</v>
      </c>
      <c r="D339" t="s">
        <v>107</v>
      </c>
    </row>
    <row r="340" spans="1:4" x14ac:dyDescent="0.35">
      <c r="A340" t="s">
        <v>30</v>
      </c>
      <c r="B340" s="88">
        <v>46068</v>
      </c>
      <c r="C340">
        <v>35.697015077033697</v>
      </c>
      <c r="D340" t="s">
        <v>107</v>
      </c>
    </row>
    <row r="341" spans="1:4" x14ac:dyDescent="0.35">
      <c r="A341" t="s">
        <v>30</v>
      </c>
      <c r="B341" s="88">
        <v>46157</v>
      </c>
      <c r="C341">
        <v>38.056037941968199</v>
      </c>
      <c r="D341" t="s">
        <v>107</v>
      </c>
    </row>
    <row r="342" spans="1:4" x14ac:dyDescent="0.35">
      <c r="A342" t="s">
        <v>30</v>
      </c>
      <c r="B342" s="88">
        <v>46249</v>
      </c>
      <c r="C342">
        <v>38.1567024445648</v>
      </c>
      <c r="D342" t="s">
        <v>107</v>
      </c>
    </row>
    <row r="343" spans="1:4" x14ac:dyDescent="0.35">
      <c r="A343" t="s">
        <v>32</v>
      </c>
      <c r="B343" s="88">
        <v>43511</v>
      </c>
      <c r="C343">
        <v>27.71933023042633</v>
      </c>
      <c r="D343" t="s">
        <v>107</v>
      </c>
    </row>
    <row r="344" spans="1:4" x14ac:dyDescent="0.35">
      <c r="A344" t="s">
        <v>32</v>
      </c>
      <c r="B344" s="88">
        <v>43600</v>
      </c>
      <c r="C344">
        <v>27.831906048010133</v>
      </c>
      <c r="D344" t="s">
        <v>107</v>
      </c>
    </row>
    <row r="345" spans="1:4" x14ac:dyDescent="0.35">
      <c r="A345" t="s">
        <v>32</v>
      </c>
      <c r="B345" s="88">
        <v>43692</v>
      </c>
      <c r="C345">
        <v>28.161472140039844</v>
      </c>
      <c r="D345" t="s">
        <v>107</v>
      </c>
    </row>
    <row r="346" spans="1:4" x14ac:dyDescent="0.35">
      <c r="A346" t="s">
        <v>32</v>
      </c>
      <c r="B346" s="88">
        <v>43784</v>
      </c>
      <c r="C346">
        <v>28.60581329672511</v>
      </c>
      <c r="D346" t="s">
        <v>107</v>
      </c>
    </row>
    <row r="347" spans="1:4" x14ac:dyDescent="0.35">
      <c r="A347" t="s">
        <v>32</v>
      </c>
      <c r="B347" s="88">
        <v>43876</v>
      </c>
      <c r="C347">
        <v>28.75932288631974</v>
      </c>
      <c r="D347" t="s">
        <v>107</v>
      </c>
    </row>
    <row r="348" spans="1:4" x14ac:dyDescent="0.35">
      <c r="A348" t="s">
        <v>32</v>
      </c>
      <c r="B348" s="88">
        <v>43966</v>
      </c>
      <c r="C348">
        <v>28.760418995048052</v>
      </c>
      <c r="D348" t="s">
        <v>107</v>
      </c>
    </row>
    <row r="349" spans="1:4" x14ac:dyDescent="0.35">
      <c r="A349" t="s">
        <v>32</v>
      </c>
      <c r="B349" s="88">
        <v>44058</v>
      </c>
      <c r="C349">
        <v>28.755142545169171</v>
      </c>
      <c r="D349" t="s">
        <v>107</v>
      </c>
    </row>
    <row r="350" spans="1:4" x14ac:dyDescent="0.35">
      <c r="A350" t="s">
        <v>32</v>
      </c>
      <c r="B350" s="88">
        <v>44150</v>
      </c>
      <c r="C350">
        <v>27.842364260003972</v>
      </c>
      <c r="D350" t="s">
        <v>107</v>
      </c>
    </row>
    <row r="351" spans="1:4" x14ac:dyDescent="0.35">
      <c r="A351" t="s">
        <v>32</v>
      </c>
      <c r="B351" s="88">
        <v>44242</v>
      </c>
      <c r="C351">
        <v>27.93792620279109</v>
      </c>
      <c r="D351" t="s">
        <v>107</v>
      </c>
    </row>
    <row r="352" spans="1:4" x14ac:dyDescent="0.35">
      <c r="A352" t="s">
        <v>32</v>
      </c>
      <c r="B352" s="88">
        <v>44331</v>
      </c>
      <c r="C352">
        <v>27.77993659398555</v>
      </c>
      <c r="D352" t="s">
        <v>107</v>
      </c>
    </row>
    <row r="353" spans="1:4" x14ac:dyDescent="0.35">
      <c r="A353" t="s">
        <v>32</v>
      </c>
      <c r="B353" s="88">
        <v>44423</v>
      </c>
      <c r="C353">
        <v>27.974869752312546</v>
      </c>
      <c r="D353" t="s">
        <v>107</v>
      </c>
    </row>
    <row r="354" spans="1:4" x14ac:dyDescent="0.35">
      <c r="A354" t="s">
        <v>32</v>
      </c>
      <c r="B354" s="88">
        <v>44515</v>
      </c>
      <c r="C354">
        <v>28.646788109636404</v>
      </c>
      <c r="D354" t="s">
        <v>107</v>
      </c>
    </row>
    <row r="355" spans="1:4" x14ac:dyDescent="0.35">
      <c r="A355" t="s">
        <v>32</v>
      </c>
      <c r="B355" s="88">
        <v>44607</v>
      </c>
      <c r="C355">
        <v>28.808130131873046</v>
      </c>
      <c r="D355" t="s">
        <v>107</v>
      </c>
    </row>
    <row r="356" spans="1:4" x14ac:dyDescent="0.35">
      <c r="A356" t="s">
        <v>32</v>
      </c>
      <c r="B356" s="88">
        <v>44696</v>
      </c>
      <c r="C356">
        <v>29.072872194704992</v>
      </c>
      <c r="D356" t="s">
        <v>107</v>
      </c>
    </row>
    <row r="357" spans="1:4" x14ac:dyDescent="0.35">
      <c r="A357" t="s">
        <v>32</v>
      </c>
      <c r="B357" s="88">
        <v>44788</v>
      </c>
      <c r="C357">
        <v>28.376072031854068</v>
      </c>
      <c r="D357" t="s">
        <v>107</v>
      </c>
    </row>
    <row r="358" spans="1:4" x14ac:dyDescent="0.35">
      <c r="A358" t="s">
        <v>32</v>
      </c>
      <c r="B358" s="88">
        <v>44880</v>
      </c>
      <c r="C358">
        <v>29.86113449405547</v>
      </c>
      <c r="D358" t="s">
        <v>107</v>
      </c>
    </row>
    <row r="359" spans="1:4" x14ac:dyDescent="0.35">
      <c r="A359" t="s">
        <v>32</v>
      </c>
      <c r="B359" s="88">
        <v>44972</v>
      </c>
      <c r="C359">
        <v>29.792593789065094</v>
      </c>
      <c r="D359" t="s">
        <v>107</v>
      </c>
    </row>
    <row r="360" spans="1:4" x14ac:dyDescent="0.35">
      <c r="A360" t="s">
        <v>32</v>
      </c>
      <c r="B360" s="88">
        <v>45061</v>
      </c>
      <c r="C360">
        <v>30.287572483002499</v>
      </c>
      <c r="D360" t="s">
        <v>107</v>
      </c>
    </row>
    <row r="361" spans="1:4" x14ac:dyDescent="0.35">
      <c r="A361" t="s">
        <v>32</v>
      </c>
      <c r="B361" s="88">
        <v>45153</v>
      </c>
      <c r="C361">
        <v>30.387908341728298</v>
      </c>
      <c r="D361" t="s">
        <v>107</v>
      </c>
    </row>
    <row r="362" spans="1:4" x14ac:dyDescent="0.35">
      <c r="A362" t="s">
        <v>32</v>
      </c>
      <c r="B362" s="88">
        <v>45245</v>
      </c>
      <c r="C362">
        <v>30.822838182112498</v>
      </c>
      <c r="D362" t="s">
        <v>107</v>
      </c>
    </row>
    <row r="363" spans="1:4" x14ac:dyDescent="0.35">
      <c r="A363" t="s">
        <v>32</v>
      </c>
      <c r="B363" s="88">
        <v>45337</v>
      </c>
      <c r="C363">
        <v>30.807618484489598</v>
      </c>
      <c r="D363" t="s">
        <v>107</v>
      </c>
    </row>
    <row r="364" spans="1:4" x14ac:dyDescent="0.35">
      <c r="A364" t="s">
        <v>32</v>
      </c>
      <c r="B364" s="88">
        <v>45427</v>
      </c>
      <c r="C364">
        <v>31.798313094195599</v>
      </c>
      <c r="D364" t="s">
        <v>107</v>
      </c>
    </row>
    <row r="365" spans="1:4" x14ac:dyDescent="0.35">
      <c r="A365" t="s">
        <v>32</v>
      </c>
      <c r="B365" s="88">
        <v>45519</v>
      </c>
      <c r="C365">
        <v>32.253475595316402</v>
      </c>
      <c r="D365" t="s">
        <v>107</v>
      </c>
    </row>
    <row r="366" spans="1:4" x14ac:dyDescent="0.35">
      <c r="A366" t="s">
        <v>32</v>
      </c>
      <c r="B366" s="88">
        <v>45611</v>
      </c>
      <c r="C366">
        <v>33.1051847844275</v>
      </c>
      <c r="D366" t="s">
        <v>107</v>
      </c>
    </row>
    <row r="367" spans="1:4" x14ac:dyDescent="0.35">
      <c r="A367" t="s">
        <v>32</v>
      </c>
      <c r="B367" s="88">
        <v>45703</v>
      </c>
      <c r="C367">
        <v>33.244004167643297</v>
      </c>
      <c r="D367" t="s">
        <v>107</v>
      </c>
    </row>
    <row r="368" spans="1:4" x14ac:dyDescent="0.35">
      <c r="A368" t="s">
        <v>32</v>
      </c>
      <c r="B368" s="88">
        <v>45792</v>
      </c>
      <c r="C368">
        <v>36.458914540033398</v>
      </c>
      <c r="D368" t="s">
        <v>107</v>
      </c>
    </row>
    <row r="369" spans="1:4" x14ac:dyDescent="0.35">
      <c r="A369" t="s">
        <v>32</v>
      </c>
      <c r="B369" s="88">
        <v>45884</v>
      </c>
      <c r="C369">
        <v>36.641323695508902</v>
      </c>
      <c r="D369" t="s">
        <v>107</v>
      </c>
    </row>
    <row r="370" spans="1:4" x14ac:dyDescent="0.35">
      <c r="A370" t="s">
        <v>32</v>
      </c>
      <c r="B370" s="88">
        <v>45976</v>
      </c>
      <c r="C370">
        <v>36.609604727732602</v>
      </c>
      <c r="D370" t="s">
        <v>107</v>
      </c>
    </row>
    <row r="371" spans="1:4" x14ac:dyDescent="0.35">
      <c r="A371" t="s">
        <v>32</v>
      </c>
      <c r="B371" s="88">
        <v>46068</v>
      </c>
      <c r="C371">
        <v>37.324004257829102</v>
      </c>
      <c r="D371" t="s">
        <v>107</v>
      </c>
    </row>
    <row r="372" spans="1:4" x14ac:dyDescent="0.35">
      <c r="A372" t="s">
        <v>32</v>
      </c>
      <c r="B372" s="88">
        <v>46157</v>
      </c>
      <c r="C372">
        <v>38.815369620591198</v>
      </c>
      <c r="D372" t="s">
        <v>107</v>
      </c>
    </row>
    <row r="373" spans="1:4" x14ac:dyDescent="0.35">
      <c r="A373" t="s">
        <v>32</v>
      </c>
      <c r="B373" s="88">
        <v>46249</v>
      </c>
      <c r="C373">
        <v>39.019170387541301</v>
      </c>
      <c r="D373" t="s">
        <v>107</v>
      </c>
    </row>
    <row r="374" spans="1:4" x14ac:dyDescent="0.35">
      <c r="A374" t="s">
        <v>38</v>
      </c>
      <c r="B374" s="88">
        <v>43511</v>
      </c>
      <c r="C374">
        <v>29.772777961511572</v>
      </c>
      <c r="D374" t="s">
        <v>107</v>
      </c>
    </row>
    <row r="375" spans="1:4" x14ac:dyDescent="0.35">
      <c r="A375" t="s">
        <v>38</v>
      </c>
      <c r="B375" s="88">
        <v>43600</v>
      </c>
      <c r="C375">
        <v>29.208012752126756</v>
      </c>
      <c r="D375" t="s">
        <v>107</v>
      </c>
    </row>
    <row r="376" spans="1:4" x14ac:dyDescent="0.35">
      <c r="A376" t="s">
        <v>38</v>
      </c>
      <c r="B376" s="88">
        <v>43692</v>
      </c>
      <c r="C376">
        <v>29.222898744356797</v>
      </c>
      <c r="D376" t="s">
        <v>107</v>
      </c>
    </row>
    <row r="377" spans="1:4" x14ac:dyDescent="0.35">
      <c r="A377" t="s">
        <v>38</v>
      </c>
      <c r="B377" s="88">
        <v>43784</v>
      </c>
      <c r="C377">
        <v>29.806973794682978</v>
      </c>
      <c r="D377" t="s">
        <v>107</v>
      </c>
    </row>
    <row r="378" spans="1:4" x14ac:dyDescent="0.35">
      <c r="A378" t="s">
        <v>38</v>
      </c>
      <c r="B378" s="88">
        <v>43876</v>
      </c>
      <c r="C378">
        <v>30.464746437853012</v>
      </c>
      <c r="D378" t="s">
        <v>107</v>
      </c>
    </row>
    <row r="379" spans="1:4" x14ac:dyDescent="0.35">
      <c r="A379" t="s">
        <v>38</v>
      </c>
      <c r="B379" s="88">
        <v>43966</v>
      </c>
      <c r="C379">
        <v>30.058522720991885</v>
      </c>
      <c r="D379" t="s">
        <v>107</v>
      </c>
    </row>
    <row r="380" spans="1:4" x14ac:dyDescent="0.35">
      <c r="A380" t="s">
        <v>38</v>
      </c>
      <c r="B380" s="88">
        <v>44058</v>
      </c>
      <c r="C380">
        <v>30.060930639016977</v>
      </c>
      <c r="D380" t="s">
        <v>107</v>
      </c>
    </row>
    <row r="381" spans="1:4" x14ac:dyDescent="0.35">
      <c r="A381" t="s">
        <v>38</v>
      </c>
      <c r="B381" s="88">
        <v>44150</v>
      </c>
      <c r="C381">
        <v>30.064312803163752</v>
      </c>
      <c r="D381" t="s">
        <v>107</v>
      </c>
    </row>
    <row r="382" spans="1:4" x14ac:dyDescent="0.35">
      <c r="A382" t="s">
        <v>38</v>
      </c>
      <c r="B382" s="88">
        <v>44242</v>
      </c>
      <c r="C382">
        <v>30.751408851480651</v>
      </c>
      <c r="D382" t="s">
        <v>107</v>
      </c>
    </row>
    <row r="383" spans="1:4" x14ac:dyDescent="0.35">
      <c r="A383" t="s">
        <v>38</v>
      </c>
      <c r="B383" s="88">
        <v>44331</v>
      </c>
      <c r="C383">
        <v>31.343681477581921</v>
      </c>
      <c r="D383" t="s">
        <v>107</v>
      </c>
    </row>
    <row r="384" spans="1:4" x14ac:dyDescent="0.35">
      <c r="A384" t="s">
        <v>38</v>
      </c>
      <c r="B384" s="88">
        <v>44423</v>
      </c>
      <c r="C384">
        <v>31.627206624567737</v>
      </c>
      <c r="D384" t="s">
        <v>107</v>
      </c>
    </row>
    <row r="385" spans="1:4" x14ac:dyDescent="0.35">
      <c r="A385" t="s">
        <v>38</v>
      </c>
      <c r="B385" s="88">
        <v>44515</v>
      </c>
      <c r="C385">
        <v>32.144418414589339</v>
      </c>
      <c r="D385" t="s">
        <v>107</v>
      </c>
    </row>
    <row r="386" spans="1:4" x14ac:dyDescent="0.35">
      <c r="A386" t="s">
        <v>38</v>
      </c>
      <c r="B386" s="88">
        <v>44607</v>
      </c>
      <c r="C386">
        <v>32.48608530641927</v>
      </c>
      <c r="D386" t="s">
        <v>107</v>
      </c>
    </row>
    <row r="387" spans="1:4" x14ac:dyDescent="0.35">
      <c r="A387" t="s">
        <v>38</v>
      </c>
      <c r="B387" s="88">
        <v>44696</v>
      </c>
      <c r="C387">
        <v>32.593791689221135</v>
      </c>
      <c r="D387" t="s">
        <v>107</v>
      </c>
    </row>
    <row r="388" spans="1:4" x14ac:dyDescent="0.35">
      <c r="A388" t="s">
        <v>38</v>
      </c>
      <c r="B388" s="88">
        <v>44788</v>
      </c>
      <c r="C388">
        <v>31.5677901042408</v>
      </c>
      <c r="D388" t="s">
        <v>107</v>
      </c>
    </row>
    <row r="389" spans="1:4" x14ac:dyDescent="0.35">
      <c r="A389" t="s">
        <v>38</v>
      </c>
      <c r="B389" s="88">
        <v>44880</v>
      </c>
      <c r="C389">
        <v>32.676776393767945</v>
      </c>
      <c r="D389" t="s">
        <v>107</v>
      </c>
    </row>
    <row r="390" spans="1:4" x14ac:dyDescent="0.35">
      <c r="A390" t="s">
        <v>38</v>
      </c>
      <c r="B390" s="88">
        <v>44972</v>
      </c>
      <c r="C390">
        <v>32.98256398194362</v>
      </c>
      <c r="D390" t="s">
        <v>107</v>
      </c>
    </row>
    <row r="391" spans="1:4" x14ac:dyDescent="0.35">
      <c r="A391" t="s">
        <v>38</v>
      </c>
      <c r="B391" s="88">
        <v>45061</v>
      </c>
      <c r="C391">
        <v>33.577997431162103</v>
      </c>
      <c r="D391" t="s">
        <v>107</v>
      </c>
    </row>
    <row r="392" spans="1:4" x14ac:dyDescent="0.35">
      <c r="A392" t="s">
        <v>38</v>
      </c>
      <c r="B392" s="88">
        <v>45153</v>
      </c>
      <c r="C392">
        <v>34.241500038830097</v>
      </c>
      <c r="D392" t="s">
        <v>107</v>
      </c>
    </row>
    <row r="393" spans="1:4" x14ac:dyDescent="0.35">
      <c r="A393" t="s">
        <v>38</v>
      </c>
      <c r="B393" s="88">
        <v>45245</v>
      </c>
      <c r="C393">
        <v>34.162317314420498</v>
      </c>
      <c r="D393" t="s">
        <v>107</v>
      </c>
    </row>
    <row r="394" spans="1:4" x14ac:dyDescent="0.35">
      <c r="A394" t="s">
        <v>38</v>
      </c>
      <c r="B394" s="88">
        <v>45337</v>
      </c>
      <c r="C394">
        <v>35.119810404390897</v>
      </c>
      <c r="D394" t="s">
        <v>107</v>
      </c>
    </row>
    <row r="395" spans="1:4" x14ac:dyDescent="0.35">
      <c r="A395" t="s">
        <v>38</v>
      </c>
      <c r="B395" s="88">
        <v>45427</v>
      </c>
      <c r="C395">
        <v>36.442936754703602</v>
      </c>
      <c r="D395" t="s">
        <v>107</v>
      </c>
    </row>
    <row r="396" spans="1:4" x14ac:dyDescent="0.35">
      <c r="A396" t="s">
        <v>38</v>
      </c>
      <c r="B396" s="88">
        <v>45519</v>
      </c>
      <c r="C396">
        <v>35.8703002650008</v>
      </c>
      <c r="D396" t="s">
        <v>107</v>
      </c>
    </row>
    <row r="397" spans="1:4" x14ac:dyDescent="0.35">
      <c r="A397" t="s">
        <v>38</v>
      </c>
      <c r="B397" s="88">
        <v>45611</v>
      </c>
      <c r="C397">
        <v>35.997694375737197</v>
      </c>
      <c r="D397" t="s">
        <v>107</v>
      </c>
    </row>
    <row r="398" spans="1:4" x14ac:dyDescent="0.35">
      <c r="A398" t="s">
        <v>38</v>
      </c>
      <c r="B398" s="88">
        <v>45703</v>
      </c>
      <c r="C398">
        <v>36.1619486460418</v>
      </c>
      <c r="D398" t="s">
        <v>107</v>
      </c>
    </row>
    <row r="399" spans="1:4" x14ac:dyDescent="0.35">
      <c r="A399" t="s">
        <v>38</v>
      </c>
      <c r="B399" s="88">
        <v>45792</v>
      </c>
      <c r="C399">
        <v>41.175691601043397</v>
      </c>
      <c r="D399" t="s">
        <v>107</v>
      </c>
    </row>
    <row r="400" spans="1:4" x14ac:dyDescent="0.35">
      <c r="A400" t="s">
        <v>38</v>
      </c>
      <c r="B400" s="88">
        <v>45884</v>
      </c>
      <c r="C400">
        <v>41.396136979275298</v>
      </c>
      <c r="D400" t="s">
        <v>107</v>
      </c>
    </row>
    <row r="401" spans="1:4" x14ac:dyDescent="0.35">
      <c r="A401" t="s">
        <v>38</v>
      </c>
      <c r="B401" s="88">
        <v>45976</v>
      </c>
      <c r="C401">
        <v>40.777764877562397</v>
      </c>
      <c r="D401" t="s">
        <v>107</v>
      </c>
    </row>
    <row r="402" spans="1:4" x14ac:dyDescent="0.35">
      <c r="A402" t="s">
        <v>38</v>
      </c>
      <c r="B402" s="88">
        <v>46068</v>
      </c>
      <c r="C402">
        <v>42.339229528605799</v>
      </c>
      <c r="D402" t="s">
        <v>107</v>
      </c>
    </row>
    <row r="403" spans="1:4" x14ac:dyDescent="0.35">
      <c r="A403" t="s">
        <v>38</v>
      </c>
      <c r="B403" s="88">
        <v>46157</v>
      </c>
      <c r="C403">
        <v>43.236409891222898</v>
      </c>
      <c r="D403" t="s">
        <v>107</v>
      </c>
    </row>
    <row r="404" spans="1:4" x14ac:dyDescent="0.35">
      <c r="A404" t="s">
        <v>38</v>
      </c>
      <c r="B404" s="88">
        <v>46249</v>
      </c>
      <c r="C404">
        <v>44.040596813274803</v>
      </c>
      <c r="D404" t="s">
        <v>107</v>
      </c>
    </row>
    <row r="405" spans="1:4" x14ac:dyDescent="0.35">
      <c r="A405" t="s">
        <v>39</v>
      </c>
      <c r="B405" s="88">
        <v>43511</v>
      </c>
      <c r="C405">
        <v>30.444210966715055</v>
      </c>
      <c r="D405" t="s">
        <v>107</v>
      </c>
    </row>
    <row r="406" spans="1:4" x14ac:dyDescent="0.35">
      <c r="A406" t="s">
        <v>39</v>
      </c>
      <c r="B406" s="88">
        <v>43600</v>
      </c>
      <c r="C406">
        <v>30.650225924657011</v>
      </c>
      <c r="D406" t="s">
        <v>107</v>
      </c>
    </row>
    <row r="407" spans="1:4" x14ac:dyDescent="0.35">
      <c r="A407" t="s">
        <v>39</v>
      </c>
      <c r="B407" s="88">
        <v>43692</v>
      </c>
      <c r="C407">
        <v>30.920139997719524</v>
      </c>
      <c r="D407" t="s">
        <v>107</v>
      </c>
    </row>
    <row r="408" spans="1:4" x14ac:dyDescent="0.35">
      <c r="A408" t="s">
        <v>39</v>
      </c>
      <c r="B408" s="88">
        <v>43784</v>
      </c>
      <c r="C408">
        <v>31.501997105502294</v>
      </c>
      <c r="D408" t="s">
        <v>107</v>
      </c>
    </row>
    <row r="409" spans="1:4" x14ac:dyDescent="0.35">
      <c r="A409" t="s">
        <v>39</v>
      </c>
      <c r="B409" s="88">
        <v>43876</v>
      </c>
      <c r="C409">
        <v>31.611193868143555</v>
      </c>
      <c r="D409" t="s">
        <v>107</v>
      </c>
    </row>
    <row r="410" spans="1:4" x14ac:dyDescent="0.35">
      <c r="A410" t="s">
        <v>39</v>
      </c>
      <c r="B410" s="88">
        <v>43966</v>
      </c>
      <c r="C410">
        <v>30.121569639247422</v>
      </c>
      <c r="D410" t="s">
        <v>107</v>
      </c>
    </row>
    <row r="411" spans="1:4" x14ac:dyDescent="0.35">
      <c r="A411" t="s">
        <v>39</v>
      </c>
      <c r="B411" s="88">
        <v>44058</v>
      </c>
      <c r="C411">
        <v>30.113043173942685</v>
      </c>
      <c r="D411" t="s">
        <v>107</v>
      </c>
    </row>
    <row r="412" spans="1:4" x14ac:dyDescent="0.35">
      <c r="A412" t="s">
        <v>39</v>
      </c>
      <c r="B412" s="88">
        <v>44150</v>
      </c>
      <c r="C412">
        <v>30.123250070581058</v>
      </c>
      <c r="D412" t="s">
        <v>107</v>
      </c>
    </row>
    <row r="413" spans="1:4" x14ac:dyDescent="0.35">
      <c r="A413" t="s">
        <v>39</v>
      </c>
      <c r="B413" s="88">
        <v>44242</v>
      </c>
      <c r="C413">
        <v>29.516406153147209</v>
      </c>
      <c r="D413" t="s">
        <v>107</v>
      </c>
    </row>
    <row r="414" spans="1:4" x14ac:dyDescent="0.35">
      <c r="A414" t="s">
        <v>39</v>
      </c>
      <c r="B414" s="88">
        <v>44331</v>
      </c>
      <c r="C414">
        <v>30.010868638956094</v>
      </c>
      <c r="D414" t="s">
        <v>107</v>
      </c>
    </row>
    <row r="415" spans="1:4" x14ac:dyDescent="0.35">
      <c r="A415" t="s">
        <v>39</v>
      </c>
      <c r="B415" s="88">
        <v>44423</v>
      </c>
      <c r="C415">
        <v>30.366288075307448</v>
      </c>
      <c r="D415" t="s">
        <v>107</v>
      </c>
    </row>
    <row r="416" spans="1:4" x14ac:dyDescent="0.35">
      <c r="A416" t="s">
        <v>39</v>
      </c>
      <c r="B416" s="88">
        <v>44515</v>
      </c>
      <c r="C416">
        <v>31.293530734147858</v>
      </c>
      <c r="D416" t="s">
        <v>107</v>
      </c>
    </row>
    <row r="417" spans="1:4" x14ac:dyDescent="0.35">
      <c r="A417" t="s">
        <v>39</v>
      </c>
      <c r="B417" s="88">
        <v>44607</v>
      </c>
      <c r="C417">
        <v>31.409485170444583</v>
      </c>
      <c r="D417" t="s">
        <v>107</v>
      </c>
    </row>
    <row r="418" spans="1:4" x14ac:dyDescent="0.35">
      <c r="A418" t="s">
        <v>39</v>
      </c>
      <c r="B418" s="88">
        <v>44696</v>
      </c>
      <c r="C418">
        <v>32.179460941262711</v>
      </c>
      <c r="D418" t="s">
        <v>107</v>
      </c>
    </row>
    <row r="419" spans="1:4" x14ac:dyDescent="0.35">
      <c r="A419" t="s">
        <v>39</v>
      </c>
      <c r="B419" s="88">
        <v>44788</v>
      </c>
      <c r="C419">
        <v>32.996862144871379</v>
      </c>
      <c r="D419" t="s">
        <v>107</v>
      </c>
    </row>
    <row r="420" spans="1:4" x14ac:dyDescent="0.35">
      <c r="A420" t="s">
        <v>39</v>
      </c>
      <c r="B420" s="88">
        <v>44880</v>
      </c>
      <c r="C420">
        <v>33.210509658235878</v>
      </c>
      <c r="D420" t="s">
        <v>107</v>
      </c>
    </row>
    <row r="421" spans="1:4" x14ac:dyDescent="0.35">
      <c r="A421" t="s">
        <v>39</v>
      </c>
      <c r="B421" s="88">
        <v>44972</v>
      </c>
      <c r="C421">
        <v>33.493403291125155</v>
      </c>
      <c r="D421" t="s">
        <v>107</v>
      </c>
    </row>
    <row r="422" spans="1:4" x14ac:dyDescent="0.35">
      <c r="A422" t="s">
        <v>39</v>
      </c>
      <c r="B422" s="88">
        <v>45061</v>
      </c>
      <c r="C422">
        <v>34.687261018133</v>
      </c>
      <c r="D422" t="s">
        <v>107</v>
      </c>
    </row>
    <row r="423" spans="1:4" x14ac:dyDescent="0.35">
      <c r="A423" t="s">
        <v>39</v>
      </c>
      <c r="B423" s="88">
        <v>45153</v>
      </c>
      <c r="C423">
        <v>34.849745481380801</v>
      </c>
      <c r="D423" t="s">
        <v>107</v>
      </c>
    </row>
    <row r="424" spans="1:4" x14ac:dyDescent="0.35">
      <c r="A424" t="s">
        <v>39</v>
      </c>
      <c r="B424" s="88">
        <v>45245</v>
      </c>
      <c r="C424">
        <v>35.224550155881701</v>
      </c>
      <c r="D424" t="s">
        <v>107</v>
      </c>
    </row>
    <row r="425" spans="1:4" x14ac:dyDescent="0.35">
      <c r="A425" t="s">
        <v>39</v>
      </c>
      <c r="B425" s="88">
        <v>45337</v>
      </c>
      <c r="C425">
        <v>35.453725574787498</v>
      </c>
      <c r="D425" t="s">
        <v>107</v>
      </c>
    </row>
    <row r="426" spans="1:4" x14ac:dyDescent="0.35">
      <c r="A426" t="s">
        <v>39</v>
      </c>
      <c r="B426" s="88">
        <v>45427</v>
      </c>
      <c r="C426">
        <v>36.714519298960802</v>
      </c>
      <c r="D426" t="s">
        <v>107</v>
      </c>
    </row>
    <row r="427" spans="1:4" x14ac:dyDescent="0.35">
      <c r="A427" t="s">
        <v>39</v>
      </c>
      <c r="B427" s="88">
        <v>45519</v>
      </c>
      <c r="C427">
        <v>38.614570801902502</v>
      </c>
      <c r="D427" t="s">
        <v>107</v>
      </c>
    </row>
    <row r="428" spans="1:4" x14ac:dyDescent="0.35">
      <c r="A428" t="s">
        <v>39</v>
      </c>
      <c r="B428" s="88">
        <v>45611</v>
      </c>
      <c r="C428">
        <v>39.194003393744502</v>
      </c>
      <c r="D428" t="s">
        <v>107</v>
      </c>
    </row>
    <row r="429" spans="1:4" x14ac:dyDescent="0.35">
      <c r="A429" t="s">
        <v>39</v>
      </c>
      <c r="B429" s="88">
        <v>45703</v>
      </c>
      <c r="C429">
        <v>39.385334520199699</v>
      </c>
      <c r="D429" t="s">
        <v>107</v>
      </c>
    </row>
    <row r="430" spans="1:4" x14ac:dyDescent="0.35">
      <c r="A430" t="s">
        <v>39</v>
      </c>
      <c r="B430" s="88">
        <v>45792</v>
      </c>
      <c r="C430">
        <v>44.047418501596198</v>
      </c>
      <c r="D430" t="s">
        <v>107</v>
      </c>
    </row>
    <row r="431" spans="1:4" x14ac:dyDescent="0.35">
      <c r="A431" t="s">
        <v>39</v>
      </c>
      <c r="B431" s="88">
        <v>45884</v>
      </c>
      <c r="C431">
        <v>44.187373582081399</v>
      </c>
      <c r="D431" t="s">
        <v>107</v>
      </c>
    </row>
    <row r="432" spans="1:4" x14ac:dyDescent="0.35">
      <c r="A432" t="s">
        <v>39</v>
      </c>
      <c r="B432" s="88">
        <v>45976</v>
      </c>
      <c r="C432">
        <v>44.095196595836804</v>
      </c>
      <c r="D432" t="s">
        <v>107</v>
      </c>
    </row>
    <row r="433" spans="1:4" x14ac:dyDescent="0.35">
      <c r="A433" t="s">
        <v>39</v>
      </c>
      <c r="B433" s="88">
        <v>46068</v>
      </c>
      <c r="C433">
        <v>45.061296283596398</v>
      </c>
      <c r="D433" t="s">
        <v>107</v>
      </c>
    </row>
    <row r="434" spans="1:4" x14ac:dyDescent="0.35">
      <c r="A434" t="s">
        <v>39</v>
      </c>
      <c r="B434" s="88">
        <v>46157</v>
      </c>
      <c r="C434">
        <v>45.3927691179099</v>
      </c>
      <c r="D434" t="s">
        <v>107</v>
      </c>
    </row>
    <row r="435" spans="1:4" x14ac:dyDescent="0.35">
      <c r="A435" t="s">
        <v>39</v>
      </c>
      <c r="B435" s="88">
        <v>46249</v>
      </c>
      <c r="C435">
        <v>45.477932491814201</v>
      </c>
      <c r="D435" t="s">
        <v>107</v>
      </c>
    </row>
    <row r="436" spans="1:4" x14ac:dyDescent="0.35">
      <c r="A436" t="s">
        <v>42</v>
      </c>
      <c r="B436" s="88">
        <v>43511</v>
      </c>
      <c r="C436">
        <v>28.13531249366801</v>
      </c>
      <c r="D436" t="s">
        <v>107</v>
      </c>
    </row>
    <row r="437" spans="1:4" x14ac:dyDescent="0.35">
      <c r="A437" t="s">
        <v>42</v>
      </c>
      <c r="B437" s="88">
        <v>43600</v>
      </c>
      <c r="C437">
        <v>28.314543908503513</v>
      </c>
      <c r="D437" t="s">
        <v>107</v>
      </c>
    </row>
    <row r="438" spans="1:4" x14ac:dyDescent="0.35">
      <c r="A438" t="s">
        <v>42</v>
      </c>
      <c r="B438" s="88">
        <v>43692</v>
      </c>
      <c r="C438">
        <v>28.589258664289748</v>
      </c>
      <c r="D438" t="s">
        <v>107</v>
      </c>
    </row>
    <row r="439" spans="1:4" x14ac:dyDescent="0.35">
      <c r="A439" t="s">
        <v>42</v>
      </c>
      <c r="B439" s="88">
        <v>43784</v>
      </c>
      <c r="C439">
        <v>29.206932276036486</v>
      </c>
      <c r="D439" t="s">
        <v>107</v>
      </c>
    </row>
    <row r="440" spans="1:4" x14ac:dyDescent="0.35">
      <c r="A440" t="s">
        <v>42</v>
      </c>
      <c r="B440" s="88">
        <v>43876</v>
      </c>
      <c r="C440">
        <v>29.27900959684311</v>
      </c>
      <c r="D440" t="s">
        <v>107</v>
      </c>
    </row>
    <row r="441" spans="1:4" x14ac:dyDescent="0.35">
      <c r="A441" t="s">
        <v>42</v>
      </c>
      <c r="B441" s="88">
        <v>43966</v>
      </c>
      <c r="C441">
        <v>29.782914404872418</v>
      </c>
      <c r="D441" t="s">
        <v>107</v>
      </c>
    </row>
    <row r="442" spans="1:4" x14ac:dyDescent="0.35">
      <c r="A442" t="s">
        <v>42</v>
      </c>
      <c r="B442" s="88">
        <v>44058</v>
      </c>
      <c r="C442">
        <v>29.774387939567685</v>
      </c>
      <c r="D442" t="s">
        <v>107</v>
      </c>
    </row>
    <row r="443" spans="1:4" x14ac:dyDescent="0.35">
      <c r="A443" t="s">
        <v>42</v>
      </c>
      <c r="B443" s="88">
        <v>44150</v>
      </c>
      <c r="C443">
        <v>29.785072232165312</v>
      </c>
      <c r="D443" t="s">
        <v>107</v>
      </c>
    </row>
    <row r="444" spans="1:4" x14ac:dyDescent="0.35">
      <c r="A444" t="s">
        <v>42</v>
      </c>
      <c r="B444" s="88">
        <v>44242</v>
      </c>
      <c r="C444">
        <v>29.178221138484986</v>
      </c>
      <c r="D444" t="s">
        <v>107</v>
      </c>
    </row>
    <row r="445" spans="1:4" x14ac:dyDescent="0.35">
      <c r="A445" t="s">
        <v>42</v>
      </c>
      <c r="B445" s="88">
        <v>44331</v>
      </c>
      <c r="C445">
        <v>29.472012104303435</v>
      </c>
      <c r="D445" t="s">
        <v>107</v>
      </c>
    </row>
    <row r="446" spans="1:4" x14ac:dyDescent="0.35">
      <c r="A446" t="s">
        <v>42</v>
      </c>
      <c r="B446" s="88">
        <v>44423</v>
      </c>
      <c r="C446">
        <v>29.832409440194414</v>
      </c>
      <c r="D446" t="s">
        <v>107</v>
      </c>
    </row>
    <row r="447" spans="1:4" x14ac:dyDescent="0.35">
      <c r="A447" t="s">
        <v>42</v>
      </c>
      <c r="B447" s="88">
        <v>44515</v>
      </c>
      <c r="C447">
        <v>30.76232292497809</v>
      </c>
      <c r="D447" t="s">
        <v>107</v>
      </c>
    </row>
    <row r="448" spans="1:4" x14ac:dyDescent="0.35">
      <c r="A448" t="s">
        <v>42</v>
      </c>
      <c r="B448" s="88">
        <v>44607</v>
      </c>
      <c r="C448">
        <v>30.864787265572225</v>
      </c>
      <c r="D448" t="s">
        <v>107</v>
      </c>
    </row>
    <row r="449" spans="1:4" x14ac:dyDescent="0.35">
      <c r="A449" t="s">
        <v>42</v>
      </c>
      <c r="B449" s="88">
        <v>44696</v>
      </c>
      <c r="C449">
        <v>31.554304099480355</v>
      </c>
      <c r="D449" t="s">
        <v>107</v>
      </c>
    </row>
    <row r="450" spans="1:4" x14ac:dyDescent="0.35">
      <c r="A450" t="s">
        <v>42</v>
      </c>
      <c r="B450" s="88">
        <v>44788</v>
      </c>
      <c r="C450">
        <v>32.615678113621392</v>
      </c>
      <c r="D450" t="s">
        <v>107</v>
      </c>
    </row>
    <row r="451" spans="1:4" x14ac:dyDescent="0.35">
      <c r="A451" t="s">
        <v>42</v>
      </c>
      <c r="B451" s="88">
        <v>44880</v>
      </c>
      <c r="C451">
        <v>32.82932562698587</v>
      </c>
      <c r="D451" t="s">
        <v>107</v>
      </c>
    </row>
    <row r="452" spans="1:4" x14ac:dyDescent="0.35">
      <c r="A452" t="s">
        <v>42</v>
      </c>
      <c r="B452" s="88">
        <v>44972</v>
      </c>
      <c r="C452">
        <v>33.112219259875147</v>
      </c>
      <c r="D452" t="s">
        <v>107</v>
      </c>
    </row>
    <row r="453" spans="1:4" x14ac:dyDescent="0.35">
      <c r="A453" t="s">
        <v>42</v>
      </c>
      <c r="B453" s="88">
        <v>45061</v>
      </c>
      <c r="C453">
        <v>34.307261018132898</v>
      </c>
      <c r="D453" t="s">
        <v>107</v>
      </c>
    </row>
    <row r="454" spans="1:4" x14ac:dyDescent="0.35">
      <c r="A454" t="s">
        <v>42</v>
      </c>
      <c r="B454" s="88">
        <v>45153</v>
      </c>
      <c r="C454">
        <v>34.469745481380798</v>
      </c>
      <c r="D454" t="s">
        <v>107</v>
      </c>
    </row>
    <row r="455" spans="1:4" x14ac:dyDescent="0.35">
      <c r="A455" t="s">
        <v>42</v>
      </c>
      <c r="B455" s="88">
        <v>45245</v>
      </c>
      <c r="C455">
        <v>34.844550155881699</v>
      </c>
      <c r="D455" t="s">
        <v>107</v>
      </c>
    </row>
    <row r="456" spans="1:4" x14ac:dyDescent="0.35">
      <c r="A456" t="s">
        <v>42</v>
      </c>
      <c r="B456" s="88">
        <v>45337</v>
      </c>
      <c r="C456">
        <v>35.073725574787503</v>
      </c>
      <c r="D456" t="s">
        <v>107</v>
      </c>
    </row>
    <row r="457" spans="1:4" x14ac:dyDescent="0.35">
      <c r="A457" t="s">
        <v>42</v>
      </c>
      <c r="B457" s="88">
        <v>45427</v>
      </c>
      <c r="C457">
        <v>36.334519298960799</v>
      </c>
      <c r="D457" t="s">
        <v>107</v>
      </c>
    </row>
    <row r="458" spans="1:4" x14ac:dyDescent="0.35">
      <c r="A458" t="s">
        <v>42</v>
      </c>
      <c r="B458" s="88">
        <v>45519</v>
      </c>
      <c r="C458">
        <v>38.2345708019025</v>
      </c>
      <c r="D458" t="s">
        <v>107</v>
      </c>
    </row>
    <row r="459" spans="1:4" x14ac:dyDescent="0.35">
      <c r="A459" t="s">
        <v>42</v>
      </c>
      <c r="B459" s="88">
        <v>45611</v>
      </c>
      <c r="C459">
        <v>38.8140033937445</v>
      </c>
      <c r="D459" t="s">
        <v>107</v>
      </c>
    </row>
    <row r="460" spans="1:4" x14ac:dyDescent="0.35">
      <c r="A460" t="s">
        <v>42</v>
      </c>
      <c r="B460" s="88">
        <v>45703</v>
      </c>
      <c r="C460">
        <v>39.005334520199703</v>
      </c>
      <c r="D460" t="s">
        <v>107</v>
      </c>
    </row>
    <row r="461" spans="1:4" x14ac:dyDescent="0.35">
      <c r="A461" t="s">
        <v>42</v>
      </c>
      <c r="B461" s="88">
        <v>45792</v>
      </c>
      <c r="C461">
        <v>43.667418501596202</v>
      </c>
      <c r="D461" t="s">
        <v>107</v>
      </c>
    </row>
    <row r="462" spans="1:4" x14ac:dyDescent="0.35">
      <c r="A462" t="s">
        <v>42</v>
      </c>
      <c r="B462" s="88">
        <v>45884</v>
      </c>
      <c r="C462">
        <v>43.807373582081397</v>
      </c>
      <c r="D462" t="s">
        <v>107</v>
      </c>
    </row>
    <row r="463" spans="1:4" x14ac:dyDescent="0.35">
      <c r="A463" t="s">
        <v>42</v>
      </c>
      <c r="B463" s="88">
        <v>45976</v>
      </c>
      <c r="C463">
        <v>43.715196595836801</v>
      </c>
      <c r="D463" t="s">
        <v>107</v>
      </c>
    </row>
    <row r="464" spans="1:4" x14ac:dyDescent="0.35">
      <c r="A464" t="s">
        <v>42</v>
      </c>
      <c r="B464" s="88">
        <v>46068</v>
      </c>
      <c r="C464">
        <v>44.681296283596403</v>
      </c>
      <c r="D464" t="s">
        <v>107</v>
      </c>
    </row>
    <row r="465" spans="1:4" x14ac:dyDescent="0.35">
      <c r="A465" t="s">
        <v>42</v>
      </c>
      <c r="B465" s="88">
        <v>46157</v>
      </c>
      <c r="C465">
        <v>45.012769117909897</v>
      </c>
      <c r="D465" t="s">
        <v>107</v>
      </c>
    </row>
    <row r="466" spans="1:4" x14ac:dyDescent="0.35">
      <c r="A466" t="s">
        <v>42</v>
      </c>
      <c r="B466" s="88">
        <v>46249</v>
      </c>
      <c r="C466">
        <v>45.097932491814198</v>
      </c>
      <c r="D466" t="s">
        <v>107</v>
      </c>
    </row>
    <row r="467" spans="1:4" x14ac:dyDescent="0.35">
      <c r="A467" t="s">
        <v>239</v>
      </c>
      <c r="B467" s="88">
        <v>43511</v>
      </c>
      <c r="C467">
        <v>34.903582981577941</v>
      </c>
      <c r="D467" t="s">
        <v>107</v>
      </c>
    </row>
    <row r="468" spans="1:4" x14ac:dyDescent="0.35">
      <c r="A468" t="s">
        <v>239</v>
      </c>
      <c r="B468" s="88">
        <v>43600</v>
      </c>
      <c r="C468">
        <v>34.900604170561103</v>
      </c>
      <c r="D468" t="s">
        <v>107</v>
      </c>
    </row>
    <row r="469" spans="1:4" x14ac:dyDescent="0.35">
      <c r="A469" t="s">
        <v>239</v>
      </c>
      <c r="B469" s="88">
        <v>43692</v>
      </c>
      <c r="C469">
        <v>35.268134123212292</v>
      </c>
      <c r="D469" t="s">
        <v>107</v>
      </c>
    </row>
    <row r="470" spans="1:4" x14ac:dyDescent="0.35">
      <c r="A470" t="s">
        <v>239</v>
      </c>
      <c r="B470" s="88">
        <v>43784</v>
      </c>
      <c r="C470">
        <v>35.54031170169025</v>
      </c>
      <c r="D470" t="s">
        <v>107</v>
      </c>
    </row>
    <row r="471" spans="1:4" x14ac:dyDescent="0.35">
      <c r="A471" t="s">
        <v>239</v>
      </c>
      <c r="B471" s="88">
        <v>43876</v>
      </c>
      <c r="C471">
        <v>35.685541027273075</v>
      </c>
      <c r="D471" t="s">
        <v>107</v>
      </c>
    </row>
    <row r="472" spans="1:4" x14ac:dyDescent="0.35">
      <c r="A472" t="s">
        <v>239</v>
      </c>
      <c r="B472" s="88">
        <v>43966</v>
      </c>
      <c r="C472">
        <v>36.396936854269882</v>
      </c>
      <c r="D472" t="s">
        <v>107</v>
      </c>
    </row>
    <row r="473" spans="1:4" x14ac:dyDescent="0.35">
      <c r="A473" t="s">
        <v>239</v>
      </c>
      <c r="B473" s="88">
        <v>44058</v>
      </c>
      <c r="C473">
        <v>36.365263222221294</v>
      </c>
      <c r="D473" t="s">
        <v>107</v>
      </c>
    </row>
    <row r="474" spans="1:4" x14ac:dyDescent="0.35">
      <c r="A474" t="s">
        <v>239</v>
      </c>
      <c r="B474" s="88">
        <v>44150</v>
      </c>
      <c r="C474">
        <v>36.305385953319742</v>
      </c>
      <c r="D474" t="s">
        <v>107</v>
      </c>
    </row>
    <row r="475" spans="1:4" x14ac:dyDescent="0.35">
      <c r="A475" t="s">
        <v>239</v>
      </c>
      <c r="B475" s="88">
        <v>44242</v>
      </c>
      <c r="C475">
        <v>36.332247052645478</v>
      </c>
      <c r="D475" t="s">
        <v>107</v>
      </c>
    </row>
    <row r="476" spans="1:4" x14ac:dyDescent="0.35">
      <c r="A476" t="s">
        <v>239</v>
      </c>
      <c r="B476" s="88">
        <v>44331</v>
      </c>
      <c r="C476">
        <v>36.914614177837535</v>
      </c>
      <c r="D476" t="s">
        <v>107</v>
      </c>
    </row>
    <row r="477" spans="1:4" x14ac:dyDescent="0.35">
      <c r="A477" t="s">
        <v>239</v>
      </c>
      <c r="B477" s="88">
        <v>44423</v>
      </c>
      <c r="C477">
        <v>37.22308998667485</v>
      </c>
      <c r="D477" t="s">
        <v>107</v>
      </c>
    </row>
    <row r="478" spans="1:4" x14ac:dyDescent="0.35">
      <c r="A478" t="s">
        <v>239</v>
      </c>
      <c r="B478" s="88">
        <v>44515</v>
      </c>
      <c r="C478">
        <v>37.273308929742917</v>
      </c>
      <c r="D478" t="s">
        <v>107</v>
      </c>
    </row>
    <row r="479" spans="1:4" x14ac:dyDescent="0.35">
      <c r="A479" t="s">
        <v>239</v>
      </c>
      <c r="B479" s="88">
        <v>44607</v>
      </c>
      <c r="C479">
        <v>37.571499879008371</v>
      </c>
      <c r="D479" t="s">
        <v>107</v>
      </c>
    </row>
    <row r="480" spans="1:4" x14ac:dyDescent="0.35">
      <c r="A480" t="s">
        <v>239</v>
      </c>
      <c r="B480" s="88">
        <v>44696</v>
      </c>
      <c r="C480">
        <v>37.98277730856217</v>
      </c>
      <c r="D480" t="s">
        <v>107</v>
      </c>
    </row>
    <row r="481" spans="1:4" x14ac:dyDescent="0.35">
      <c r="A481" t="s">
        <v>239</v>
      </c>
      <c r="B481" s="88">
        <v>44788</v>
      </c>
      <c r="C481">
        <v>37.913094567899357</v>
      </c>
      <c r="D481" t="s">
        <v>107</v>
      </c>
    </row>
    <row r="482" spans="1:4" x14ac:dyDescent="0.35">
      <c r="A482" t="s">
        <v>239</v>
      </c>
      <c r="B482" s="88">
        <v>44880</v>
      </c>
      <c r="C482">
        <v>37.86083049859193</v>
      </c>
      <c r="D482" t="s">
        <v>107</v>
      </c>
    </row>
    <row r="483" spans="1:4" x14ac:dyDescent="0.35">
      <c r="A483" t="s">
        <v>239</v>
      </c>
      <c r="B483" s="88">
        <v>44972</v>
      </c>
      <c r="C483">
        <v>37.848035052002722</v>
      </c>
      <c r="D483" t="s">
        <v>107</v>
      </c>
    </row>
    <row r="484" spans="1:4" x14ac:dyDescent="0.35">
      <c r="A484" t="s">
        <v>239</v>
      </c>
      <c r="B484" s="88">
        <v>45061</v>
      </c>
      <c r="C484">
        <v>38.623351144907801</v>
      </c>
      <c r="D484" t="s">
        <v>107</v>
      </c>
    </row>
    <row r="485" spans="1:4" x14ac:dyDescent="0.35">
      <c r="A485" t="s">
        <v>239</v>
      </c>
      <c r="B485" s="88">
        <v>45153</v>
      </c>
      <c r="C485">
        <v>39.040630901607798</v>
      </c>
      <c r="D485" t="s">
        <v>107</v>
      </c>
    </row>
    <row r="486" spans="1:4" x14ac:dyDescent="0.35">
      <c r="A486" t="s">
        <v>239</v>
      </c>
      <c r="B486" s="88">
        <v>45245</v>
      </c>
      <c r="C486">
        <v>39.019492552808899</v>
      </c>
      <c r="D486" t="s">
        <v>107</v>
      </c>
    </row>
    <row r="487" spans="1:4" x14ac:dyDescent="0.35">
      <c r="A487" t="s">
        <v>239</v>
      </c>
      <c r="B487" s="88">
        <v>45337</v>
      </c>
      <c r="C487">
        <v>39.080403535210699</v>
      </c>
      <c r="D487" t="s">
        <v>107</v>
      </c>
    </row>
    <row r="488" spans="1:4" x14ac:dyDescent="0.35">
      <c r="A488" t="s">
        <v>239</v>
      </c>
      <c r="B488" s="88">
        <v>45427</v>
      </c>
      <c r="C488">
        <v>40.950015110076102</v>
      </c>
      <c r="D488" t="s">
        <v>107</v>
      </c>
    </row>
    <row r="489" spans="1:4" x14ac:dyDescent="0.35">
      <c r="A489" t="s">
        <v>239</v>
      </c>
      <c r="B489" s="88">
        <v>45519</v>
      </c>
      <c r="C489">
        <v>41.268200728944301</v>
      </c>
      <c r="D489" t="s">
        <v>107</v>
      </c>
    </row>
    <row r="490" spans="1:4" x14ac:dyDescent="0.35">
      <c r="A490" t="s">
        <v>239</v>
      </c>
      <c r="B490" s="88">
        <v>45611</v>
      </c>
      <c r="C490">
        <v>41.616801576554302</v>
      </c>
      <c r="D490" t="s">
        <v>107</v>
      </c>
    </row>
    <row r="491" spans="1:4" x14ac:dyDescent="0.35">
      <c r="A491" t="s">
        <v>239</v>
      </c>
      <c r="B491" s="88">
        <v>45703</v>
      </c>
      <c r="C491">
        <v>41.853319906019699</v>
      </c>
      <c r="D491" t="s">
        <v>107</v>
      </c>
    </row>
    <row r="492" spans="1:4" x14ac:dyDescent="0.35">
      <c r="A492" t="s">
        <v>239</v>
      </c>
      <c r="B492" s="88">
        <v>45792</v>
      </c>
      <c r="C492">
        <v>44.437812276045698</v>
      </c>
      <c r="D492" t="s">
        <v>107</v>
      </c>
    </row>
    <row r="493" spans="1:4" x14ac:dyDescent="0.35">
      <c r="A493" t="s">
        <v>239</v>
      </c>
      <c r="B493" s="88">
        <v>45884</v>
      </c>
      <c r="C493">
        <v>44.609127782699098</v>
      </c>
      <c r="D493" t="s">
        <v>107</v>
      </c>
    </row>
    <row r="494" spans="1:4" x14ac:dyDescent="0.35">
      <c r="A494" t="s">
        <v>239</v>
      </c>
      <c r="B494" s="88">
        <v>45976</v>
      </c>
      <c r="C494">
        <v>44.607937108980998</v>
      </c>
      <c r="D494" t="s">
        <v>107</v>
      </c>
    </row>
    <row r="495" spans="1:4" x14ac:dyDescent="0.35">
      <c r="A495" t="s">
        <v>239</v>
      </c>
      <c r="B495" s="88">
        <v>46068</v>
      </c>
      <c r="C495">
        <v>45.649975518329803</v>
      </c>
      <c r="D495" t="s">
        <v>107</v>
      </c>
    </row>
    <row r="496" spans="1:4" x14ac:dyDescent="0.35">
      <c r="A496" t="s">
        <v>239</v>
      </c>
      <c r="B496" s="88">
        <v>46157</v>
      </c>
      <c r="C496">
        <v>46.996834278895903</v>
      </c>
      <c r="D496" t="s">
        <v>107</v>
      </c>
    </row>
    <row r="497" spans="1:4" x14ac:dyDescent="0.35">
      <c r="A497" t="s">
        <v>239</v>
      </c>
      <c r="B497" s="88">
        <v>46249</v>
      </c>
      <c r="C497">
        <v>47.121214617800298</v>
      </c>
      <c r="D497" t="s">
        <v>107</v>
      </c>
    </row>
    <row r="498" spans="1:4" x14ac:dyDescent="0.35">
      <c r="A498" t="s">
        <v>46</v>
      </c>
      <c r="B498" s="88">
        <v>43511</v>
      </c>
      <c r="C498">
        <v>29.792355114682856</v>
      </c>
      <c r="D498" t="s">
        <v>107</v>
      </c>
    </row>
    <row r="499" spans="1:4" x14ac:dyDescent="0.35">
      <c r="A499" t="s">
        <v>46</v>
      </c>
      <c r="B499" s="88">
        <v>43600</v>
      </c>
      <c r="C499">
        <v>29.446424763177603</v>
      </c>
      <c r="D499" t="s">
        <v>107</v>
      </c>
    </row>
    <row r="500" spans="1:4" x14ac:dyDescent="0.35">
      <c r="A500" t="s">
        <v>46</v>
      </c>
      <c r="B500" s="88">
        <v>43692</v>
      </c>
      <c r="C500">
        <v>30.016114120313613</v>
      </c>
      <c r="D500" t="s">
        <v>107</v>
      </c>
    </row>
    <row r="501" spans="1:4" x14ac:dyDescent="0.35">
      <c r="A501" t="s">
        <v>46</v>
      </c>
      <c r="B501" s="88">
        <v>43784</v>
      </c>
      <c r="C501">
        <v>30.239897624736219</v>
      </c>
      <c r="D501" t="s">
        <v>107</v>
      </c>
    </row>
    <row r="502" spans="1:4" x14ac:dyDescent="0.35">
      <c r="A502" t="s">
        <v>46</v>
      </c>
      <c r="B502" s="88">
        <v>43876</v>
      </c>
      <c r="C502">
        <v>30.21096198007314</v>
      </c>
      <c r="D502" t="s">
        <v>107</v>
      </c>
    </row>
    <row r="503" spans="1:4" x14ac:dyDescent="0.35">
      <c r="A503" t="s">
        <v>46</v>
      </c>
      <c r="B503" s="88">
        <v>43966</v>
      </c>
      <c r="C503">
        <v>30.425805823705996</v>
      </c>
      <c r="D503" t="s">
        <v>107</v>
      </c>
    </row>
    <row r="504" spans="1:4" x14ac:dyDescent="0.35">
      <c r="A504" t="s">
        <v>46</v>
      </c>
      <c r="B504" s="88">
        <v>44058</v>
      </c>
      <c r="C504">
        <v>30.42260394029028</v>
      </c>
      <c r="D504" t="s">
        <v>107</v>
      </c>
    </row>
    <row r="505" spans="1:4" x14ac:dyDescent="0.35">
      <c r="A505" t="s">
        <v>46</v>
      </c>
      <c r="B505" s="88">
        <v>44150</v>
      </c>
      <c r="C505">
        <v>30.351052005326704</v>
      </c>
      <c r="D505" t="s">
        <v>107</v>
      </c>
    </row>
    <row r="506" spans="1:4" x14ac:dyDescent="0.35">
      <c r="A506" t="s">
        <v>46</v>
      </c>
      <c r="B506" s="88">
        <v>44242</v>
      </c>
      <c r="C506">
        <v>30.403701599234395</v>
      </c>
      <c r="D506" t="s">
        <v>107</v>
      </c>
    </row>
    <row r="507" spans="1:4" x14ac:dyDescent="0.35">
      <c r="A507" t="s">
        <v>46</v>
      </c>
      <c r="B507" s="88">
        <v>44331</v>
      </c>
      <c r="C507">
        <v>30.438424603624995</v>
      </c>
      <c r="D507" t="s">
        <v>107</v>
      </c>
    </row>
    <row r="508" spans="1:4" x14ac:dyDescent="0.35">
      <c r="A508" t="s">
        <v>46</v>
      </c>
      <c r="B508" s="88">
        <v>44423</v>
      </c>
      <c r="C508">
        <v>30.849319436133037</v>
      </c>
      <c r="D508" t="s">
        <v>107</v>
      </c>
    </row>
    <row r="509" spans="1:4" x14ac:dyDescent="0.35">
      <c r="A509" t="s">
        <v>46</v>
      </c>
      <c r="B509" s="88">
        <v>44515</v>
      </c>
      <c r="C509">
        <v>31.128104769470397</v>
      </c>
      <c r="D509" t="s">
        <v>107</v>
      </c>
    </row>
    <row r="510" spans="1:4" x14ac:dyDescent="0.35">
      <c r="A510" t="s">
        <v>46</v>
      </c>
      <c r="B510" s="88">
        <v>44607</v>
      </c>
      <c r="C510">
        <v>31.323172883699169</v>
      </c>
      <c r="D510" t="s">
        <v>107</v>
      </c>
    </row>
    <row r="511" spans="1:4" x14ac:dyDescent="0.35">
      <c r="A511" t="s">
        <v>46</v>
      </c>
      <c r="B511" s="88">
        <v>44696</v>
      </c>
      <c r="C511">
        <v>31.539646388111635</v>
      </c>
      <c r="D511" t="s">
        <v>107</v>
      </c>
    </row>
    <row r="512" spans="1:4" x14ac:dyDescent="0.35">
      <c r="A512" t="s">
        <v>46</v>
      </c>
      <c r="B512" s="88">
        <v>44788</v>
      </c>
      <c r="C512">
        <v>31.472909369257348</v>
      </c>
      <c r="D512" t="s">
        <v>107</v>
      </c>
    </row>
    <row r="513" spans="1:4" x14ac:dyDescent="0.35">
      <c r="A513" t="s">
        <v>46</v>
      </c>
      <c r="B513" s="88">
        <v>44880</v>
      </c>
      <c r="C513">
        <v>31.379720426001093</v>
      </c>
      <c r="D513" t="s">
        <v>107</v>
      </c>
    </row>
    <row r="514" spans="1:4" x14ac:dyDescent="0.35">
      <c r="A514" t="s">
        <v>46</v>
      </c>
      <c r="B514" s="88">
        <v>44972</v>
      </c>
      <c r="C514">
        <v>30.89165268434818</v>
      </c>
      <c r="D514" t="s">
        <v>107</v>
      </c>
    </row>
    <row r="515" spans="1:4" x14ac:dyDescent="0.35">
      <c r="A515" t="s">
        <v>46</v>
      </c>
      <c r="B515" s="88">
        <v>45061</v>
      </c>
      <c r="C515">
        <v>31.236247905990702</v>
      </c>
      <c r="D515" t="s">
        <v>107</v>
      </c>
    </row>
    <row r="516" spans="1:4" x14ac:dyDescent="0.35">
      <c r="A516" t="s">
        <v>46</v>
      </c>
      <c r="B516" s="88">
        <v>45153</v>
      </c>
      <c r="C516">
        <v>31.668622486376599</v>
      </c>
      <c r="D516" t="s">
        <v>107</v>
      </c>
    </row>
    <row r="517" spans="1:4" x14ac:dyDescent="0.35">
      <c r="A517" t="s">
        <v>46</v>
      </c>
      <c r="B517" s="88">
        <v>45245</v>
      </c>
      <c r="C517">
        <v>31.724771094336301</v>
      </c>
      <c r="D517" t="s">
        <v>107</v>
      </c>
    </row>
    <row r="518" spans="1:4" x14ac:dyDescent="0.35">
      <c r="A518" t="s">
        <v>46</v>
      </c>
      <c r="B518" s="88">
        <v>45337</v>
      </c>
      <c r="C518">
        <v>31.4348554263963</v>
      </c>
      <c r="D518" t="s">
        <v>107</v>
      </c>
    </row>
    <row r="519" spans="1:4" x14ac:dyDescent="0.35">
      <c r="A519" t="s">
        <v>46</v>
      </c>
      <c r="B519" s="88">
        <v>45427</v>
      </c>
      <c r="C519">
        <v>33.082695806956401</v>
      </c>
      <c r="D519" t="s">
        <v>107</v>
      </c>
    </row>
    <row r="520" spans="1:4" x14ac:dyDescent="0.35">
      <c r="A520" t="s">
        <v>46</v>
      </c>
      <c r="B520" s="88">
        <v>45519</v>
      </c>
      <c r="C520">
        <v>33.167320596809198</v>
      </c>
      <c r="D520" t="s">
        <v>107</v>
      </c>
    </row>
    <row r="521" spans="1:4" x14ac:dyDescent="0.35">
      <c r="A521" t="s">
        <v>46</v>
      </c>
      <c r="B521" s="88">
        <v>45611</v>
      </c>
      <c r="C521">
        <v>33.7181524863378</v>
      </c>
      <c r="D521" t="s">
        <v>107</v>
      </c>
    </row>
    <row r="522" spans="1:4" x14ac:dyDescent="0.35">
      <c r="A522" t="s">
        <v>46</v>
      </c>
      <c r="B522" s="88">
        <v>45703</v>
      </c>
      <c r="C522">
        <v>34.352788852420197</v>
      </c>
      <c r="D522" t="s">
        <v>107</v>
      </c>
    </row>
    <row r="523" spans="1:4" x14ac:dyDescent="0.35">
      <c r="A523" t="s">
        <v>46</v>
      </c>
      <c r="B523" s="88">
        <v>45792</v>
      </c>
      <c r="C523">
        <v>36.157350011920499</v>
      </c>
      <c r="D523" t="s">
        <v>107</v>
      </c>
    </row>
    <row r="524" spans="1:4" x14ac:dyDescent="0.35">
      <c r="A524" t="s">
        <v>46</v>
      </c>
      <c r="B524" s="88">
        <v>45884</v>
      </c>
      <c r="C524">
        <v>36.433952556388299</v>
      </c>
      <c r="D524" t="s">
        <v>107</v>
      </c>
    </row>
    <row r="525" spans="1:4" x14ac:dyDescent="0.35">
      <c r="A525" t="s">
        <v>46</v>
      </c>
      <c r="B525" s="88">
        <v>45976</v>
      </c>
      <c r="C525">
        <v>36.402399076161799</v>
      </c>
      <c r="D525" t="s">
        <v>107</v>
      </c>
    </row>
    <row r="526" spans="1:4" x14ac:dyDescent="0.35">
      <c r="A526" t="s">
        <v>46</v>
      </c>
      <c r="B526" s="88">
        <v>46068</v>
      </c>
      <c r="C526">
        <v>37.108338830571903</v>
      </c>
      <c r="D526" t="s">
        <v>107</v>
      </c>
    </row>
    <row r="527" spans="1:4" x14ac:dyDescent="0.35">
      <c r="A527" t="s">
        <v>46</v>
      </c>
      <c r="B527" s="88">
        <v>46157</v>
      </c>
      <c r="C527">
        <v>38.7784539933036</v>
      </c>
      <c r="D527" t="s">
        <v>107</v>
      </c>
    </row>
    <row r="528" spans="1:4" x14ac:dyDescent="0.35">
      <c r="A528" t="s">
        <v>46</v>
      </c>
      <c r="B528" s="88">
        <v>46249</v>
      </c>
      <c r="C528">
        <v>38.431640933593698</v>
      </c>
      <c r="D528" t="s">
        <v>107</v>
      </c>
    </row>
    <row r="529" spans="1:4" x14ac:dyDescent="0.35">
      <c r="A529" t="s">
        <v>47</v>
      </c>
      <c r="B529" s="88">
        <v>43511</v>
      </c>
      <c r="C529">
        <v>27.92991382844005</v>
      </c>
      <c r="D529" t="s">
        <v>107</v>
      </c>
    </row>
    <row r="530" spans="1:4" x14ac:dyDescent="0.35">
      <c r="A530" t="s">
        <v>47</v>
      </c>
      <c r="B530" s="88">
        <v>43600</v>
      </c>
      <c r="C530">
        <v>27.522652255300674</v>
      </c>
      <c r="D530" t="s">
        <v>107</v>
      </c>
    </row>
    <row r="531" spans="1:4" x14ac:dyDescent="0.35">
      <c r="A531" t="s">
        <v>47</v>
      </c>
      <c r="B531" s="88">
        <v>43692</v>
      </c>
      <c r="C531">
        <v>28.056490768053472</v>
      </c>
      <c r="D531" t="s">
        <v>107</v>
      </c>
    </row>
    <row r="532" spans="1:4" x14ac:dyDescent="0.35">
      <c r="A532" t="s">
        <v>47</v>
      </c>
      <c r="B532" s="88">
        <v>43784</v>
      </c>
      <c r="C532">
        <v>28.524590995867726</v>
      </c>
      <c r="D532" t="s">
        <v>107</v>
      </c>
    </row>
    <row r="533" spans="1:4" x14ac:dyDescent="0.35">
      <c r="A533" t="s">
        <v>47</v>
      </c>
      <c r="B533" s="88">
        <v>43876</v>
      </c>
      <c r="C533">
        <v>28.657711149524083</v>
      </c>
      <c r="D533" t="s">
        <v>107</v>
      </c>
    </row>
    <row r="534" spans="1:4" x14ac:dyDescent="0.35">
      <c r="A534" t="s">
        <v>47</v>
      </c>
      <c r="B534" s="88">
        <v>43966</v>
      </c>
      <c r="C534">
        <v>29.38155813523181</v>
      </c>
      <c r="D534" t="s">
        <v>107</v>
      </c>
    </row>
    <row r="535" spans="1:4" x14ac:dyDescent="0.35">
      <c r="A535" t="s">
        <v>47</v>
      </c>
      <c r="B535" s="88">
        <v>44058</v>
      </c>
      <c r="C535">
        <v>29.399903175179386</v>
      </c>
      <c r="D535" t="s">
        <v>107</v>
      </c>
    </row>
    <row r="536" spans="1:4" x14ac:dyDescent="0.35">
      <c r="A536" t="s">
        <v>47</v>
      </c>
      <c r="B536" s="88">
        <v>44150</v>
      </c>
      <c r="C536">
        <v>29.398546439622859</v>
      </c>
      <c r="D536" t="s">
        <v>107</v>
      </c>
    </row>
    <row r="537" spans="1:4" x14ac:dyDescent="0.35">
      <c r="A537" t="s">
        <v>47</v>
      </c>
      <c r="B537" s="88">
        <v>44242</v>
      </c>
      <c r="C537">
        <v>28.837872103612973</v>
      </c>
      <c r="D537" t="s">
        <v>107</v>
      </c>
    </row>
    <row r="538" spans="1:4" x14ac:dyDescent="0.35">
      <c r="A538" t="s">
        <v>47</v>
      </c>
      <c r="B538" s="88">
        <v>44331</v>
      </c>
      <c r="C538">
        <v>29.16018164205294</v>
      </c>
      <c r="D538" t="s">
        <v>107</v>
      </c>
    </row>
    <row r="539" spans="1:4" x14ac:dyDescent="0.35">
      <c r="A539" t="s">
        <v>47</v>
      </c>
      <c r="B539" s="88">
        <v>44423</v>
      </c>
      <c r="C539">
        <v>30.534684787572164</v>
      </c>
      <c r="D539" t="s">
        <v>107</v>
      </c>
    </row>
    <row r="540" spans="1:4" x14ac:dyDescent="0.35">
      <c r="A540" t="s">
        <v>47</v>
      </c>
      <c r="B540" s="88">
        <v>44515</v>
      </c>
      <c r="C540">
        <v>31.014070219058169</v>
      </c>
      <c r="D540" t="s">
        <v>107</v>
      </c>
    </row>
    <row r="541" spans="1:4" x14ac:dyDescent="0.35">
      <c r="A541" t="s">
        <v>47</v>
      </c>
      <c r="B541" s="88">
        <v>44607</v>
      </c>
      <c r="C541">
        <v>31.325529681070513</v>
      </c>
      <c r="D541" t="s">
        <v>107</v>
      </c>
    </row>
    <row r="542" spans="1:4" x14ac:dyDescent="0.35">
      <c r="A542" t="s">
        <v>47</v>
      </c>
      <c r="B542" s="88">
        <v>44696</v>
      </c>
      <c r="C542">
        <v>31.532104749635131</v>
      </c>
      <c r="D542" t="s">
        <v>107</v>
      </c>
    </row>
    <row r="543" spans="1:4" x14ac:dyDescent="0.35">
      <c r="A543" t="s">
        <v>47</v>
      </c>
      <c r="B543" s="88">
        <v>44788</v>
      </c>
      <c r="C543">
        <v>31.775622086455396</v>
      </c>
      <c r="D543" t="s">
        <v>107</v>
      </c>
    </row>
    <row r="544" spans="1:4" x14ac:dyDescent="0.35">
      <c r="A544" t="s">
        <v>47</v>
      </c>
      <c r="B544" s="88">
        <v>44880</v>
      </c>
      <c r="C544">
        <v>31.811994017882522</v>
      </c>
      <c r="D544" t="s">
        <v>107</v>
      </c>
    </row>
    <row r="545" spans="1:4" x14ac:dyDescent="0.35">
      <c r="A545" t="s">
        <v>47</v>
      </c>
      <c r="B545" s="88">
        <v>44972</v>
      </c>
      <c r="C545">
        <v>31.887159855079855</v>
      </c>
      <c r="D545" t="s">
        <v>107</v>
      </c>
    </row>
    <row r="546" spans="1:4" x14ac:dyDescent="0.35">
      <c r="A546" t="s">
        <v>47</v>
      </c>
      <c r="B546" s="88">
        <v>45061</v>
      </c>
      <c r="C546">
        <v>32.255319585942502</v>
      </c>
      <c r="D546" t="s">
        <v>107</v>
      </c>
    </row>
    <row r="547" spans="1:4" x14ac:dyDescent="0.35">
      <c r="A547" t="s">
        <v>47</v>
      </c>
      <c r="B547" s="88">
        <v>45153</v>
      </c>
      <c r="C547">
        <v>32.568904467037797</v>
      </c>
      <c r="D547" t="s">
        <v>107</v>
      </c>
    </row>
    <row r="548" spans="1:4" x14ac:dyDescent="0.35">
      <c r="A548" t="s">
        <v>47</v>
      </c>
      <c r="B548" s="88">
        <v>45245</v>
      </c>
      <c r="C548">
        <v>32.287569384083497</v>
      </c>
      <c r="D548" t="s">
        <v>107</v>
      </c>
    </row>
    <row r="549" spans="1:4" x14ac:dyDescent="0.35">
      <c r="A549" t="s">
        <v>47</v>
      </c>
      <c r="B549" s="88">
        <v>45337</v>
      </c>
      <c r="C549">
        <v>32.779430057664698</v>
      </c>
      <c r="D549" t="s">
        <v>107</v>
      </c>
    </row>
    <row r="550" spans="1:4" x14ac:dyDescent="0.35">
      <c r="A550" t="s">
        <v>47</v>
      </c>
      <c r="B550" s="88">
        <v>45427</v>
      </c>
      <c r="C550">
        <v>33.884644675963301</v>
      </c>
      <c r="D550" t="s">
        <v>107</v>
      </c>
    </row>
    <row r="551" spans="1:4" x14ac:dyDescent="0.35">
      <c r="A551" t="s">
        <v>47</v>
      </c>
      <c r="B551" s="88">
        <v>45519</v>
      </c>
      <c r="C551">
        <v>33.460206856720397</v>
      </c>
      <c r="D551" t="s">
        <v>107</v>
      </c>
    </row>
    <row r="552" spans="1:4" x14ac:dyDescent="0.35">
      <c r="A552" t="s">
        <v>47</v>
      </c>
      <c r="B552" s="88">
        <v>45611</v>
      </c>
      <c r="C552">
        <v>34.352011849811703</v>
      </c>
      <c r="D552" t="s">
        <v>107</v>
      </c>
    </row>
    <row r="553" spans="1:4" x14ac:dyDescent="0.35">
      <c r="A553" t="s">
        <v>47</v>
      </c>
      <c r="B553" s="88">
        <v>45703</v>
      </c>
      <c r="C553">
        <v>34.687734258601999</v>
      </c>
      <c r="D553" t="s">
        <v>107</v>
      </c>
    </row>
    <row r="554" spans="1:4" x14ac:dyDescent="0.35">
      <c r="A554" t="s">
        <v>47</v>
      </c>
      <c r="B554" s="88">
        <v>45792</v>
      </c>
      <c r="C554">
        <v>36.846041753104799</v>
      </c>
      <c r="D554" t="s">
        <v>107</v>
      </c>
    </row>
    <row r="555" spans="1:4" x14ac:dyDescent="0.35">
      <c r="A555" t="s">
        <v>47</v>
      </c>
      <c r="B555" s="88">
        <v>45884</v>
      </c>
      <c r="C555">
        <v>37.029587843273298</v>
      </c>
      <c r="D555" t="s">
        <v>107</v>
      </c>
    </row>
    <row r="556" spans="1:4" x14ac:dyDescent="0.35">
      <c r="A556" t="s">
        <v>47</v>
      </c>
      <c r="B556" s="88">
        <v>45976</v>
      </c>
      <c r="C556">
        <v>37.035957556515903</v>
      </c>
      <c r="D556" t="s">
        <v>107</v>
      </c>
    </row>
    <row r="557" spans="1:4" x14ac:dyDescent="0.35">
      <c r="A557" t="s">
        <v>47</v>
      </c>
      <c r="B557" s="88">
        <v>46068</v>
      </c>
      <c r="C557">
        <v>37.6958526531728</v>
      </c>
      <c r="D557" t="s">
        <v>107</v>
      </c>
    </row>
    <row r="558" spans="1:4" x14ac:dyDescent="0.35">
      <c r="A558" t="s">
        <v>47</v>
      </c>
      <c r="B558" s="88">
        <v>46157</v>
      </c>
      <c r="C558">
        <v>39.441958405569501</v>
      </c>
      <c r="D558" t="s">
        <v>107</v>
      </c>
    </row>
    <row r="559" spans="1:4" x14ac:dyDescent="0.35">
      <c r="A559" t="s">
        <v>47</v>
      </c>
      <c r="B559" s="88">
        <v>46249</v>
      </c>
      <c r="C559">
        <v>38.784951930837501</v>
      </c>
      <c r="D559" t="s">
        <v>107</v>
      </c>
    </row>
    <row r="560" spans="1:4" x14ac:dyDescent="0.35">
      <c r="A560" t="s">
        <v>48</v>
      </c>
      <c r="B560" s="88">
        <v>43511</v>
      </c>
      <c r="C560">
        <v>27.928683964109847</v>
      </c>
      <c r="D560" t="s">
        <v>107</v>
      </c>
    </row>
    <row r="561" spans="1:4" x14ac:dyDescent="0.35">
      <c r="A561" t="s">
        <v>48</v>
      </c>
      <c r="B561" s="88">
        <v>43600</v>
      </c>
      <c r="C561">
        <v>28.165130054336949</v>
      </c>
      <c r="D561" t="s">
        <v>107</v>
      </c>
    </row>
    <row r="562" spans="1:4" x14ac:dyDescent="0.35">
      <c r="A562" t="s">
        <v>48</v>
      </c>
      <c r="B562" s="88">
        <v>43692</v>
      </c>
      <c r="C562">
        <v>28.608814737494438</v>
      </c>
      <c r="D562" t="s">
        <v>107</v>
      </c>
    </row>
    <row r="563" spans="1:4" x14ac:dyDescent="0.35">
      <c r="A563" t="s">
        <v>48</v>
      </c>
      <c r="B563" s="88">
        <v>43784</v>
      </c>
      <c r="C563">
        <v>28.926539873281357</v>
      </c>
      <c r="D563" t="s">
        <v>107</v>
      </c>
    </row>
    <row r="564" spans="1:4" x14ac:dyDescent="0.35">
      <c r="A564" t="s">
        <v>48</v>
      </c>
      <c r="B564" s="88">
        <v>43876</v>
      </c>
      <c r="C564">
        <v>28.980291694874143</v>
      </c>
      <c r="D564" t="s">
        <v>107</v>
      </c>
    </row>
    <row r="565" spans="1:4" x14ac:dyDescent="0.35">
      <c r="A565" t="s">
        <v>48</v>
      </c>
      <c r="B565" s="88">
        <v>43966</v>
      </c>
      <c r="C565">
        <v>29.470214963956195</v>
      </c>
      <c r="D565" t="s">
        <v>107</v>
      </c>
    </row>
    <row r="566" spans="1:4" x14ac:dyDescent="0.35">
      <c r="A566" t="s">
        <v>48</v>
      </c>
      <c r="B566" s="88">
        <v>44058</v>
      </c>
      <c r="C566">
        <v>29.469455524499782</v>
      </c>
      <c r="D566" t="s">
        <v>107</v>
      </c>
    </row>
    <row r="567" spans="1:4" x14ac:dyDescent="0.35">
      <c r="A567" t="s">
        <v>48</v>
      </c>
      <c r="B567" s="88">
        <v>44150</v>
      </c>
      <c r="C567">
        <v>29.474586915121986</v>
      </c>
      <c r="D567" t="s">
        <v>107</v>
      </c>
    </row>
    <row r="568" spans="1:4" x14ac:dyDescent="0.35">
      <c r="A568" t="s">
        <v>48</v>
      </c>
      <c r="B568" s="88">
        <v>44242</v>
      </c>
      <c r="C568">
        <v>29.52611977917093</v>
      </c>
      <c r="D568" t="s">
        <v>107</v>
      </c>
    </row>
    <row r="569" spans="1:4" x14ac:dyDescent="0.35">
      <c r="A569" t="s">
        <v>48</v>
      </c>
      <c r="B569" s="88">
        <v>44331</v>
      </c>
      <c r="C569">
        <v>30.225275359191674</v>
      </c>
      <c r="D569" t="s">
        <v>107</v>
      </c>
    </row>
    <row r="570" spans="1:4" x14ac:dyDescent="0.35">
      <c r="A570" t="s">
        <v>48</v>
      </c>
      <c r="B570" s="88">
        <v>44423</v>
      </c>
      <c r="C570">
        <v>30.676821004545069</v>
      </c>
      <c r="D570" t="s">
        <v>107</v>
      </c>
    </row>
    <row r="571" spans="1:4" x14ac:dyDescent="0.35">
      <c r="A571" t="s">
        <v>48</v>
      </c>
      <c r="B571" s="88">
        <v>44515</v>
      </c>
      <c r="C571">
        <v>30.806138538978065</v>
      </c>
      <c r="D571" t="s">
        <v>107</v>
      </c>
    </row>
    <row r="572" spans="1:4" x14ac:dyDescent="0.35">
      <c r="A572" t="s">
        <v>48</v>
      </c>
      <c r="B572" s="88">
        <v>44607</v>
      </c>
      <c r="C572">
        <v>30.949880505837424</v>
      </c>
      <c r="D572" t="s">
        <v>107</v>
      </c>
    </row>
    <row r="573" spans="1:4" x14ac:dyDescent="0.35">
      <c r="A573" t="s">
        <v>48</v>
      </c>
      <c r="B573" s="88">
        <v>44696</v>
      </c>
      <c r="C573">
        <v>32.282641958997395</v>
      </c>
      <c r="D573" t="s">
        <v>107</v>
      </c>
    </row>
    <row r="574" spans="1:4" x14ac:dyDescent="0.35">
      <c r="A574" t="s">
        <v>48</v>
      </c>
      <c r="B574" s="88">
        <v>44788</v>
      </c>
      <c r="C574">
        <v>32.376119721112914</v>
      </c>
      <c r="D574" t="s">
        <v>107</v>
      </c>
    </row>
    <row r="575" spans="1:4" x14ac:dyDescent="0.35">
      <c r="A575" t="s">
        <v>48</v>
      </c>
      <c r="B575" s="88">
        <v>44880</v>
      </c>
      <c r="C575">
        <v>32.510087202913908</v>
      </c>
      <c r="D575" t="s">
        <v>107</v>
      </c>
    </row>
    <row r="576" spans="1:4" x14ac:dyDescent="0.35">
      <c r="A576" t="s">
        <v>48</v>
      </c>
      <c r="B576" s="88">
        <v>44972</v>
      </c>
      <c r="C576">
        <v>32.71407451547357</v>
      </c>
      <c r="D576" t="s">
        <v>107</v>
      </c>
    </row>
    <row r="577" spans="1:4" x14ac:dyDescent="0.35">
      <c r="A577" t="s">
        <v>48</v>
      </c>
      <c r="B577" s="88">
        <v>45061</v>
      </c>
      <c r="C577">
        <v>33.7403328051724</v>
      </c>
      <c r="D577" t="s">
        <v>107</v>
      </c>
    </row>
    <row r="578" spans="1:4" x14ac:dyDescent="0.35">
      <c r="A578" t="s">
        <v>48</v>
      </c>
      <c r="B578" s="88">
        <v>45153</v>
      </c>
      <c r="C578">
        <v>34.117654223345298</v>
      </c>
      <c r="D578" t="s">
        <v>107</v>
      </c>
    </row>
    <row r="579" spans="1:4" x14ac:dyDescent="0.35">
      <c r="A579" t="s">
        <v>48</v>
      </c>
      <c r="B579" s="88">
        <v>45245</v>
      </c>
      <c r="C579">
        <v>34.278916013374698</v>
      </c>
      <c r="D579" t="s">
        <v>107</v>
      </c>
    </row>
    <row r="580" spans="1:4" x14ac:dyDescent="0.35">
      <c r="A580" t="s">
        <v>48</v>
      </c>
      <c r="B580" s="88">
        <v>45337</v>
      </c>
      <c r="C580">
        <v>34.396275230047301</v>
      </c>
      <c r="D580" t="s">
        <v>107</v>
      </c>
    </row>
    <row r="581" spans="1:4" x14ac:dyDescent="0.35">
      <c r="A581" t="s">
        <v>48</v>
      </c>
      <c r="B581" s="88">
        <v>45427</v>
      </c>
      <c r="C581">
        <v>36.737637930890699</v>
      </c>
      <c r="D581" t="s">
        <v>107</v>
      </c>
    </row>
    <row r="582" spans="1:4" x14ac:dyDescent="0.35">
      <c r="A582" t="s">
        <v>48</v>
      </c>
      <c r="B582" s="88">
        <v>45519</v>
      </c>
      <c r="C582">
        <v>37.116167821993898</v>
      </c>
      <c r="D582" t="s">
        <v>107</v>
      </c>
    </row>
    <row r="583" spans="1:4" x14ac:dyDescent="0.35">
      <c r="A583" t="s">
        <v>48</v>
      </c>
      <c r="B583" s="88">
        <v>45611</v>
      </c>
      <c r="C583">
        <v>37.395054491535198</v>
      </c>
      <c r="D583" t="s">
        <v>107</v>
      </c>
    </row>
    <row r="584" spans="1:4" x14ac:dyDescent="0.35">
      <c r="A584" t="s">
        <v>48</v>
      </c>
      <c r="B584" s="88">
        <v>45703</v>
      </c>
      <c r="C584">
        <v>37.538546225677699</v>
      </c>
      <c r="D584" t="s">
        <v>107</v>
      </c>
    </row>
    <row r="585" spans="1:4" x14ac:dyDescent="0.35">
      <c r="A585" t="s">
        <v>48</v>
      </c>
      <c r="B585" s="88">
        <v>45792</v>
      </c>
      <c r="C585">
        <v>41.759283428459298</v>
      </c>
      <c r="D585" t="s">
        <v>107</v>
      </c>
    </row>
    <row r="586" spans="1:4" x14ac:dyDescent="0.35">
      <c r="A586" t="s">
        <v>48</v>
      </c>
      <c r="B586" s="88">
        <v>45884</v>
      </c>
      <c r="C586">
        <v>41.869685349082602</v>
      </c>
      <c r="D586" t="s">
        <v>107</v>
      </c>
    </row>
    <row r="587" spans="1:4" x14ac:dyDescent="0.35">
      <c r="A587" t="s">
        <v>48</v>
      </c>
      <c r="B587" s="88">
        <v>45976</v>
      </c>
      <c r="C587">
        <v>41.811661834738601</v>
      </c>
      <c r="D587" t="s">
        <v>107</v>
      </c>
    </row>
    <row r="588" spans="1:4" x14ac:dyDescent="0.35">
      <c r="A588" t="s">
        <v>48</v>
      </c>
      <c r="B588" s="88">
        <v>46068</v>
      </c>
      <c r="C588">
        <v>42.636761274192203</v>
      </c>
      <c r="D588" t="s">
        <v>107</v>
      </c>
    </row>
    <row r="589" spans="1:4" x14ac:dyDescent="0.35">
      <c r="A589" t="s">
        <v>48</v>
      </c>
      <c r="B589" s="88">
        <v>46157</v>
      </c>
      <c r="C589">
        <v>44.656745723181501</v>
      </c>
      <c r="D589" t="s">
        <v>107</v>
      </c>
    </row>
    <row r="590" spans="1:4" x14ac:dyDescent="0.35">
      <c r="A590" t="s">
        <v>48</v>
      </c>
      <c r="B590" s="88">
        <v>46249</v>
      </c>
      <c r="C590">
        <v>44.723172329788099</v>
      </c>
      <c r="D590" t="s">
        <v>107</v>
      </c>
    </row>
    <row r="591" spans="1:4" x14ac:dyDescent="0.35">
      <c r="A591" t="s">
        <v>49</v>
      </c>
      <c r="B591" s="88">
        <v>43511</v>
      </c>
      <c r="C591">
        <v>31.093446144945666</v>
      </c>
      <c r="D591" t="s">
        <v>107</v>
      </c>
    </row>
    <row r="592" spans="1:4" x14ac:dyDescent="0.35">
      <c r="A592" t="s">
        <v>49</v>
      </c>
      <c r="B592" s="88">
        <v>43600</v>
      </c>
      <c r="C592">
        <v>31.098338168618184</v>
      </c>
      <c r="D592" t="s">
        <v>107</v>
      </c>
    </row>
    <row r="593" spans="1:4" x14ac:dyDescent="0.35">
      <c r="A593" t="s">
        <v>49</v>
      </c>
      <c r="B593" s="88">
        <v>43692</v>
      </c>
      <c r="C593">
        <v>31.158266467833037</v>
      </c>
      <c r="D593" t="s">
        <v>107</v>
      </c>
    </row>
    <row r="594" spans="1:4" x14ac:dyDescent="0.35">
      <c r="A594" t="s">
        <v>49</v>
      </c>
      <c r="B594" s="88">
        <v>43784</v>
      </c>
      <c r="C594">
        <v>31.743091533734813</v>
      </c>
      <c r="D594" t="s">
        <v>107</v>
      </c>
    </row>
    <row r="595" spans="1:4" x14ac:dyDescent="0.35">
      <c r="A595" t="s">
        <v>49</v>
      </c>
      <c r="B595" s="88">
        <v>43876</v>
      </c>
      <c r="C595">
        <v>31.925934831418886</v>
      </c>
      <c r="D595" t="s">
        <v>107</v>
      </c>
    </row>
    <row r="596" spans="1:4" x14ac:dyDescent="0.35">
      <c r="A596" t="s">
        <v>49</v>
      </c>
      <c r="B596" s="88">
        <v>43966</v>
      </c>
      <c r="C596">
        <v>32.601325206040755</v>
      </c>
      <c r="D596" t="s">
        <v>107</v>
      </c>
    </row>
    <row r="597" spans="1:4" x14ac:dyDescent="0.35">
      <c r="A597" t="s">
        <v>49</v>
      </c>
      <c r="B597" s="88">
        <v>44058</v>
      </c>
      <c r="C597">
        <v>32.586122485666756</v>
      </c>
      <c r="D597" t="s">
        <v>107</v>
      </c>
    </row>
    <row r="598" spans="1:4" x14ac:dyDescent="0.35">
      <c r="A598" t="s">
        <v>49</v>
      </c>
      <c r="B598" s="88">
        <v>44150</v>
      </c>
      <c r="C598">
        <v>32.574197555962883</v>
      </c>
      <c r="D598" t="s">
        <v>107</v>
      </c>
    </row>
    <row r="599" spans="1:4" x14ac:dyDescent="0.35">
      <c r="A599" t="s">
        <v>49</v>
      </c>
      <c r="B599" s="88">
        <v>44242</v>
      </c>
      <c r="C599">
        <v>32.641700705632886</v>
      </c>
      <c r="D599" t="s">
        <v>107</v>
      </c>
    </row>
    <row r="600" spans="1:4" x14ac:dyDescent="0.35">
      <c r="A600" t="s">
        <v>49</v>
      </c>
      <c r="B600" s="88">
        <v>44331</v>
      </c>
      <c r="C600">
        <v>32.580521963565012</v>
      </c>
      <c r="D600" t="s">
        <v>107</v>
      </c>
    </row>
    <row r="601" spans="1:4" x14ac:dyDescent="0.35">
      <c r="A601" t="s">
        <v>49</v>
      </c>
      <c r="B601" s="88">
        <v>44423</v>
      </c>
      <c r="C601">
        <v>33.075919855125228</v>
      </c>
      <c r="D601" t="s">
        <v>107</v>
      </c>
    </row>
    <row r="602" spans="1:4" x14ac:dyDescent="0.35">
      <c r="A602" t="s">
        <v>49</v>
      </c>
      <c r="B602" s="88">
        <v>44515</v>
      </c>
      <c r="C602">
        <v>33.259375401059543</v>
      </c>
      <c r="D602" t="s">
        <v>107</v>
      </c>
    </row>
    <row r="603" spans="1:4" x14ac:dyDescent="0.35">
      <c r="A603" t="s">
        <v>49</v>
      </c>
      <c r="B603" s="88">
        <v>44607</v>
      </c>
      <c r="C603">
        <v>33.879886123095766</v>
      </c>
      <c r="D603" t="s">
        <v>107</v>
      </c>
    </row>
    <row r="604" spans="1:4" x14ac:dyDescent="0.35">
      <c r="A604" t="s">
        <v>49</v>
      </c>
      <c r="B604" s="88">
        <v>44696</v>
      </c>
      <c r="C604">
        <v>34.534559797058463</v>
      </c>
      <c r="D604" t="s">
        <v>107</v>
      </c>
    </row>
    <row r="605" spans="1:4" x14ac:dyDescent="0.35">
      <c r="A605" t="s">
        <v>49</v>
      </c>
      <c r="B605" s="88">
        <v>44788</v>
      </c>
      <c r="C605">
        <v>34.384752684659944</v>
      </c>
      <c r="D605" t="s">
        <v>107</v>
      </c>
    </row>
    <row r="606" spans="1:4" x14ac:dyDescent="0.35">
      <c r="A606" t="s">
        <v>49</v>
      </c>
      <c r="B606" s="88">
        <v>44880</v>
      </c>
      <c r="C606">
        <v>34.372844776961564</v>
      </c>
      <c r="D606" t="s">
        <v>107</v>
      </c>
    </row>
    <row r="607" spans="1:4" x14ac:dyDescent="0.35">
      <c r="A607" t="s">
        <v>49</v>
      </c>
      <c r="B607" s="88">
        <v>44972</v>
      </c>
      <c r="C607">
        <v>34.894573792870986</v>
      </c>
      <c r="D607" t="s">
        <v>107</v>
      </c>
    </row>
    <row r="608" spans="1:4" x14ac:dyDescent="0.35">
      <c r="A608" t="s">
        <v>49</v>
      </c>
      <c r="B608" s="88">
        <v>45061</v>
      </c>
      <c r="C608">
        <v>34.499521731319099</v>
      </c>
      <c r="D608" t="s">
        <v>107</v>
      </c>
    </row>
    <row r="609" spans="1:4" x14ac:dyDescent="0.35">
      <c r="A609" t="s">
        <v>49</v>
      </c>
      <c r="B609" s="88">
        <v>45153</v>
      </c>
      <c r="C609">
        <v>36.1369612662752</v>
      </c>
      <c r="D609" t="s">
        <v>107</v>
      </c>
    </row>
    <row r="610" spans="1:4" x14ac:dyDescent="0.35">
      <c r="A610" t="s">
        <v>49</v>
      </c>
      <c r="B610" s="88">
        <v>45245</v>
      </c>
      <c r="C610">
        <v>35.952458129738503</v>
      </c>
      <c r="D610" t="s">
        <v>107</v>
      </c>
    </row>
    <row r="611" spans="1:4" x14ac:dyDescent="0.35">
      <c r="A611" t="s">
        <v>49</v>
      </c>
      <c r="B611" s="88">
        <v>45337</v>
      </c>
      <c r="C611">
        <v>36.214105815425803</v>
      </c>
      <c r="D611" t="s">
        <v>107</v>
      </c>
    </row>
    <row r="612" spans="1:4" x14ac:dyDescent="0.35">
      <c r="A612" t="s">
        <v>49</v>
      </c>
      <c r="B612" s="88">
        <v>45427</v>
      </c>
      <c r="C612">
        <v>37.844134645095103</v>
      </c>
      <c r="D612" t="s">
        <v>107</v>
      </c>
    </row>
    <row r="613" spans="1:4" x14ac:dyDescent="0.35">
      <c r="A613" t="s">
        <v>49</v>
      </c>
      <c r="B613" s="88">
        <v>45519</v>
      </c>
      <c r="C613">
        <v>38.150629591397198</v>
      </c>
      <c r="D613" t="s">
        <v>107</v>
      </c>
    </row>
    <row r="614" spans="1:4" x14ac:dyDescent="0.35">
      <c r="A614" t="s">
        <v>49</v>
      </c>
      <c r="B614" s="88">
        <v>45611</v>
      </c>
      <c r="C614">
        <v>38.549381120022304</v>
      </c>
      <c r="D614" t="s">
        <v>107</v>
      </c>
    </row>
    <row r="615" spans="1:4" x14ac:dyDescent="0.35">
      <c r="A615" t="s">
        <v>49</v>
      </c>
      <c r="B615" s="88">
        <v>45703</v>
      </c>
      <c r="C615">
        <v>38.704642936115697</v>
      </c>
      <c r="D615" t="s">
        <v>107</v>
      </c>
    </row>
    <row r="616" spans="1:4" x14ac:dyDescent="0.35">
      <c r="A616" t="s">
        <v>49</v>
      </c>
      <c r="B616" s="88">
        <v>45792</v>
      </c>
      <c r="C616">
        <v>42.171886642094499</v>
      </c>
      <c r="D616" t="s">
        <v>107</v>
      </c>
    </row>
    <row r="617" spans="1:4" x14ac:dyDescent="0.35">
      <c r="A617" t="s">
        <v>49</v>
      </c>
      <c r="B617" s="88">
        <v>45884</v>
      </c>
      <c r="C617">
        <v>42.220325044151899</v>
      </c>
      <c r="D617" t="s">
        <v>107</v>
      </c>
    </row>
    <row r="618" spans="1:4" x14ac:dyDescent="0.35">
      <c r="A618" t="s">
        <v>49</v>
      </c>
      <c r="B618" s="88">
        <v>45976</v>
      </c>
      <c r="C618">
        <v>42.214989427672101</v>
      </c>
      <c r="D618" t="s">
        <v>107</v>
      </c>
    </row>
    <row r="619" spans="1:4" x14ac:dyDescent="0.35">
      <c r="A619" t="s">
        <v>49</v>
      </c>
      <c r="B619" s="88">
        <v>46068</v>
      </c>
      <c r="C619">
        <v>43.136795060445003</v>
      </c>
      <c r="D619" t="s">
        <v>107</v>
      </c>
    </row>
    <row r="620" spans="1:4" x14ac:dyDescent="0.35">
      <c r="A620" t="s">
        <v>49</v>
      </c>
      <c r="B620" s="88">
        <v>46157</v>
      </c>
      <c r="C620">
        <v>44.370149817194601</v>
      </c>
      <c r="D620" t="s">
        <v>107</v>
      </c>
    </row>
    <row r="621" spans="1:4" x14ac:dyDescent="0.35">
      <c r="A621" t="s">
        <v>49</v>
      </c>
      <c r="B621" s="88">
        <v>46249</v>
      </c>
      <c r="C621">
        <v>44.531777387083501</v>
      </c>
      <c r="D621" t="s">
        <v>107</v>
      </c>
    </row>
    <row r="622" spans="1:4" x14ac:dyDescent="0.35">
      <c r="A622" t="s">
        <v>66</v>
      </c>
      <c r="B622" s="88">
        <v>43511</v>
      </c>
      <c r="C622">
        <v>28.980311854778851</v>
      </c>
      <c r="D622" t="s">
        <v>107</v>
      </c>
    </row>
    <row r="623" spans="1:4" x14ac:dyDescent="0.35">
      <c r="A623" t="s">
        <v>66</v>
      </c>
      <c r="B623" s="88">
        <v>43600</v>
      </c>
      <c r="C623">
        <v>28.516869890683928</v>
      </c>
      <c r="D623" t="s">
        <v>107</v>
      </c>
    </row>
    <row r="624" spans="1:4" x14ac:dyDescent="0.35">
      <c r="A624" t="s">
        <v>66</v>
      </c>
      <c r="B624" s="88">
        <v>43692</v>
      </c>
      <c r="C624">
        <v>28.508283954312407</v>
      </c>
      <c r="D624" t="s">
        <v>107</v>
      </c>
    </row>
    <row r="625" spans="1:4" x14ac:dyDescent="0.35">
      <c r="A625" t="s">
        <v>66</v>
      </c>
      <c r="B625" s="88">
        <v>43784</v>
      </c>
      <c r="C625">
        <v>28.936520576177283</v>
      </c>
      <c r="D625" t="s">
        <v>107</v>
      </c>
    </row>
    <row r="626" spans="1:4" x14ac:dyDescent="0.35">
      <c r="A626" t="s">
        <v>66</v>
      </c>
      <c r="B626" s="88">
        <v>43876</v>
      </c>
      <c r="C626">
        <v>29.082897485909687</v>
      </c>
      <c r="D626" t="s">
        <v>107</v>
      </c>
    </row>
    <row r="627" spans="1:4" x14ac:dyDescent="0.35">
      <c r="A627" t="s">
        <v>66</v>
      </c>
      <c r="B627" s="88">
        <v>43966</v>
      </c>
      <c r="C627">
        <v>29.130405891172348</v>
      </c>
      <c r="D627" t="s">
        <v>107</v>
      </c>
    </row>
    <row r="628" spans="1:4" x14ac:dyDescent="0.35">
      <c r="A628" t="s">
        <v>66</v>
      </c>
      <c r="B628" s="88">
        <v>44058</v>
      </c>
      <c r="C628">
        <v>28.980945869506051</v>
      </c>
      <c r="D628" t="s">
        <v>107</v>
      </c>
    </row>
    <row r="629" spans="1:4" x14ac:dyDescent="0.35">
      <c r="A629" t="s">
        <v>66</v>
      </c>
      <c r="B629" s="88">
        <v>44150</v>
      </c>
      <c r="C629">
        <v>29.006757239477334</v>
      </c>
      <c r="D629" t="s">
        <v>107</v>
      </c>
    </row>
    <row r="630" spans="1:4" x14ac:dyDescent="0.35">
      <c r="A630" t="s">
        <v>66</v>
      </c>
      <c r="B630" s="88">
        <v>44242</v>
      </c>
      <c r="C630">
        <v>28.821115795629726</v>
      </c>
      <c r="D630" t="s">
        <v>107</v>
      </c>
    </row>
    <row r="631" spans="1:4" x14ac:dyDescent="0.35">
      <c r="A631" t="s">
        <v>66</v>
      </c>
      <c r="B631" s="88">
        <v>44331</v>
      </c>
      <c r="C631">
        <v>28.743548724149168</v>
      </c>
      <c r="D631" t="s">
        <v>107</v>
      </c>
    </row>
    <row r="632" spans="1:4" x14ac:dyDescent="0.35">
      <c r="A632" t="s">
        <v>66</v>
      </c>
      <c r="B632" s="88">
        <v>44423</v>
      </c>
      <c r="C632">
        <v>29.222815016349141</v>
      </c>
      <c r="D632" t="s">
        <v>107</v>
      </c>
    </row>
    <row r="633" spans="1:4" x14ac:dyDescent="0.35">
      <c r="A633" t="s">
        <v>66</v>
      </c>
      <c r="B633" s="88">
        <v>44515</v>
      </c>
      <c r="C633">
        <v>29.597657661426275</v>
      </c>
      <c r="D633" t="s">
        <v>107</v>
      </c>
    </row>
    <row r="634" spans="1:4" x14ac:dyDescent="0.35">
      <c r="A634" t="s">
        <v>66</v>
      </c>
      <c r="B634" s="88">
        <v>44607</v>
      </c>
      <c r="C634">
        <v>29.977330470184995</v>
      </c>
      <c r="D634" t="s">
        <v>107</v>
      </c>
    </row>
    <row r="635" spans="1:4" x14ac:dyDescent="0.35">
      <c r="A635" t="s">
        <v>66</v>
      </c>
      <c r="B635" s="88">
        <v>44696</v>
      </c>
      <c r="C635">
        <v>30.359362857593521</v>
      </c>
      <c r="D635" t="s">
        <v>107</v>
      </c>
    </row>
    <row r="636" spans="1:4" x14ac:dyDescent="0.35">
      <c r="A636" t="s">
        <v>66</v>
      </c>
      <c r="B636" s="88">
        <v>44788</v>
      </c>
      <c r="C636">
        <v>30.376180762790721</v>
      </c>
      <c r="D636" t="s">
        <v>107</v>
      </c>
    </row>
    <row r="637" spans="1:4" x14ac:dyDescent="0.35">
      <c r="A637" t="s">
        <v>66</v>
      </c>
      <c r="B637" s="88">
        <v>44880</v>
      </c>
      <c r="C637">
        <v>30.358372470295897</v>
      </c>
      <c r="D637" t="s">
        <v>107</v>
      </c>
    </row>
    <row r="638" spans="1:4" x14ac:dyDescent="0.35">
      <c r="A638" t="s">
        <v>66</v>
      </c>
      <c r="B638" s="88">
        <v>44972</v>
      </c>
      <c r="C638">
        <v>30.493883138992317</v>
      </c>
      <c r="D638" t="s">
        <v>107</v>
      </c>
    </row>
    <row r="639" spans="1:4" x14ac:dyDescent="0.35">
      <c r="A639" t="s">
        <v>66</v>
      </c>
      <c r="B639" s="88">
        <v>45061</v>
      </c>
      <c r="C639">
        <v>29.7502248555965</v>
      </c>
      <c r="D639" t="s">
        <v>107</v>
      </c>
    </row>
    <row r="640" spans="1:4" x14ac:dyDescent="0.35">
      <c r="A640" t="s">
        <v>66</v>
      </c>
      <c r="B640" s="88">
        <v>45153</v>
      </c>
      <c r="C640">
        <v>30.753952602777701</v>
      </c>
      <c r="D640" t="s">
        <v>107</v>
      </c>
    </row>
    <row r="641" spans="1:4" x14ac:dyDescent="0.35">
      <c r="A641" t="s">
        <v>66</v>
      </c>
      <c r="B641" s="88">
        <v>45245</v>
      </c>
      <c r="C641">
        <v>31.135768036118598</v>
      </c>
      <c r="D641" t="s">
        <v>107</v>
      </c>
    </row>
    <row r="642" spans="1:4" x14ac:dyDescent="0.35">
      <c r="A642" t="s">
        <v>66</v>
      </c>
      <c r="B642" s="88">
        <v>45337</v>
      </c>
      <c r="C642">
        <v>30.329745773895699</v>
      </c>
      <c r="D642" t="s">
        <v>107</v>
      </c>
    </row>
    <row r="643" spans="1:4" x14ac:dyDescent="0.35">
      <c r="A643" t="s">
        <v>66</v>
      </c>
      <c r="B643" s="88">
        <v>45427</v>
      </c>
      <c r="C643">
        <v>31.266701715890299</v>
      </c>
      <c r="D643" t="s">
        <v>107</v>
      </c>
    </row>
    <row r="644" spans="1:4" x14ac:dyDescent="0.35">
      <c r="A644" t="s">
        <v>66</v>
      </c>
      <c r="B644" s="88">
        <v>45519</v>
      </c>
      <c r="C644">
        <v>31.5795518082009</v>
      </c>
      <c r="D644" t="s">
        <v>107</v>
      </c>
    </row>
    <row r="645" spans="1:4" x14ac:dyDescent="0.35">
      <c r="A645" t="s">
        <v>66</v>
      </c>
      <c r="B645" s="88">
        <v>45611</v>
      </c>
      <c r="C645">
        <v>31.141779305441599</v>
      </c>
      <c r="D645" t="s">
        <v>107</v>
      </c>
    </row>
    <row r="646" spans="1:4" x14ac:dyDescent="0.35">
      <c r="A646" t="s">
        <v>66</v>
      </c>
      <c r="B646" s="88">
        <v>45703</v>
      </c>
      <c r="C646">
        <v>31.934729573050401</v>
      </c>
      <c r="D646" t="s">
        <v>107</v>
      </c>
    </row>
    <row r="647" spans="1:4" x14ac:dyDescent="0.35">
      <c r="A647" t="s">
        <v>66</v>
      </c>
      <c r="B647" s="88">
        <v>45792</v>
      </c>
      <c r="C647">
        <v>35.702924235615001</v>
      </c>
      <c r="D647" t="s">
        <v>107</v>
      </c>
    </row>
    <row r="648" spans="1:4" x14ac:dyDescent="0.35">
      <c r="A648" t="s">
        <v>66</v>
      </c>
      <c r="B648" s="88">
        <v>45884</v>
      </c>
      <c r="C648">
        <v>35.687732447227397</v>
      </c>
      <c r="D648" t="s">
        <v>107</v>
      </c>
    </row>
    <row r="649" spans="1:4" x14ac:dyDescent="0.35">
      <c r="A649" t="s">
        <v>66</v>
      </c>
      <c r="B649" s="88">
        <v>45976</v>
      </c>
      <c r="C649">
        <v>35.538329115048597</v>
      </c>
      <c r="D649" t="s">
        <v>107</v>
      </c>
    </row>
    <row r="650" spans="1:4" x14ac:dyDescent="0.35">
      <c r="A650" t="s">
        <v>66</v>
      </c>
      <c r="B650" s="88">
        <v>46068</v>
      </c>
      <c r="C650">
        <v>36.641311739793501</v>
      </c>
      <c r="D650" t="s">
        <v>107</v>
      </c>
    </row>
    <row r="651" spans="1:4" x14ac:dyDescent="0.35">
      <c r="A651" t="s">
        <v>66</v>
      </c>
      <c r="B651" s="88">
        <v>46157</v>
      </c>
      <c r="C651">
        <v>38.526067511174404</v>
      </c>
      <c r="D651" t="s">
        <v>107</v>
      </c>
    </row>
    <row r="652" spans="1:4" x14ac:dyDescent="0.35">
      <c r="A652" t="s">
        <v>66</v>
      </c>
      <c r="B652" s="88">
        <v>46249</v>
      </c>
      <c r="C652">
        <v>38.608311998429997</v>
      </c>
      <c r="D652" t="s">
        <v>107</v>
      </c>
    </row>
    <row r="653" spans="1:4" x14ac:dyDescent="0.35">
      <c r="A653" t="s">
        <v>50</v>
      </c>
      <c r="B653" s="88">
        <v>43511</v>
      </c>
      <c r="C653">
        <v>41.897782078219812</v>
      </c>
      <c r="D653" t="s">
        <v>107</v>
      </c>
    </row>
    <row r="654" spans="1:4" x14ac:dyDescent="0.35">
      <c r="A654" t="s">
        <v>50</v>
      </c>
      <c r="B654" s="88">
        <v>43600</v>
      </c>
      <c r="C654">
        <v>42.075474702856226</v>
      </c>
      <c r="D654" t="s">
        <v>107</v>
      </c>
    </row>
    <row r="655" spans="1:4" x14ac:dyDescent="0.35">
      <c r="A655" t="s">
        <v>50</v>
      </c>
      <c r="B655" s="88">
        <v>43692</v>
      </c>
      <c r="C655">
        <v>42.119913453322418</v>
      </c>
      <c r="D655" t="s">
        <v>107</v>
      </c>
    </row>
    <row r="656" spans="1:4" x14ac:dyDescent="0.35">
      <c r="A656" t="s">
        <v>50</v>
      </c>
      <c r="B656" s="88">
        <v>43784</v>
      </c>
      <c r="C656">
        <v>42.579799989714857</v>
      </c>
      <c r="D656" t="s">
        <v>107</v>
      </c>
    </row>
    <row r="657" spans="1:4" x14ac:dyDescent="0.35">
      <c r="A657" t="s">
        <v>50</v>
      </c>
      <c r="B657" s="88">
        <v>43876</v>
      </c>
      <c r="C657">
        <v>42.679508705965901</v>
      </c>
      <c r="D657" t="s">
        <v>107</v>
      </c>
    </row>
    <row r="658" spans="1:4" x14ac:dyDescent="0.35">
      <c r="A658" t="s">
        <v>50</v>
      </c>
      <c r="B658" s="88">
        <v>43966</v>
      </c>
      <c r="C658">
        <v>41.553790709250571</v>
      </c>
      <c r="D658" t="s">
        <v>107</v>
      </c>
    </row>
    <row r="659" spans="1:4" x14ac:dyDescent="0.35">
      <c r="A659" t="s">
        <v>50</v>
      </c>
      <c r="B659" s="88">
        <v>44058</v>
      </c>
      <c r="C659">
        <v>41.521367924449905</v>
      </c>
      <c r="D659" t="s">
        <v>107</v>
      </c>
    </row>
    <row r="660" spans="1:4" x14ac:dyDescent="0.35">
      <c r="A660" t="s">
        <v>50</v>
      </c>
      <c r="B660" s="88">
        <v>44150</v>
      </c>
      <c r="C660">
        <v>41.058448615748993</v>
      </c>
      <c r="D660" t="s">
        <v>107</v>
      </c>
    </row>
    <row r="661" spans="1:4" x14ac:dyDescent="0.35">
      <c r="A661" t="s">
        <v>50</v>
      </c>
      <c r="B661" s="88">
        <v>44242</v>
      </c>
      <c r="C661">
        <v>41.080888832822247</v>
      </c>
      <c r="D661" t="s">
        <v>107</v>
      </c>
    </row>
    <row r="662" spans="1:4" x14ac:dyDescent="0.35">
      <c r="A662" t="s">
        <v>50</v>
      </c>
      <c r="B662" s="88">
        <v>44331</v>
      </c>
      <c r="C662">
        <v>40.8032057780255</v>
      </c>
      <c r="D662" t="s">
        <v>107</v>
      </c>
    </row>
    <row r="663" spans="1:4" x14ac:dyDescent="0.35">
      <c r="A663" t="s">
        <v>50</v>
      </c>
      <c r="B663" s="88">
        <v>44423</v>
      </c>
      <c r="C663">
        <v>40.935801407212232</v>
      </c>
      <c r="D663" t="s">
        <v>107</v>
      </c>
    </row>
    <row r="664" spans="1:4" x14ac:dyDescent="0.35">
      <c r="A664" t="s">
        <v>50</v>
      </c>
      <c r="B664" s="88">
        <v>44515</v>
      </c>
      <c r="C664">
        <v>40.949153530829136</v>
      </c>
      <c r="D664" t="s">
        <v>107</v>
      </c>
    </row>
    <row r="665" spans="1:4" x14ac:dyDescent="0.35">
      <c r="A665" t="s">
        <v>50</v>
      </c>
      <c r="B665" s="88">
        <v>44607</v>
      </c>
      <c r="C665">
        <v>41.123110574190562</v>
      </c>
      <c r="D665" t="s">
        <v>107</v>
      </c>
    </row>
    <row r="666" spans="1:4" x14ac:dyDescent="0.35">
      <c r="A666" t="s">
        <v>50</v>
      </c>
      <c r="B666" s="88">
        <v>44696</v>
      </c>
      <c r="C666">
        <v>40.553070992562972</v>
      </c>
      <c r="D666" t="s">
        <v>107</v>
      </c>
    </row>
    <row r="667" spans="1:4" x14ac:dyDescent="0.35">
      <c r="A667" t="s">
        <v>50</v>
      </c>
      <c r="B667" s="88">
        <v>44788</v>
      </c>
      <c r="C667">
        <v>40.632045623033356</v>
      </c>
      <c r="D667" t="s">
        <v>107</v>
      </c>
    </row>
    <row r="668" spans="1:4" x14ac:dyDescent="0.35">
      <c r="A668" t="s">
        <v>50</v>
      </c>
      <c r="B668" s="88">
        <v>44880</v>
      </c>
      <c r="C668">
        <v>40.324865002266009</v>
      </c>
      <c r="D668" t="s">
        <v>107</v>
      </c>
    </row>
    <row r="669" spans="1:4" x14ac:dyDescent="0.35">
      <c r="A669" t="s">
        <v>50</v>
      </c>
      <c r="B669" s="88">
        <v>44972</v>
      </c>
      <c r="C669">
        <v>40.274645556014285</v>
      </c>
      <c r="D669" t="s">
        <v>107</v>
      </c>
    </row>
    <row r="670" spans="1:4" x14ac:dyDescent="0.35">
      <c r="A670" t="s">
        <v>50</v>
      </c>
      <c r="B670" s="88">
        <v>45061</v>
      </c>
      <c r="C670">
        <v>41.272612069793702</v>
      </c>
      <c r="D670" t="s">
        <v>107</v>
      </c>
    </row>
    <row r="671" spans="1:4" x14ac:dyDescent="0.35">
      <c r="A671" t="s">
        <v>50</v>
      </c>
      <c r="B671" s="88">
        <v>45153</v>
      </c>
      <c r="C671">
        <v>41.5447817621247</v>
      </c>
      <c r="D671" t="s">
        <v>107</v>
      </c>
    </row>
    <row r="672" spans="1:4" x14ac:dyDescent="0.35">
      <c r="A672" t="s">
        <v>50</v>
      </c>
      <c r="B672" s="88">
        <v>45245</v>
      </c>
      <c r="C672">
        <v>41.7264911695843</v>
      </c>
      <c r="D672" t="s">
        <v>107</v>
      </c>
    </row>
    <row r="673" spans="1:4" x14ac:dyDescent="0.35">
      <c r="A673" t="s">
        <v>50</v>
      </c>
      <c r="B673" s="88">
        <v>45337</v>
      </c>
      <c r="C673">
        <v>41.831673550535299</v>
      </c>
      <c r="D673" t="s">
        <v>107</v>
      </c>
    </row>
    <row r="674" spans="1:4" x14ac:dyDescent="0.35">
      <c r="A674" t="s">
        <v>50</v>
      </c>
      <c r="B674" s="88">
        <v>45427</v>
      </c>
      <c r="C674">
        <v>43.597205929288897</v>
      </c>
      <c r="D674" t="s">
        <v>107</v>
      </c>
    </row>
    <row r="675" spans="1:4" x14ac:dyDescent="0.35">
      <c r="A675" t="s">
        <v>50</v>
      </c>
      <c r="B675" s="88">
        <v>45519</v>
      </c>
      <c r="C675">
        <v>43.661921069852198</v>
      </c>
      <c r="D675" t="s">
        <v>107</v>
      </c>
    </row>
    <row r="676" spans="1:4" x14ac:dyDescent="0.35">
      <c r="A676" t="s">
        <v>50</v>
      </c>
      <c r="B676" s="88">
        <v>45611</v>
      </c>
      <c r="C676">
        <v>44.334864738417103</v>
      </c>
      <c r="D676" t="s">
        <v>107</v>
      </c>
    </row>
    <row r="677" spans="1:4" x14ac:dyDescent="0.35">
      <c r="A677" t="s">
        <v>50</v>
      </c>
      <c r="B677" s="88">
        <v>45703</v>
      </c>
      <c r="C677">
        <v>44.503009468593703</v>
      </c>
      <c r="D677" t="s">
        <v>107</v>
      </c>
    </row>
    <row r="678" spans="1:4" x14ac:dyDescent="0.35">
      <c r="A678" t="s">
        <v>50</v>
      </c>
      <c r="B678" s="88">
        <v>45792</v>
      </c>
      <c r="C678">
        <v>48.880733293397697</v>
      </c>
      <c r="D678" t="s">
        <v>107</v>
      </c>
    </row>
    <row r="679" spans="1:4" x14ac:dyDescent="0.35">
      <c r="A679" t="s">
        <v>50</v>
      </c>
      <c r="B679" s="88">
        <v>45884</v>
      </c>
      <c r="C679">
        <v>48.961359741142601</v>
      </c>
      <c r="D679" t="s">
        <v>107</v>
      </c>
    </row>
    <row r="680" spans="1:4" x14ac:dyDescent="0.35">
      <c r="A680" t="s">
        <v>50</v>
      </c>
      <c r="B680" s="88">
        <v>45976</v>
      </c>
      <c r="C680">
        <v>48.925463664708602</v>
      </c>
      <c r="D680" t="s">
        <v>107</v>
      </c>
    </row>
    <row r="681" spans="1:4" x14ac:dyDescent="0.35">
      <c r="A681" t="s">
        <v>50</v>
      </c>
      <c r="B681" s="88">
        <v>46068</v>
      </c>
      <c r="C681">
        <v>50.330216000844601</v>
      </c>
      <c r="D681" t="s">
        <v>107</v>
      </c>
    </row>
    <row r="682" spans="1:4" x14ac:dyDescent="0.35">
      <c r="A682" t="s">
        <v>50</v>
      </c>
      <c r="B682" s="88">
        <v>46157</v>
      </c>
      <c r="C682">
        <v>52.524352877454099</v>
      </c>
      <c r="D682" t="s">
        <v>107</v>
      </c>
    </row>
    <row r="683" spans="1:4" x14ac:dyDescent="0.35">
      <c r="A683" t="s">
        <v>50</v>
      </c>
      <c r="B683" s="88">
        <v>46249</v>
      </c>
      <c r="C683">
        <v>50.996952161728402</v>
      </c>
      <c r="D683" t="s">
        <v>107</v>
      </c>
    </row>
    <row r="684" spans="1:4" x14ac:dyDescent="0.35">
      <c r="A684" t="s">
        <v>61</v>
      </c>
      <c r="B684" s="88">
        <v>43511</v>
      </c>
      <c r="C684">
        <v>33.533967146645757</v>
      </c>
      <c r="D684" t="s">
        <v>107</v>
      </c>
    </row>
    <row r="685" spans="1:4" x14ac:dyDescent="0.35">
      <c r="A685" t="s">
        <v>61</v>
      </c>
      <c r="B685" s="88">
        <v>43600</v>
      </c>
      <c r="C685">
        <v>33.476495975416029</v>
      </c>
      <c r="D685" t="s">
        <v>107</v>
      </c>
    </row>
    <row r="686" spans="1:4" x14ac:dyDescent="0.35">
      <c r="A686" t="s">
        <v>61</v>
      </c>
      <c r="B686" s="88">
        <v>43692</v>
      </c>
      <c r="C686">
        <v>33.487454866059117</v>
      </c>
      <c r="D686" t="s">
        <v>107</v>
      </c>
    </row>
    <row r="687" spans="1:4" x14ac:dyDescent="0.35">
      <c r="A687" t="s">
        <v>61</v>
      </c>
      <c r="B687" s="88">
        <v>43784</v>
      </c>
      <c r="C687">
        <v>34.316358679098791</v>
      </c>
      <c r="D687" t="s">
        <v>107</v>
      </c>
    </row>
    <row r="688" spans="1:4" x14ac:dyDescent="0.35">
      <c r="A688" t="s">
        <v>61</v>
      </c>
      <c r="B688" s="88">
        <v>43876</v>
      </c>
      <c r="C688">
        <v>34.566166288956595</v>
      </c>
      <c r="D688" t="s">
        <v>107</v>
      </c>
    </row>
    <row r="689" spans="1:4" x14ac:dyDescent="0.35">
      <c r="A689" t="s">
        <v>61</v>
      </c>
      <c r="B689" s="88">
        <v>43966</v>
      </c>
      <c r="C689">
        <v>33.529611257612025</v>
      </c>
      <c r="D689" t="s">
        <v>107</v>
      </c>
    </row>
    <row r="690" spans="1:4" x14ac:dyDescent="0.35">
      <c r="A690" t="s">
        <v>61</v>
      </c>
      <c r="B690" s="88">
        <v>44058</v>
      </c>
      <c r="C690">
        <v>33.502227215063606</v>
      </c>
      <c r="D690" t="s">
        <v>107</v>
      </c>
    </row>
    <row r="691" spans="1:4" x14ac:dyDescent="0.35">
      <c r="A691" t="s">
        <v>61</v>
      </c>
      <c r="B691" s="88">
        <v>44150</v>
      </c>
      <c r="C691">
        <v>33.469200231913987</v>
      </c>
      <c r="D691" t="s">
        <v>107</v>
      </c>
    </row>
    <row r="692" spans="1:4" x14ac:dyDescent="0.35">
      <c r="A692" t="s">
        <v>61</v>
      </c>
      <c r="B692" s="88">
        <v>44242</v>
      </c>
      <c r="C692">
        <v>33.669577296562295</v>
      </c>
      <c r="D692" t="s">
        <v>107</v>
      </c>
    </row>
    <row r="693" spans="1:4" x14ac:dyDescent="0.35">
      <c r="A693" t="s">
        <v>61</v>
      </c>
      <c r="B693" s="88">
        <v>44331</v>
      </c>
      <c r="C693">
        <v>33.931376540691296</v>
      </c>
      <c r="D693" t="s">
        <v>107</v>
      </c>
    </row>
    <row r="694" spans="1:4" x14ac:dyDescent="0.35">
      <c r="A694" t="s">
        <v>61</v>
      </c>
      <c r="B694" s="88">
        <v>44423</v>
      </c>
      <c r="C694">
        <v>34.042799571063327</v>
      </c>
      <c r="D694" t="s">
        <v>107</v>
      </c>
    </row>
    <row r="695" spans="1:4" x14ac:dyDescent="0.35">
      <c r="A695" t="s">
        <v>61</v>
      </c>
      <c r="B695" s="88">
        <v>44515</v>
      </c>
      <c r="C695">
        <v>34.326180422953144</v>
      </c>
      <c r="D695" t="s">
        <v>107</v>
      </c>
    </row>
    <row r="696" spans="1:4" x14ac:dyDescent="0.35">
      <c r="A696" t="s">
        <v>61</v>
      </c>
      <c r="B696" s="88">
        <v>44607</v>
      </c>
      <c r="C696">
        <v>34.56551489047051</v>
      </c>
      <c r="D696" t="s">
        <v>107</v>
      </c>
    </row>
    <row r="697" spans="1:4" x14ac:dyDescent="0.35">
      <c r="A697" t="s">
        <v>61</v>
      </c>
      <c r="B697" s="88">
        <v>44696</v>
      </c>
      <c r="C697">
        <v>35.369557345948074</v>
      </c>
      <c r="D697" t="s">
        <v>107</v>
      </c>
    </row>
    <row r="698" spans="1:4" x14ac:dyDescent="0.35">
      <c r="A698" t="s">
        <v>61</v>
      </c>
      <c r="B698" s="88">
        <v>44788</v>
      </c>
      <c r="C698">
        <v>35.6268115309609</v>
      </c>
      <c r="D698" t="s">
        <v>107</v>
      </c>
    </row>
    <row r="699" spans="1:4" x14ac:dyDescent="0.35">
      <c r="A699" t="s">
        <v>61</v>
      </c>
      <c r="B699" s="88">
        <v>44880</v>
      </c>
      <c r="C699">
        <v>35.645583173184313</v>
      </c>
      <c r="D699" t="s">
        <v>107</v>
      </c>
    </row>
    <row r="700" spans="1:4" x14ac:dyDescent="0.35">
      <c r="A700" t="s">
        <v>61</v>
      </c>
      <c r="B700" s="88">
        <v>44972</v>
      </c>
      <c r="C700">
        <v>36.347206778930484</v>
      </c>
      <c r="D700" t="s">
        <v>107</v>
      </c>
    </row>
    <row r="701" spans="1:4" x14ac:dyDescent="0.35">
      <c r="A701" t="s">
        <v>61</v>
      </c>
      <c r="B701" s="88">
        <v>45061</v>
      </c>
      <c r="C701">
        <v>37.2208041050962</v>
      </c>
      <c r="D701" t="s">
        <v>107</v>
      </c>
    </row>
    <row r="702" spans="1:4" x14ac:dyDescent="0.35">
      <c r="A702" t="s">
        <v>61</v>
      </c>
      <c r="B702" s="88">
        <v>45153</v>
      </c>
      <c r="C702">
        <v>37.277874971245197</v>
      </c>
      <c r="D702" t="s">
        <v>107</v>
      </c>
    </row>
    <row r="703" spans="1:4" x14ac:dyDescent="0.35">
      <c r="A703" t="s">
        <v>61</v>
      </c>
      <c r="B703" s="88">
        <v>45245</v>
      </c>
      <c r="C703">
        <v>37.4710689285291</v>
      </c>
      <c r="D703" t="s">
        <v>107</v>
      </c>
    </row>
    <row r="704" spans="1:4" x14ac:dyDescent="0.35">
      <c r="A704" t="s">
        <v>61</v>
      </c>
      <c r="B704" s="88">
        <v>45337</v>
      </c>
      <c r="C704">
        <v>38.072030540734403</v>
      </c>
      <c r="D704" t="s">
        <v>107</v>
      </c>
    </row>
    <row r="705" spans="1:4" x14ac:dyDescent="0.35">
      <c r="A705" t="s">
        <v>61</v>
      </c>
      <c r="B705" s="88">
        <v>45427</v>
      </c>
      <c r="C705">
        <v>38.950486914851602</v>
      </c>
      <c r="D705" t="s">
        <v>107</v>
      </c>
    </row>
    <row r="706" spans="1:4" x14ac:dyDescent="0.35">
      <c r="A706" t="s">
        <v>61</v>
      </c>
      <c r="B706" s="88">
        <v>45519</v>
      </c>
      <c r="C706">
        <v>38.965477962819499</v>
      </c>
      <c r="D706" t="s">
        <v>107</v>
      </c>
    </row>
    <row r="707" spans="1:4" x14ac:dyDescent="0.35">
      <c r="A707" t="s">
        <v>61</v>
      </c>
      <c r="B707" s="88">
        <v>45611</v>
      </c>
      <c r="C707">
        <v>39.255374759338999</v>
      </c>
      <c r="D707" t="s">
        <v>107</v>
      </c>
    </row>
    <row r="708" spans="1:4" x14ac:dyDescent="0.35">
      <c r="A708" t="s">
        <v>61</v>
      </c>
      <c r="B708" s="88">
        <v>45703</v>
      </c>
      <c r="C708">
        <v>39.4904845021033</v>
      </c>
      <c r="D708" t="s">
        <v>107</v>
      </c>
    </row>
    <row r="709" spans="1:4" x14ac:dyDescent="0.35">
      <c r="A709" t="s">
        <v>61</v>
      </c>
      <c r="B709" s="88">
        <v>45792</v>
      </c>
      <c r="C709">
        <v>44.899893735937503</v>
      </c>
      <c r="D709" t="s">
        <v>107</v>
      </c>
    </row>
    <row r="710" spans="1:4" x14ac:dyDescent="0.35">
      <c r="A710" t="s">
        <v>61</v>
      </c>
      <c r="B710" s="88">
        <v>45884</v>
      </c>
      <c r="C710">
        <v>44.977582534346602</v>
      </c>
      <c r="D710" t="s">
        <v>107</v>
      </c>
    </row>
    <row r="711" spans="1:4" x14ac:dyDescent="0.35">
      <c r="A711" t="s">
        <v>61</v>
      </c>
      <c r="B711" s="88">
        <v>45976</v>
      </c>
      <c r="C711">
        <v>44.979585043181402</v>
      </c>
      <c r="D711" t="s">
        <v>107</v>
      </c>
    </row>
    <row r="712" spans="1:4" x14ac:dyDescent="0.35">
      <c r="A712" t="s">
        <v>61</v>
      </c>
      <c r="B712" s="88">
        <v>46068</v>
      </c>
      <c r="C712">
        <v>46.545644407170798</v>
      </c>
      <c r="D712" t="s">
        <v>107</v>
      </c>
    </row>
    <row r="713" spans="1:4" x14ac:dyDescent="0.35">
      <c r="A713" t="s">
        <v>61</v>
      </c>
      <c r="B713" s="88">
        <v>46157</v>
      </c>
      <c r="C713">
        <v>47.882259145463401</v>
      </c>
      <c r="D713" t="s">
        <v>107</v>
      </c>
    </row>
    <row r="714" spans="1:4" x14ac:dyDescent="0.35">
      <c r="A714" t="s">
        <v>61</v>
      </c>
      <c r="B714" s="88">
        <v>46249</v>
      </c>
      <c r="C714">
        <v>48.409349556398801</v>
      </c>
      <c r="D714" t="s">
        <v>107</v>
      </c>
    </row>
    <row r="715" spans="1:4" x14ac:dyDescent="0.35">
      <c r="A715" t="s">
        <v>56</v>
      </c>
      <c r="B715" s="88">
        <v>43511</v>
      </c>
      <c r="C715">
        <v>29.929248651458401</v>
      </c>
      <c r="D715" t="s">
        <v>107</v>
      </c>
    </row>
    <row r="716" spans="1:4" x14ac:dyDescent="0.35">
      <c r="A716" t="s">
        <v>56</v>
      </c>
      <c r="B716" s="88">
        <v>43600</v>
      </c>
      <c r="C716">
        <v>30.262638338707898</v>
      </c>
      <c r="D716" t="s">
        <v>107</v>
      </c>
    </row>
    <row r="717" spans="1:4" x14ac:dyDescent="0.35">
      <c r="A717" t="s">
        <v>56</v>
      </c>
      <c r="B717" s="88">
        <v>43692</v>
      </c>
      <c r="C717">
        <v>30.246394906273512</v>
      </c>
      <c r="D717" t="s">
        <v>107</v>
      </c>
    </row>
    <row r="718" spans="1:4" x14ac:dyDescent="0.35">
      <c r="A718" t="s">
        <v>56</v>
      </c>
      <c r="B718" s="88">
        <v>43784</v>
      </c>
      <c r="C718">
        <v>30.888795606211943</v>
      </c>
      <c r="D718" t="s">
        <v>107</v>
      </c>
    </row>
    <row r="719" spans="1:4" x14ac:dyDescent="0.35">
      <c r="A719" t="s">
        <v>56</v>
      </c>
      <c r="B719" s="88">
        <v>43876</v>
      </c>
      <c r="C719">
        <v>31.095360768322585</v>
      </c>
      <c r="D719" t="s">
        <v>107</v>
      </c>
    </row>
    <row r="720" spans="1:4" x14ac:dyDescent="0.35">
      <c r="A720" t="s">
        <v>56</v>
      </c>
      <c r="B720" s="88">
        <v>43966</v>
      </c>
      <c r="C720">
        <v>30.356035497481454</v>
      </c>
      <c r="D720" t="s">
        <v>107</v>
      </c>
    </row>
    <row r="721" spans="1:4" x14ac:dyDescent="0.35">
      <c r="A721" t="s">
        <v>56</v>
      </c>
      <c r="B721" s="88">
        <v>44058</v>
      </c>
      <c r="C721">
        <v>30.326518245667266</v>
      </c>
      <c r="D721" t="s">
        <v>107</v>
      </c>
    </row>
    <row r="722" spans="1:4" x14ac:dyDescent="0.35">
      <c r="A722" t="s">
        <v>56</v>
      </c>
      <c r="B722" s="88">
        <v>44150</v>
      </c>
      <c r="C722">
        <v>30.038971878045718</v>
      </c>
      <c r="D722" t="s">
        <v>107</v>
      </c>
    </row>
    <row r="723" spans="1:4" x14ac:dyDescent="0.35">
      <c r="A723" t="s">
        <v>56</v>
      </c>
      <c r="B723" s="88">
        <v>44242</v>
      </c>
      <c r="C723">
        <v>30.18630073120578</v>
      </c>
      <c r="D723" t="s">
        <v>107</v>
      </c>
    </row>
    <row r="724" spans="1:4" x14ac:dyDescent="0.35">
      <c r="A724" t="s">
        <v>56</v>
      </c>
      <c r="B724" s="88">
        <v>44331</v>
      </c>
      <c r="C724">
        <v>30.393571946942807</v>
      </c>
      <c r="D724" t="s">
        <v>107</v>
      </c>
    </row>
    <row r="725" spans="1:4" x14ac:dyDescent="0.35">
      <c r="A725" t="s">
        <v>56</v>
      </c>
      <c r="B725" s="88">
        <v>44423</v>
      </c>
      <c r="C725">
        <v>30.636404456868394</v>
      </c>
      <c r="D725" t="s">
        <v>107</v>
      </c>
    </row>
    <row r="726" spans="1:4" x14ac:dyDescent="0.35">
      <c r="A726" t="s">
        <v>56</v>
      </c>
      <c r="B726" s="88">
        <v>44515</v>
      </c>
      <c r="C726">
        <v>30.970662569705919</v>
      </c>
      <c r="D726" t="s">
        <v>107</v>
      </c>
    </row>
    <row r="727" spans="1:4" x14ac:dyDescent="0.35">
      <c r="A727" t="s">
        <v>56</v>
      </c>
      <c r="B727" s="88">
        <v>44607</v>
      </c>
      <c r="C727">
        <v>31.197795178768633</v>
      </c>
      <c r="D727" t="s">
        <v>107</v>
      </c>
    </row>
    <row r="728" spans="1:4" x14ac:dyDescent="0.35">
      <c r="A728" t="s">
        <v>56</v>
      </c>
      <c r="B728" s="88">
        <v>44696</v>
      </c>
      <c r="C728">
        <v>31.914078927160862</v>
      </c>
      <c r="D728" t="s">
        <v>107</v>
      </c>
    </row>
    <row r="729" spans="1:4" x14ac:dyDescent="0.35">
      <c r="A729" t="s">
        <v>56</v>
      </c>
      <c r="B729" s="88">
        <v>44788</v>
      </c>
      <c r="C729">
        <v>32.264748034606228</v>
      </c>
      <c r="D729" t="s">
        <v>107</v>
      </c>
    </row>
    <row r="730" spans="1:4" x14ac:dyDescent="0.35">
      <c r="A730" t="s">
        <v>56</v>
      </c>
      <c r="B730" s="88">
        <v>44880</v>
      </c>
      <c r="C730">
        <v>32.257375906443301</v>
      </c>
      <c r="D730" t="s">
        <v>107</v>
      </c>
    </row>
    <row r="731" spans="1:4" x14ac:dyDescent="0.35">
      <c r="A731" t="s">
        <v>56</v>
      </c>
      <c r="B731" s="88">
        <v>44972</v>
      </c>
      <c r="C731">
        <v>32.833757742208242</v>
      </c>
      <c r="D731" t="s">
        <v>107</v>
      </c>
    </row>
    <row r="732" spans="1:4" x14ac:dyDescent="0.35">
      <c r="A732" t="s">
        <v>56</v>
      </c>
      <c r="B732" s="88">
        <v>45061</v>
      </c>
      <c r="C732">
        <v>33.431983245108</v>
      </c>
      <c r="D732" t="s">
        <v>107</v>
      </c>
    </row>
    <row r="733" spans="1:4" x14ac:dyDescent="0.35">
      <c r="A733" t="s">
        <v>56</v>
      </c>
      <c r="B733" s="88">
        <v>45153</v>
      </c>
      <c r="C733">
        <v>33.478420077695397</v>
      </c>
      <c r="D733" t="s">
        <v>107</v>
      </c>
    </row>
    <row r="734" spans="1:4" x14ac:dyDescent="0.35">
      <c r="A734" t="s">
        <v>56</v>
      </c>
      <c r="B734" s="88">
        <v>45245</v>
      </c>
      <c r="C734">
        <v>33.7589548866234</v>
      </c>
      <c r="D734" t="s">
        <v>107</v>
      </c>
    </row>
    <row r="735" spans="1:4" x14ac:dyDescent="0.35">
      <c r="A735" t="s">
        <v>56</v>
      </c>
      <c r="B735" s="88">
        <v>45337</v>
      </c>
      <c r="C735">
        <v>33.950913187314001</v>
      </c>
      <c r="D735" t="s">
        <v>107</v>
      </c>
    </row>
    <row r="736" spans="1:4" x14ac:dyDescent="0.35">
      <c r="A736" t="s">
        <v>56</v>
      </c>
      <c r="B736" s="88">
        <v>45427</v>
      </c>
      <c r="C736">
        <v>34.585264894699598</v>
      </c>
      <c r="D736" t="s">
        <v>107</v>
      </c>
    </row>
    <row r="737" spans="1:4" x14ac:dyDescent="0.35">
      <c r="A737" t="s">
        <v>56</v>
      </c>
      <c r="B737" s="88">
        <v>45519</v>
      </c>
      <c r="C737">
        <v>34.717118049198298</v>
      </c>
      <c r="D737" t="s">
        <v>107</v>
      </c>
    </row>
    <row r="738" spans="1:4" x14ac:dyDescent="0.35">
      <c r="A738" t="s">
        <v>56</v>
      </c>
      <c r="B738" s="88">
        <v>45611</v>
      </c>
      <c r="C738">
        <v>35.109255244657803</v>
      </c>
      <c r="D738" t="s">
        <v>107</v>
      </c>
    </row>
    <row r="739" spans="1:4" x14ac:dyDescent="0.35">
      <c r="A739" t="s">
        <v>56</v>
      </c>
      <c r="B739" s="88">
        <v>45703</v>
      </c>
      <c r="C739">
        <v>35.305946444297803</v>
      </c>
      <c r="D739" t="s">
        <v>107</v>
      </c>
    </row>
    <row r="740" spans="1:4" x14ac:dyDescent="0.35">
      <c r="A740" t="s">
        <v>56</v>
      </c>
      <c r="B740" s="88">
        <v>45792</v>
      </c>
      <c r="C740">
        <v>39.817328760479697</v>
      </c>
      <c r="D740" t="s">
        <v>107</v>
      </c>
    </row>
    <row r="741" spans="1:4" x14ac:dyDescent="0.35">
      <c r="A741" t="s">
        <v>56</v>
      </c>
      <c r="B741" s="88">
        <v>45884</v>
      </c>
      <c r="C741">
        <v>39.905101874499202</v>
      </c>
      <c r="D741" t="s">
        <v>107</v>
      </c>
    </row>
    <row r="742" spans="1:4" x14ac:dyDescent="0.35">
      <c r="A742" t="s">
        <v>56</v>
      </c>
      <c r="B742" s="88">
        <v>45976</v>
      </c>
      <c r="C742">
        <v>39.8899100010849</v>
      </c>
      <c r="D742" t="s">
        <v>107</v>
      </c>
    </row>
    <row r="743" spans="1:4" x14ac:dyDescent="0.35">
      <c r="A743" t="s">
        <v>56</v>
      </c>
      <c r="B743" s="88">
        <v>46068</v>
      </c>
      <c r="C743">
        <v>41.2524490442919</v>
      </c>
      <c r="D743" t="s">
        <v>107</v>
      </c>
    </row>
    <row r="744" spans="1:4" x14ac:dyDescent="0.35">
      <c r="A744" t="s">
        <v>56</v>
      </c>
      <c r="B744" s="88">
        <v>46157</v>
      </c>
      <c r="C744">
        <v>42.725040543583198</v>
      </c>
      <c r="D744" t="s">
        <v>107</v>
      </c>
    </row>
    <row r="745" spans="1:4" x14ac:dyDescent="0.35">
      <c r="A745" t="s">
        <v>56</v>
      </c>
      <c r="B745" s="88">
        <v>46249</v>
      </c>
      <c r="C745">
        <v>43.084000190120499</v>
      </c>
      <c r="D745" t="s">
        <v>107</v>
      </c>
    </row>
    <row r="746" spans="1:4" x14ac:dyDescent="0.35">
      <c r="A746" t="s">
        <v>52</v>
      </c>
      <c r="B746" s="88">
        <v>43511</v>
      </c>
      <c r="C746">
        <v>29.799061003507823</v>
      </c>
      <c r="D746" t="s">
        <v>107</v>
      </c>
    </row>
    <row r="747" spans="1:4" x14ac:dyDescent="0.35">
      <c r="A747" t="s">
        <v>52</v>
      </c>
      <c r="B747" s="88">
        <v>43600</v>
      </c>
      <c r="C747">
        <v>29.99856644078676</v>
      </c>
      <c r="D747" t="s">
        <v>107</v>
      </c>
    </row>
    <row r="748" spans="1:4" x14ac:dyDescent="0.35">
      <c r="A748" t="s">
        <v>52</v>
      </c>
      <c r="B748" s="88">
        <v>43692</v>
      </c>
      <c r="C748">
        <v>30.117105840568506</v>
      </c>
      <c r="D748" t="s">
        <v>107</v>
      </c>
    </row>
    <row r="749" spans="1:4" x14ac:dyDescent="0.35">
      <c r="A749" t="s">
        <v>52</v>
      </c>
      <c r="B749" s="88">
        <v>43784</v>
      </c>
      <c r="C749">
        <v>30.735205342032312</v>
      </c>
      <c r="D749" t="s">
        <v>107</v>
      </c>
    </row>
    <row r="750" spans="1:4" x14ac:dyDescent="0.35">
      <c r="A750" t="s">
        <v>52</v>
      </c>
      <c r="B750" s="88">
        <v>43876</v>
      </c>
      <c r="C750">
        <v>30.997670842259165</v>
      </c>
      <c r="D750" t="s">
        <v>107</v>
      </c>
    </row>
    <row r="751" spans="1:4" x14ac:dyDescent="0.35">
      <c r="A751" t="s">
        <v>52</v>
      </c>
      <c r="B751" s="88">
        <v>43966</v>
      </c>
      <c r="C751">
        <v>30.176184666918161</v>
      </c>
      <c r="D751" t="s">
        <v>107</v>
      </c>
    </row>
    <row r="752" spans="1:4" x14ac:dyDescent="0.35">
      <c r="A752" t="s">
        <v>52</v>
      </c>
      <c r="B752" s="88">
        <v>44058</v>
      </c>
      <c r="C752">
        <v>30.150356191153541</v>
      </c>
      <c r="D752" t="s">
        <v>107</v>
      </c>
    </row>
    <row r="753" spans="1:4" x14ac:dyDescent="0.35">
      <c r="A753" t="s">
        <v>52</v>
      </c>
      <c r="B753" s="88">
        <v>44150</v>
      </c>
      <c r="C753">
        <v>30.12524329945299</v>
      </c>
      <c r="D753" t="s">
        <v>107</v>
      </c>
    </row>
    <row r="754" spans="1:4" x14ac:dyDescent="0.35">
      <c r="A754" t="s">
        <v>52</v>
      </c>
      <c r="B754" s="88">
        <v>44242</v>
      </c>
      <c r="C754">
        <v>30.324184525241574</v>
      </c>
      <c r="D754" t="s">
        <v>107</v>
      </c>
    </row>
    <row r="755" spans="1:4" x14ac:dyDescent="0.35">
      <c r="A755" t="s">
        <v>52</v>
      </c>
      <c r="B755" s="88">
        <v>44331</v>
      </c>
      <c r="C755">
        <v>30.552291827916175</v>
      </c>
      <c r="D755" t="s">
        <v>107</v>
      </c>
    </row>
    <row r="756" spans="1:4" x14ac:dyDescent="0.35">
      <c r="A756" t="s">
        <v>52</v>
      </c>
      <c r="B756" s="88">
        <v>44423</v>
      </c>
      <c r="C756">
        <v>30.650535628509154</v>
      </c>
      <c r="D756" t="s">
        <v>107</v>
      </c>
    </row>
    <row r="757" spans="1:4" x14ac:dyDescent="0.35">
      <c r="A757" t="s">
        <v>52</v>
      </c>
      <c r="B757" s="88">
        <v>44515</v>
      </c>
      <c r="C757">
        <v>30.925333321892346</v>
      </c>
      <c r="D757" t="s">
        <v>107</v>
      </c>
    </row>
    <row r="758" spans="1:4" x14ac:dyDescent="0.35">
      <c r="A758" t="s">
        <v>52</v>
      </c>
      <c r="B758" s="88">
        <v>44607</v>
      </c>
      <c r="C758">
        <v>31.059856162082145</v>
      </c>
      <c r="D758" t="s">
        <v>107</v>
      </c>
    </row>
    <row r="759" spans="1:4" x14ac:dyDescent="0.35">
      <c r="A759" t="s">
        <v>52</v>
      </c>
      <c r="B759" s="88">
        <v>44696</v>
      </c>
      <c r="C759">
        <v>31.785638055450356</v>
      </c>
      <c r="D759" t="s">
        <v>107</v>
      </c>
    </row>
    <row r="760" spans="1:4" x14ac:dyDescent="0.35">
      <c r="A760" t="s">
        <v>52</v>
      </c>
      <c r="B760" s="88">
        <v>44788</v>
      </c>
      <c r="C760">
        <v>32.038859905284959</v>
      </c>
      <c r="D760" t="s">
        <v>107</v>
      </c>
    </row>
    <row r="761" spans="1:4" x14ac:dyDescent="0.35">
      <c r="A761" t="s">
        <v>52</v>
      </c>
      <c r="B761" s="88">
        <v>44880</v>
      </c>
      <c r="C761">
        <v>32.056397735128115</v>
      </c>
      <c r="D761" t="s">
        <v>107</v>
      </c>
    </row>
    <row r="762" spans="1:4" x14ac:dyDescent="0.35">
      <c r="A762" t="s">
        <v>52</v>
      </c>
      <c r="B762" s="88">
        <v>44972</v>
      </c>
      <c r="C762">
        <v>32.678433334342195</v>
      </c>
      <c r="D762" t="s">
        <v>107</v>
      </c>
    </row>
    <row r="763" spans="1:4" x14ac:dyDescent="0.35">
      <c r="A763" t="s">
        <v>52</v>
      </c>
      <c r="B763" s="88">
        <v>45061</v>
      </c>
      <c r="C763">
        <v>33.451497672515998</v>
      </c>
      <c r="D763" t="s">
        <v>107</v>
      </c>
    </row>
    <row r="764" spans="1:4" x14ac:dyDescent="0.35">
      <c r="A764" t="s">
        <v>52</v>
      </c>
      <c r="B764" s="88">
        <v>45153</v>
      </c>
      <c r="C764">
        <v>33.714744773286696</v>
      </c>
      <c r="D764" t="s">
        <v>107</v>
      </c>
    </row>
    <row r="765" spans="1:4" x14ac:dyDescent="0.35">
      <c r="A765" t="s">
        <v>52</v>
      </c>
      <c r="B765" s="88">
        <v>45245</v>
      </c>
      <c r="C765">
        <v>33.917616622614297</v>
      </c>
      <c r="D765" t="s">
        <v>107</v>
      </c>
    </row>
    <row r="766" spans="1:4" x14ac:dyDescent="0.35">
      <c r="A766" t="s">
        <v>52</v>
      </c>
      <c r="B766" s="88">
        <v>45337</v>
      </c>
      <c r="C766">
        <v>34.467587670276203</v>
      </c>
      <c r="D766" t="s">
        <v>107</v>
      </c>
    </row>
    <row r="767" spans="1:4" x14ac:dyDescent="0.35">
      <c r="A767" t="s">
        <v>52</v>
      </c>
      <c r="B767" s="88">
        <v>45427</v>
      </c>
      <c r="C767">
        <v>35.064012512822799</v>
      </c>
      <c r="D767" t="s">
        <v>107</v>
      </c>
    </row>
    <row r="768" spans="1:4" x14ac:dyDescent="0.35">
      <c r="A768" t="s">
        <v>52</v>
      </c>
      <c r="B768" s="88">
        <v>45519</v>
      </c>
      <c r="C768">
        <v>35.1141326470038</v>
      </c>
      <c r="D768" t="s">
        <v>107</v>
      </c>
    </row>
    <row r="769" spans="1:4" x14ac:dyDescent="0.35">
      <c r="A769" t="s">
        <v>52</v>
      </c>
      <c r="B769" s="88">
        <v>45611</v>
      </c>
      <c r="C769">
        <v>35.375280257508301</v>
      </c>
      <c r="D769" t="s">
        <v>107</v>
      </c>
    </row>
    <row r="770" spans="1:4" x14ac:dyDescent="0.35">
      <c r="A770" t="s">
        <v>52</v>
      </c>
      <c r="B770" s="88">
        <v>45703</v>
      </c>
      <c r="C770">
        <v>35.549660570479404</v>
      </c>
      <c r="D770" t="s">
        <v>107</v>
      </c>
    </row>
    <row r="771" spans="1:4" x14ac:dyDescent="0.35">
      <c r="A771" t="s">
        <v>52</v>
      </c>
      <c r="B771" s="88">
        <v>45792</v>
      </c>
      <c r="C771">
        <v>40.159541751689602</v>
      </c>
      <c r="D771" t="s">
        <v>107</v>
      </c>
    </row>
    <row r="772" spans="1:4" x14ac:dyDescent="0.35">
      <c r="A772" t="s">
        <v>52</v>
      </c>
      <c r="B772" s="88">
        <v>45884</v>
      </c>
      <c r="C772">
        <v>40.253135150782697</v>
      </c>
      <c r="D772" t="s">
        <v>107</v>
      </c>
    </row>
    <row r="773" spans="1:4" x14ac:dyDescent="0.35">
      <c r="A773" t="s">
        <v>52</v>
      </c>
      <c r="B773" s="88">
        <v>45976</v>
      </c>
      <c r="C773">
        <v>40.237001091418001</v>
      </c>
      <c r="D773" t="s">
        <v>107</v>
      </c>
    </row>
    <row r="774" spans="1:4" x14ac:dyDescent="0.35">
      <c r="A774" t="s">
        <v>52</v>
      </c>
      <c r="B774" s="88">
        <v>46068</v>
      </c>
      <c r="C774">
        <v>41.809499485506201</v>
      </c>
      <c r="D774" t="s">
        <v>107</v>
      </c>
    </row>
    <row r="775" spans="1:4" x14ac:dyDescent="0.35">
      <c r="A775" t="s">
        <v>52</v>
      </c>
      <c r="B775" s="88">
        <v>46157</v>
      </c>
      <c r="C775">
        <v>43.035514739028301</v>
      </c>
      <c r="D775" t="s">
        <v>107</v>
      </c>
    </row>
    <row r="776" spans="1:4" x14ac:dyDescent="0.35">
      <c r="A776" t="s">
        <v>52</v>
      </c>
      <c r="B776" s="88">
        <v>46249</v>
      </c>
      <c r="C776">
        <v>43.467154346691899</v>
      </c>
      <c r="D776" t="s">
        <v>107</v>
      </c>
    </row>
    <row r="777" spans="1:4" x14ac:dyDescent="0.35">
      <c r="A777" t="s">
        <v>69</v>
      </c>
      <c r="B777" s="88">
        <v>43511</v>
      </c>
      <c r="C777">
        <v>33.078993982152852</v>
      </c>
      <c r="D777" t="s">
        <v>107</v>
      </c>
    </row>
    <row r="778" spans="1:4" x14ac:dyDescent="0.35">
      <c r="A778" t="s">
        <v>69</v>
      </c>
      <c r="B778" s="88">
        <v>43600</v>
      </c>
      <c r="C778">
        <v>33.098323584736022</v>
      </c>
      <c r="D778" t="s">
        <v>107</v>
      </c>
    </row>
    <row r="779" spans="1:4" x14ac:dyDescent="0.35">
      <c r="A779" t="s">
        <v>69</v>
      </c>
      <c r="B779" s="88">
        <v>43692</v>
      </c>
      <c r="C779">
        <v>33.07382954243765</v>
      </c>
      <c r="D779" t="s">
        <v>107</v>
      </c>
    </row>
    <row r="780" spans="1:4" x14ac:dyDescent="0.35">
      <c r="A780" t="s">
        <v>69</v>
      </c>
      <c r="B780" s="88">
        <v>43784</v>
      </c>
      <c r="C780">
        <v>33.821296185902568</v>
      </c>
      <c r="D780" t="s">
        <v>107</v>
      </c>
    </row>
    <row r="781" spans="1:4" x14ac:dyDescent="0.35">
      <c r="A781" t="s">
        <v>69</v>
      </c>
      <c r="B781" s="88">
        <v>43876</v>
      </c>
      <c r="C781">
        <v>33.873005302888551</v>
      </c>
      <c r="D781" t="s">
        <v>107</v>
      </c>
    </row>
    <row r="782" spans="1:4" x14ac:dyDescent="0.35">
      <c r="A782" t="s">
        <v>69</v>
      </c>
      <c r="B782" s="88">
        <v>43966</v>
      </c>
      <c r="C782">
        <v>33.447977351739048</v>
      </c>
      <c r="D782" t="s">
        <v>107</v>
      </c>
    </row>
    <row r="783" spans="1:4" x14ac:dyDescent="0.35">
      <c r="A783" t="s">
        <v>69</v>
      </c>
      <c r="B783" s="88">
        <v>44058</v>
      </c>
      <c r="C783">
        <v>33.416958456047077</v>
      </c>
      <c r="D783" t="s">
        <v>107</v>
      </c>
    </row>
    <row r="784" spans="1:4" x14ac:dyDescent="0.35">
      <c r="A784" t="s">
        <v>69</v>
      </c>
      <c r="B784" s="88">
        <v>44150</v>
      </c>
      <c r="C784">
        <v>33.365747827419519</v>
      </c>
      <c r="D784" t="s">
        <v>107</v>
      </c>
    </row>
    <row r="785" spans="1:4" x14ac:dyDescent="0.35">
      <c r="A785" t="s">
        <v>69</v>
      </c>
      <c r="B785" s="88">
        <v>44242</v>
      </c>
      <c r="C785">
        <v>33.323458369579292</v>
      </c>
      <c r="D785" t="s">
        <v>107</v>
      </c>
    </row>
    <row r="786" spans="1:4" x14ac:dyDescent="0.35">
      <c r="A786" t="s">
        <v>69</v>
      </c>
      <c r="B786" s="88">
        <v>44331</v>
      </c>
      <c r="C786">
        <v>34.178642139469005</v>
      </c>
      <c r="D786" t="s">
        <v>107</v>
      </c>
    </row>
    <row r="787" spans="1:4" x14ac:dyDescent="0.35">
      <c r="A787" t="s">
        <v>69</v>
      </c>
      <c r="B787" s="88">
        <v>44423</v>
      </c>
      <c r="C787">
        <v>34.248489442588024</v>
      </c>
      <c r="D787" t="s">
        <v>107</v>
      </c>
    </row>
    <row r="788" spans="1:4" x14ac:dyDescent="0.35">
      <c r="A788" t="s">
        <v>69</v>
      </c>
      <c r="B788" s="88">
        <v>44515</v>
      </c>
      <c r="C788">
        <v>34.282784025205196</v>
      </c>
      <c r="D788" t="s">
        <v>107</v>
      </c>
    </row>
    <row r="789" spans="1:4" x14ac:dyDescent="0.35">
      <c r="A789" t="s">
        <v>69</v>
      </c>
      <c r="B789" s="88">
        <v>44607</v>
      </c>
      <c r="C789">
        <v>35.057736764464906</v>
      </c>
      <c r="D789" t="s">
        <v>107</v>
      </c>
    </row>
    <row r="790" spans="1:4" x14ac:dyDescent="0.35">
      <c r="A790" t="s">
        <v>69</v>
      </c>
      <c r="B790" s="88">
        <v>44696</v>
      </c>
      <c r="C790">
        <v>35.25427076544922</v>
      </c>
      <c r="D790" t="s">
        <v>107</v>
      </c>
    </row>
    <row r="791" spans="1:4" x14ac:dyDescent="0.35">
      <c r="A791" t="s">
        <v>69</v>
      </c>
      <c r="B791" s="88">
        <v>44788</v>
      </c>
      <c r="C791">
        <v>35.434996425929647</v>
      </c>
      <c r="D791" t="s">
        <v>107</v>
      </c>
    </row>
    <row r="792" spans="1:4" x14ac:dyDescent="0.35">
      <c r="A792" t="s">
        <v>69</v>
      </c>
      <c r="B792" s="88">
        <v>44880</v>
      </c>
      <c r="C792">
        <v>35.402822827628555</v>
      </c>
      <c r="D792" t="s">
        <v>107</v>
      </c>
    </row>
    <row r="793" spans="1:4" x14ac:dyDescent="0.35">
      <c r="A793" t="s">
        <v>69</v>
      </c>
      <c r="B793" s="88">
        <v>44972</v>
      </c>
      <c r="C793">
        <v>35.633590066139917</v>
      </c>
      <c r="D793" t="s">
        <v>107</v>
      </c>
    </row>
    <row r="794" spans="1:4" x14ac:dyDescent="0.35">
      <c r="A794" t="s">
        <v>69</v>
      </c>
      <c r="B794" s="88">
        <v>45061</v>
      </c>
      <c r="C794">
        <v>36.468765540928302</v>
      </c>
      <c r="D794" t="s">
        <v>107</v>
      </c>
    </row>
    <row r="795" spans="1:4" x14ac:dyDescent="0.35">
      <c r="A795" t="s">
        <v>69</v>
      </c>
      <c r="B795" s="88">
        <v>45153</v>
      </c>
      <c r="C795">
        <v>36.9883914755221</v>
      </c>
      <c r="D795" t="s">
        <v>107</v>
      </c>
    </row>
    <row r="796" spans="1:4" x14ac:dyDescent="0.35">
      <c r="A796" t="s">
        <v>69</v>
      </c>
      <c r="B796" s="88">
        <v>45245</v>
      </c>
      <c r="C796">
        <v>37.003310411679998</v>
      </c>
      <c r="D796" t="s">
        <v>107</v>
      </c>
    </row>
    <row r="797" spans="1:4" x14ac:dyDescent="0.35">
      <c r="A797" t="s">
        <v>69</v>
      </c>
      <c r="B797" s="88">
        <v>45337</v>
      </c>
      <c r="C797">
        <v>36.954128849210498</v>
      </c>
      <c r="D797" t="s">
        <v>107</v>
      </c>
    </row>
    <row r="798" spans="1:4" x14ac:dyDescent="0.35">
      <c r="A798" t="s">
        <v>69</v>
      </c>
      <c r="B798" s="88">
        <v>45427</v>
      </c>
      <c r="C798">
        <v>38.380664385036901</v>
      </c>
      <c r="D798" t="s">
        <v>107</v>
      </c>
    </row>
    <row r="799" spans="1:4" x14ac:dyDescent="0.35">
      <c r="A799" t="s">
        <v>69</v>
      </c>
      <c r="B799" s="88">
        <v>45519</v>
      </c>
      <c r="C799">
        <v>38.662422158800098</v>
      </c>
      <c r="D799" t="s">
        <v>107</v>
      </c>
    </row>
    <row r="800" spans="1:4" x14ac:dyDescent="0.35">
      <c r="A800" t="s">
        <v>69</v>
      </c>
      <c r="B800" s="88">
        <v>45611</v>
      </c>
      <c r="C800">
        <v>38.666981964914797</v>
      </c>
      <c r="D800" t="s">
        <v>107</v>
      </c>
    </row>
    <row r="801" spans="1:4" x14ac:dyDescent="0.35">
      <c r="A801" t="s">
        <v>69</v>
      </c>
      <c r="B801" s="88">
        <v>45703</v>
      </c>
      <c r="C801">
        <v>38.872788790147602</v>
      </c>
      <c r="D801" t="s">
        <v>107</v>
      </c>
    </row>
    <row r="802" spans="1:4" x14ac:dyDescent="0.35">
      <c r="A802" t="s">
        <v>69</v>
      </c>
      <c r="B802" s="88">
        <v>45792</v>
      </c>
      <c r="C802">
        <v>42.161502684647097</v>
      </c>
      <c r="D802" t="s">
        <v>107</v>
      </c>
    </row>
    <row r="803" spans="1:4" x14ac:dyDescent="0.35">
      <c r="A803" t="s">
        <v>69</v>
      </c>
      <c r="B803" s="88">
        <v>45884</v>
      </c>
      <c r="C803">
        <v>42.432135516105902</v>
      </c>
      <c r="D803" t="s">
        <v>107</v>
      </c>
    </row>
    <row r="804" spans="1:4" x14ac:dyDescent="0.35">
      <c r="A804" t="s">
        <v>69</v>
      </c>
      <c r="B804" s="88">
        <v>45976</v>
      </c>
      <c r="C804">
        <v>42.270230114971199</v>
      </c>
      <c r="D804" t="s">
        <v>107</v>
      </c>
    </row>
    <row r="805" spans="1:4" x14ac:dyDescent="0.35">
      <c r="A805" t="s">
        <v>69</v>
      </c>
      <c r="B805" s="88">
        <v>46068</v>
      </c>
      <c r="C805">
        <v>44.224955694461897</v>
      </c>
      <c r="D805" t="s">
        <v>107</v>
      </c>
    </row>
    <row r="806" spans="1:4" x14ac:dyDescent="0.35">
      <c r="A806" t="s">
        <v>69</v>
      </c>
      <c r="B806" s="88">
        <v>46157</v>
      </c>
      <c r="C806">
        <v>45.0311030241471</v>
      </c>
      <c r="D806" t="s">
        <v>107</v>
      </c>
    </row>
    <row r="807" spans="1:4" x14ac:dyDescent="0.35">
      <c r="A807" t="s">
        <v>69</v>
      </c>
      <c r="B807" s="88">
        <v>46249</v>
      </c>
      <c r="C807">
        <v>45.014673308823497</v>
      </c>
      <c r="D807" t="s">
        <v>107</v>
      </c>
    </row>
    <row r="808" spans="1:4" x14ac:dyDescent="0.35">
      <c r="A808" t="s">
        <v>70</v>
      </c>
      <c r="B808" s="88">
        <v>43511</v>
      </c>
      <c r="C808">
        <v>32.317170559708792</v>
      </c>
      <c r="D808" t="s">
        <v>107</v>
      </c>
    </row>
    <row r="809" spans="1:4" x14ac:dyDescent="0.35">
      <c r="A809" t="s">
        <v>70</v>
      </c>
      <c r="B809" s="88">
        <v>43600</v>
      </c>
      <c r="C809">
        <v>32.337932197696148</v>
      </c>
      <c r="D809" t="s">
        <v>107</v>
      </c>
    </row>
    <row r="810" spans="1:4" x14ac:dyDescent="0.35">
      <c r="A810" t="s">
        <v>70</v>
      </c>
      <c r="B810" s="88">
        <v>43692</v>
      </c>
      <c r="C810">
        <v>32.317120579162271</v>
      </c>
      <c r="D810" t="s">
        <v>107</v>
      </c>
    </row>
    <row r="811" spans="1:4" x14ac:dyDescent="0.35">
      <c r="A811" t="s">
        <v>70</v>
      </c>
      <c r="B811" s="88">
        <v>43784</v>
      </c>
      <c r="C811">
        <v>33.145662281897728</v>
      </c>
      <c r="D811" t="s">
        <v>107</v>
      </c>
    </row>
    <row r="812" spans="1:4" x14ac:dyDescent="0.35">
      <c r="A812" t="s">
        <v>70</v>
      </c>
      <c r="B812" s="88">
        <v>43876</v>
      </c>
      <c r="C812">
        <v>33.242602654445285</v>
      </c>
      <c r="D812" t="s">
        <v>107</v>
      </c>
    </row>
    <row r="813" spans="1:4" x14ac:dyDescent="0.35">
      <c r="A813" t="s">
        <v>70</v>
      </c>
      <c r="B813" s="88">
        <v>43966</v>
      </c>
      <c r="C813">
        <v>32.642434137242887</v>
      </c>
      <c r="D813" t="s">
        <v>107</v>
      </c>
    </row>
    <row r="814" spans="1:4" x14ac:dyDescent="0.35">
      <c r="A814" t="s">
        <v>70</v>
      </c>
      <c r="B814" s="88">
        <v>44058</v>
      </c>
      <c r="C814">
        <v>32.646654245556249</v>
      </c>
      <c r="D814" t="s">
        <v>107</v>
      </c>
    </row>
    <row r="815" spans="1:4" x14ac:dyDescent="0.35">
      <c r="A815" t="s">
        <v>70</v>
      </c>
      <c r="B815" s="88">
        <v>44150</v>
      </c>
      <c r="C815">
        <v>32.624763157580688</v>
      </c>
      <c r="D815" t="s">
        <v>107</v>
      </c>
    </row>
    <row r="816" spans="1:4" x14ac:dyDescent="0.35">
      <c r="A816" t="s">
        <v>70</v>
      </c>
      <c r="B816" s="88">
        <v>44242</v>
      </c>
      <c r="C816">
        <v>32.693348582048763</v>
      </c>
      <c r="D816" t="s">
        <v>107</v>
      </c>
    </row>
    <row r="817" spans="1:4" x14ac:dyDescent="0.35">
      <c r="A817" t="s">
        <v>70</v>
      </c>
      <c r="B817" s="88">
        <v>44331</v>
      </c>
      <c r="C817">
        <v>32.792159907229426</v>
      </c>
      <c r="D817" t="s">
        <v>107</v>
      </c>
    </row>
    <row r="818" spans="1:4" x14ac:dyDescent="0.35">
      <c r="A818" t="s">
        <v>70</v>
      </c>
      <c r="B818" s="88">
        <v>44423</v>
      </c>
      <c r="C818">
        <v>32.990620144088012</v>
      </c>
      <c r="D818" t="s">
        <v>107</v>
      </c>
    </row>
    <row r="819" spans="1:4" x14ac:dyDescent="0.35">
      <c r="A819" t="s">
        <v>70</v>
      </c>
      <c r="B819" s="88">
        <v>44515</v>
      </c>
      <c r="C819">
        <v>33.027097476603743</v>
      </c>
      <c r="D819" t="s">
        <v>107</v>
      </c>
    </row>
    <row r="820" spans="1:4" x14ac:dyDescent="0.35">
      <c r="A820" t="s">
        <v>70</v>
      </c>
      <c r="B820" s="88">
        <v>44607</v>
      </c>
      <c r="C820">
        <v>33.567791443696095</v>
      </c>
      <c r="D820" t="s">
        <v>107</v>
      </c>
    </row>
    <row r="821" spans="1:4" x14ac:dyDescent="0.35">
      <c r="A821" t="s">
        <v>70</v>
      </c>
      <c r="B821" s="88">
        <v>44696</v>
      </c>
      <c r="C821">
        <v>34.052783145939273</v>
      </c>
      <c r="D821" t="s">
        <v>107</v>
      </c>
    </row>
    <row r="822" spans="1:4" x14ac:dyDescent="0.35">
      <c r="A822" t="s">
        <v>70</v>
      </c>
      <c r="B822" s="88">
        <v>44788</v>
      </c>
      <c r="C822">
        <v>34.214516213123112</v>
      </c>
      <c r="D822" t="s">
        <v>107</v>
      </c>
    </row>
    <row r="823" spans="1:4" x14ac:dyDescent="0.35">
      <c r="A823" t="s">
        <v>70</v>
      </c>
      <c r="B823" s="88">
        <v>44880</v>
      </c>
      <c r="C823">
        <v>34.18694618388411</v>
      </c>
      <c r="D823" t="s">
        <v>107</v>
      </c>
    </row>
    <row r="824" spans="1:4" x14ac:dyDescent="0.35">
      <c r="A824" t="s">
        <v>70</v>
      </c>
      <c r="B824" s="88">
        <v>44972</v>
      </c>
      <c r="C824">
        <v>34.94228372122766</v>
      </c>
      <c r="D824" t="s">
        <v>107</v>
      </c>
    </row>
    <row r="825" spans="1:4" x14ac:dyDescent="0.35">
      <c r="A825" t="s">
        <v>70</v>
      </c>
      <c r="B825" s="88">
        <v>45061</v>
      </c>
      <c r="C825">
        <v>34.722524658782802</v>
      </c>
      <c r="D825" t="s">
        <v>107</v>
      </c>
    </row>
    <row r="826" spans="1:4" x14ac:dyDescent="0.35">
      <c r="A826" t="s">
        <v>70</v>
      </c>
      <c r="B826" s="88">
        <v>45153</v>
      </c>
      <c r="C826">
        <v>35.413110260668901</v>
      </c>
      <c r="D826" t="s">
        <v>107</v>
      </c>
    </row>
    <row r="827" spans="1:4" x14ac:dyDescent="0.35">
      <c r="A827" t="s">
        <v>70</v>
      </c>
      <c r="B827" s="88">
        <v>45245</v>
      </c>
      <c r="C827">
        <v>35.588724579109297</v>
      </c>
      <c r="D827" t="s">
        <v>107</v>
      </c>
    </row>
    <row r="828" spans="1:4" x14ac:dyDescent="0.35">
      <c r="A828" t="s">
        <v>70</v>
      </c>
      <c r="B828" s="88">
        <v>45337</v>
      </c>
      <c r="C828">
        <v>35.430334803508103</v>
      </c>
      <c r="D828" t="s">
        <v>107</v>
      </c>
    </row>
    <row r="829" spans="1:4" x14ac:dyDescent="0.35">
      <c r="A829" t="s">
        <v>70</v>
      </c>
      <c r="B829" s="88">
        <v>45427</v>
      </c>
      <c r="C829">
        <v>36.294098025947697</v>
      </c>
      <c r="D829" t="s">
        <v>107</v>
      </c>
    </row>
    <row r="830" spans="1:4" x14ac:dyDescent="0.35">
      <c r="A830" t="s">
        <v>70</v>
      </c>
      <c r="B830" s="88">
        <v>45519</v>
      </c>
      <c r="C830">
        <v>36.717151803326502</v>
      </c>
      <c r="D830" t="s">
        <v>107</v>
      </c>
    </row>
    <row r="831" spans="1:4" x14ac:dyDescent="0.35">
      <c r="A831" t="s">
        <v>70</v>
      </c>
      <c r="B831" s="88">
        <v>45611</v>
      </c>
      <c r="C831">
        <v>37.212920236905603</v>
      </c>
      <c r="D831" t="s">
        <v>107</v>
      </c>
    </row>
    <row r="832" spans="1:4" x14ac:dyDescent="0.35">
      <c r="A832" t="s">
        <v>70</v>
      </c>
      <c r="B832" s="88">
        <v>45703</v>
      </c>
      <c r="C832">
        <v>37.464479417511903</v>
      </c>
      <c r="D832" t="s">
        <v>107</v>
      </c>
    </row>
    <row r="833" spans="1:4" x14ac:dyDescent="0.35">
      <c r="A833" t="s">
        <v>70</v>
      </c>
      <c r="B833" s="88">
        <v>45792</v>
      </c>
      <c r="C833">
        <v>41.084344755945203</v>
      </c>
      <c r="D833" t="s">
        <v>107</v>
      </c>
    </row>
    <row r="834" spans="1:4" x14ac:dyDescent="0.35">
      <c r="A834" t="s">
        <v>70</v>
      </c>
      <c r="B834" s="88">
        <v>45884</v>
      </c>
      <c r="C834">
        <v>41.1737421736984</v>
      </c>
      <c r="D834" t="s">
        <v>107</v>
      </c>
    </row>
    <row r="835" spans="1:4" x14ac:dyDescent="0.35">
      <c r="A835" t="s">
        <v>70</v>
      </c>
      <c r="B835" s="88">
        <v>45976</v>
      </c>
      <c r="C835">
        <v>41.172277699031703</v>
      </c>
      <c r="D835" t="s">
        <v>107</v>
      </c>
    </row>
    <row r="836" spans="1:4" x14ac:dyDescent="0.35">
      <c r="A836" t="s">
        <v>70</v>
      </c>
      <c r="B836" s="88">
        <v>46068</v>
      </c>
      <c r="C836">
        <v>42.8838673047645</v>
      </c>
      <c r="D836" t="s">
        <v>107</v>
      </c>
    </row>
    <row r="837" spans="1:4" x14ac:dyDescent="0.35">
      <c r="A837" t="s">
        <v>70</v>
      </c>
      <c r="B837" s="88">
        <v>46157</v>
      </c>
      <c r="C837">
        <v>44.026430864659801</v>
      </c>
      <c r="D837" t="s">
        <v>107</v>
      </c>
    </row>
    <row r="838" spans="1:4" x14ac:dyDescent="0.35">
      <c r="A838" t="s">
        <v>70</v>
      </c>
      <c r="B838" s="88">
        <v>46249</v>
      </c>
      <c r="C838">
        <v>44.194987960432201</v>
      </c>
      <c r="D838" t="s">
        <v>107</v>
      </c>
    </row>
    <row r="839" spans="1:4" x14ac:dyDescent="0.35">
      <c r="A839" t="s">
        <v>58</v>
      </c>
      <c r="B839" s="88">
        <v>43511</v>
      </c>
      <c r="C839">
        <v>33.500487850530831</v>
      </c>
      <c r="D839" t="s">
        <v>107</v>
      </c>
    </row>
    <row r="840" spans="1:4" x14ac:dyDescent="0.35">
      <c r="A840" t="s">
        <v>58</v>
      </c>
      <c r="B840" s="88">
        <v>43600</v>
      </c>
      <c r="C840">
        <v>33.486469258860538</v>
      </c>
      <c r="D840" t="s">
        <v>107</v>
      </c>
    </row>
    <row r="841" spans="1:4" x14ac:dyDescent="0.35">
      <c r="A841" t="s">
        <v>58</v>
      </c>
      <c r="B841" s="88">
        <v>43692</v>
      </c>
      <c r="C841">
        <v>33.41106608724062</v>
      </c>
      <c r="D841" t="s">
        <v>107</v>
      </c>
    </row>
    <row r="842" spans="1:4" x14ac:dyDescent="0.35">
      <c r="A842" t="s">
        <v>58</v>
      </c>
      <c r="B842" s="88">
        <v>43784</v>
      </c>
      <c r="C842">
        <v>34.137247600153287</v>
      </c>
      <c r="D842" t="s">
        <v>107</v>
      </c>
    </row>
    <row r="843" spans="1:4" x14ac:dyDescent="0.35">
      <c r="A843" t="s">
        <v>58</v>
      </c>
      <c r="B843" s="88">
        <v>43876</v>
      </c>
      <c r="C843">
        <v>34.244830062173918</v>
      </c>
      <c r="D843" t="s">
        <v>107</v>
      </c>
    </row>
    <row r="844" spans="1:4" x14ac:dyDescent="0.35">
      <c r="A844" t="s">
        <v>58</v>
      </c>
      <c r="B844" s="88">
        <v>43966</v>
      </c>
      <c r="C844">
        <v>33.384219583049045</v>
      </c>
      <c r="D844" t="s">
        <v>107</v>
      </c>
    </row>
    <row r="845" spans="1:4" x14ac:dyDescent="0.35">
      <c r="A845" t="s">
        <v>58</v>
      </c>
      <c r="B845" s="88">
        <v>44058</v>
      </c>
      <c r="C845">
        <v>33.347263104961584</v>
      </c>
      <c r="D845" t="s">
        <v>107</v>
      </c>
    </row>
    <row r="846" spans="1:4" x14ac:dyDescent="0.35">
      <c r="A846" t="s">
        <v>58</v>
      </c>
      <c r="B846" s="88">
        <v>44150</v>
      </c>
      <c r="C846">
        <v>33.291605319160247</v>
      </c>
      <c r="D846" t="s">
        <v>107</v>
      </c>
    </row>
    <row r="847" spans="1:4" x14ac:dyDescent="0.35">
      <c r="A847" t="s">
        <v>58</v>
      </c>
      <c r="B847" s="88">
        <v>44242</v>
      </c>
      <c r="C847">
        <v>33.392243314700195</v>
      </c>
      <c r="D847" t="s">
        <v>107</v>
      </c>
    </row>
    <row r="848" spans="1:4" x14ac:dyDescent="0.35">
      <c r="A848" t="s">
        <v>58</v>
      </c>
      <c r="B848" s="88">
        <v>44331</v>
      </c>
      <c r="C848">
        <v>33.445167875432517</v>
      </c>
      <c r="D848" t="s">
        <v>107</v>
      </c>
    </row>
    <row r="849" spans="1:4" x14ac:dyDescent="0.35">
      <c r="A849" t="s">
        <v>58</v>
      </c>
      <c r="B849" s="88">
        <v>44423</v>
      </c>
      <c r="C849">
        <v>33.923090937504298</v>
      </c>
      <c r="D849" t="s">
        <v>107</v>
      </c>
    </row>
    <row r="850" spans="1:4" x14ac:dyDescent="0.35">
      <c r="A850" t="s">
        <v>58</v>
      </c>
      <c r="B850" s="88">
        <v>44515</v>
      </c>
      <c r="C850">
        <v>34.040042102405479</v>
      </c>
      <c r="D850" t="s">
        <v>107</v>
      </c>
    </row>
    <row r="851" spans="1:4" x14ac:dyDescent="0.35">
      <c r="A851" t="s">
        <v>58</v>
      </c>
      <c r="B851" s="88">
        <v>44607</v>
      </c>
      <c r="C851">
        <v>34.096587309233897</v>
      </c>
      <c r="D851" t="s">
        <v>107</v>
      </c>
    </row>
    <row r="852" spans="1:4" x14ac:dyDescent="0.35">
      <c r="A852" t="s">
        <v>58</v>
      </c>
      <c r="B852" s="88">
        <v>44696</v>
      </c>
      <c r="C852">
        <v>34.82313826657186</v>
      </c>
      <c r="D852" t="s">
        <v>107</v>
      </c>
    </row>
    <row r="853" spans="1:4" x14ac:dyDescent="0.35">
      <c r="A853" t="s">
        <v>58</v>
      </c>
      <c r="B853" s="88">
        <v>44788</v>
      </c>
      <c r="C853">
        <v>35.140923335640387</v>
      </c>
      <c r="D853" t="s">
        <v>107</v>
      </c>
    </row>
    <row r="854" spans="1:4" x14ac:dyDescent="0.35">
      <c r="A854" t="s">
        <v>58</v>
      </c>
      <c r="B854" s="88">
        <v>44880</v>
      </c>
      <c r="C854">
        <v>35.136147374082682</v>
      </c>
      <c r="D854" t="s">
        <v>107</v>
      </c>
    </row>
    <row r="855" spans="1:4" x14ac:dyDescent="0.35">
      <c r="A855" t="s">
        <v>58</v>
      </c>
      <c r="B855" s="88">
        <v>44972</v>
      </c>
      <c r="C855">
        <v>35.801718158541306</v>
      </c>
      <c r="D855" t="s">
        <v>107</v>
      </c>
    </row>
    <row r="856" spans="1:4" x14ac:dyDescent="0.35">
      <c r="A856" t="s">
        <v>58</v>
      </c>
      <c r="B856" s="88">
        <v>45061</v>
      </c>
      <c r="C856">
        <v>36.9148107835736</v>
      </c>
      <c r="D856" t="s">
        <v>107</v>
      </c>
    </row>
    <row r="857" spans="1:4" x14ac:dyDescent="0.35">
      <c r="A857" t="s">
        <v>58</v>
      </c>
      <c r="B857" s="88">
        <v>45153</v>
      </c>
      <c r="C857">
        <v>37.256843987862297</v>
      </c>
      <c r="D857" t="s">
        <v>107</v>
      </c>
    </row>
    <row r="858" spans="1:4" x14ac:dyDescent="0.35">
      <c r="A858" t="s">
        <v>58</v>
      </c>
      <c r="B858" s="88">
        <v>45245</v>
      </c>
      <c r="C858">
        <v>37.385271081680301</v>
      </c>
      <c r="D858" t="s">
        <v>107</v>
      </c>
    </row>
    <row r="859" spans="1:4" x14ac:dyDescent="0.35">
      <c r="A859" t="s">
        <v>58</v>
      </c>
      <c r="B859" s="88">
        <v>45337</v>
      </c>
      <c r="C859">
        <v>37.656085781617001</v>
      </c>
      <c r="D859" t="s">
        <v>107</v>
      </c>
    </row>
    <row r="860" spans="1:4" x14ac:dyDescent="0.35">
      <c r="A860" t="s">
        <v>58</v>
      </c>
      <c r="B860" s="88">
        <v>45427</v>
      </c>
      <c r="C860">
        <v>38.6604247623143</v>
      </c>
      <c r="D860" t="s">
        <v>107</v>
      </c>
    </row>
    <row r="861" spans="1:4" x14ac:dyDescent="0.35">
      <c r="A861" t="s">
        <v>58</v>
      </c>
      <c r="B861" s="88">
        <v>45519</v>
      </c>
      <c r="C861">
        <v>38.8217170367435</v>
      </c>
      <c r="D861" t="s">
        <v>107</v>
      </c>
    </row>
    <row r="862" spans="1:4" x14ac:dyDescent="0.35">
      <c r="A862" t="s">
        <v>58</v>
      </c>
      <c r="B862" s="88">
        <v>45611</v>
      </c>
      <c r="C862">
        <v>39.228857075055203</v>
      </c>
      <c r="D862" t="s">
        <v>107</v>
      </c>
    </row>
    <row r="863" spans="1:4" x14ac:dyDescent="0.35">
      <c r="A863" t="s">
        <v>58</v>
      </c>
      <c r="B863" s="88">
        <v>45703</v>
      </c>
      <c r="C863">
        <v>39.4751060205108</v>
      </c>
      <c r="D863" t="s">
        <v>107</v>
      </c>
    </row>
    <row r="864" spans="1:4" x14ac:dyDescent="0.35">
      <c r="A864" t="s">
        <v>58</v>
      </c>
      <c r="B864" s="88">
        <v>45792</v>
      </c>
      <c r="C864">
        <v>44.602451100388002</v>
      </c>
      <c r="D864" t="s">
        <v>107</v>
      </c>
    </row>
    <row r="865" spans="1:4" x14ac:dyDescent="0.35">
      <c r="A865" t="s">
        <v>58</v>
      </c>
      <c r="B865" s="88">
        <v>45884</v>
      </c>
      <c r="C865">
        <v>44.692562224884597</v>
      </c>
      <c r="D865" t="s">
        <v>107</v>
      </c>
    </row>
    <row r="866" spans="1:4" x14ac:dyDescent="0.35">
      <c r="A866" t="s">
        <v>58</v>
      </c>
      <c r="B866" s="88">
        <v>45976</v>
      </c>
      <c r="C866">
        <v>44.703029294438601</v>
      </c>
      <c r="D866" t="s">
        <v>107</v>
      </c>
    </row>
    <row r="867" spans="1:4" x14ac:dyDescent="0.35">
      <c r="A867" t="s">
        <v>58</v>
      </c>
      <c r="B867" s="88">
        <v>46068</v>
      </c>
      <c r="C867">
        <v>46.157821990238297</v>
      </c>
      <c r="D867" t="s">
        <v>107</v>
      </c>
    </row>
    <row r="868" spans="1:4" x14ac:dyDescent="0.35">
      <c r="A868" t="s">
        <v>58</v>
      </c>
      <c r="B868" s="88">
        <v>46157</v>
      </c>
      <c r="C868">
        <v>47.974705977708602</v>
      </c>
      <c r="D868" t="s">
        <v>107</v>
      </c>
    </row>
    <row r="869" spans="1:4" x14ac:dyDescent="0.35">
      <c r="A869" t="s">
        <v>58</v>
      </c>
      <c r="B869" s="88">
        <v>46249</v>
      </c>
      <c r="C869">
        <v>48.2689356089897</v>
      </c>
      <c r="D869" t="s">
        <v>107</v>
      </c>
    </row>
    <row r="870" spans="1:4" x14ac:dyDescent="0.35">
      <c r="A870" t="s">
        <v>55</v>
      </c>
      <c r="B870" s="88">
        <v>43511</v>
      </c>
      <c r="C870">
        <v>31.114163302817559</v>
      </c>
      <c r="D870" t="s">
        <v>107</v>
      </c>
    </row>
    <row r="871" spans="1:4" x14ac:dyDescent="0.35">
      <c r="A871" t="s">
        <v>55</v>
      </c>
      <c r="B871" s="88">
        <v>43600</v>
      </c>
      <c r="C871">
        <v>31.257498537110806</v>
      </c>
      <c r="D871" t="s">
        <v>107</v>
      </c>
    </row>
    <row r="872" spans="1:4" x14ac:dyDescent="0.35">
      <c r="A872" t="s">
        <v>55</v>
      </c>
      <c r="B872" s="88">
        <v>43692</v>
      </c>
      <c r="C872">
        <v>31.275240884561541</v>
      </c>
      <c r="D872" t="s">
        <v>107</v>
      </c>
    </row>
    <row r="873" spans="1:4" x14ac:dyDescent="0.35">
      <c r="A873" t="s">
        <v>55</v>
      </c>
      <c r="B873" s="88">
        <v>43784</v>
      </c>
      <c r="C873">
        <v>31.868571360321123</v>
      </c>
      <c r="D873" t="s">
        <v>107</v>
      </c>
    </row>
    <row r="874" spans="1:4" x14ac:dyDescent="0.35">
      <c r="A874" t="s">
        <v>55</v>
      </c>
      <c r="B874" s="88">
        <v>43876</v>
      </c>
      <c r="C874">
        <v>31.991890935049859</v>
      </c>
      <c r="D874" t="s">
        <v>107</v>
      </c>
    </row>
    <row r="875" spans="1:4" x14ac:dyDescent="0.35">
      <c r="A875" t="s">
        <v>55</v>
      </c>
      <c r="B875" s="88">
        <v>43966</v>
      </c>
      <c r="C875">
        <v>31.26303344186179</v>
      </c>
      <c r="D875" t="s">
        <v>107</v>
      </c>
    </row>
    <row r="876" spans="1:4" x14ac:dyDescent="0.35">
      <c r="A876" t="s">
        <v>55</v>
      </c>
      <c r="B876" s="88">
        <v>44058</v>
      </c>
      <c r="C876">
        <v>31.241080520678615</v>
      </c>
      <c r="D876" t="s">
        <v>107</v>
      </c>
    </row>
    <row r="877" spans="1:4" x14ac:dyDescent="0.35">
      <c r="A877" t="s">
        <v>55</v>
      </c>
      <c r="B877" s="88">
        <v>44150</v>
      </c>
      <c r="C877">
        <v>31.219994627705297</v>
      </c>
      <c r="D877" t="s">
        <v>107</v>
      </c>
    </row>
    <row r="878" spans="1:4" x14ac:dyDescent="0.35">
      <c r="A878" t="s">
        <v>55</v>
      </c>
      <c r="B878" s="88">
        <v>44242</v>
      </c>
      <c r="C878">
        <v>31.283955306732121</v>
      </c>
      <c r="D878" t="s">
        <v>107</v>
      </c>
    </row>
    <row r="879" spans="1:4" x14ac:dyDescent="0.35">
      <c r="A879" t="s">
        <v>55</v>
      </c>
      <c r="B879" s="88">
        <v>44331</v>
      </c>
      <c r="C879">
        <v>31.644275501480401</v>
      </c>
      <c r="D879" t="s">
        <v>107</v>
      </c>
    </row>
    <row r="880" spans="1:4" x14ac:dyDescent="0.35">
      <c r="A880" t="s">
        <v>55</v>
      </c>
      <c r="B880" s="88">
        <v>44423</v>
      </c>
      <c r="C880">
        <v>31.829787890645889</v>
      </c>
      <c r="D880" t="s">
        <v>107</v>
      </c>
    </row>
    <row r="881" spans="1:4" x14ac:dyDescent="0.35">
      <c r="A881" t="s">
        <v>55</v>
      </c>
      <c r="B881" s="88">
        <v>44515</v>
      </c>
      <c r="C881">
        <v>31.845818424923792</v>
      </c>
      <c r="D881" t="s">
        <v>107</v>
      </c>
    </row>
    <row r="882" spans="1:4" x14ac:dyDescent="0.35">
      <c r="A882" t="s">
        <v>55</v>
      </c>
      <c r="B882" s="88">
        <v>44607</v>
      </c>
      <c r="C882">
        <v>32.13193749183953</v>
      </c>
      <c r="D882" t="s">
        <v>107</v>
      </c>
    </row>
    <row r="883" spans="1:4" x14ac:dyDescent="0.35">
      <c r="A883" t="s">
        <v>55</v>
      </c>
      <c r="B883" s="88">
        <v>44696</v>
      </c>
      <c r="C883">
        <v>32.760472083099621</v>
      </c>
      <c r="D883" t="s">
        <v>107</v>
      </c>
    </row>
    <row r="884" spans="1:4" x14ac:dyDescent="0.35">
      <c r="A884" t="s">
        <v>55</v>
      </c>
      <c r="B884" s="88">
        <v>44788</v>
      </c>
      <c r="C884">
        <v>33.030306874116214</v>
      </c>
      <c r="D884" t="s">
        <v>107</v>
      </c>
    </row>
    <row r="885" spans="1:4" x14ac:dyDescent="0.35">
      <c r="A885" t="s">
        <v>55</v>
      </c>
      <c r="B885" s="88">
        <v>44880</v>
      </c>
      <c r="C885">
        <v>33.01884004528906</v>
      </c>
      <c r="D885" t="s">
        <v>107</v>
      </c>
    </row>
    <row r="886" spans="1:4" x14ac:dyDescent="0.35">
      <c r="A886" t="s">
        <v>55</v>
      </c>
      <c r="B886" s="88">
        <v>44972</v>
      </c>
      <c r="C886">
        <v>33.627013884683826</v>
      </c>
      <c r="D886" t="s">
        <v>107</v>
      </c>
    </row>
    <row r="887" spans="1:4" x14ac:dyDescent="0.35">
      <c r="A887" t="s">
        <v>55</v>
      </c>
      <c r="B887" s="88">
        <v>45061</v>
      </c>
      <c r="C887">
        <v>34.189747614672498</v>
      </c>
      <c r="D887" t="s">
        <v>107</v>
      </c>
    </row>
    <row r="888" spans="1:4" x14ac:dyDescent="0.35">
      <c r="A888" t="s">
        <v>55</v>
      </c>
      <c r="B888" s="88">
        <v>45153</v>
      </c>
      <c r="C888">
        <v>34.672974230665098</v>
      </c>
      <c r="D888" t="s">
        <v>107</v>
      </c>
    </row>
    <row r="889" spans="1:4" x14ac:dyDescent="0.35">
      <c r="A889" t="s">
        <v>55</v>
      </c>
      <c r="B889" s="88">
        <v>45245</v>
      </c>
      <c r="C889">
        <v>34.902590561562199</v>
      </c>
      <c r="D889" t="s">
        <v>107</v>
      </c>
    </row>
    <row r="890" spans="1:4" x14ac:dyDescent="0.35">
      <c r="A890" t="s">
        <v>55</v>
      </c>
      <c r="B890" s="88">
        <v>45337</v>
      </c>
      <c r="C890">
        <v>35.208614857180102</v>
      </c>
      <c r="D890" t="s">
        <v>107</v>
      </c>
    </row>
    <row r="891" spans="1:4" x14ac:dyDescent="0.35">
      <c r="A891" t="s">
        <v>55</v>
      </c>
      <c r="B891" s="88">
        <v>45427</v>
      </c>
      <c r="C891">
        <v>35.937455514310699</v>
      </c>
      <c r="D891" t="s">
        <v>107</v>
      </c>
    </row>
    <row r="892" spans="1:4" x14ac:dyDescent="0.35">
      <c r="A892" t="s">
        <v>55</v>
      </c>
      <c r="B892" s="88">
        <v>45519</v>
      </c>
      <c r="C892">
        <v>35.887014364915601</v>
      </c>
      <c r="D892" t="s">
        <v>107</v>
      </c>
    </row>
    <row r="893" spans="1:4" x14ac:dyDescent="0.35">
      <c r="A893" t="s">
        <v>55</v>
      </c>
      <c r="B893" s="88">
        <v>45611</v>
      </c>
      <c r="C893">
        <v>36.148567265266898</v>
      </c>
      <c r="D893" t="s">
        <v>107</v>
      </c>
    </row>
    <row r="894" spans="1:4" x14ac:dyDescent="0.35">
      <c r="A894" t="s">
        <v>55</v>
      </c>
      <c r="B894" s="88">
        <v>45703</v>
      </c>
      <c r="C894">
        <v>36.338151964475898</v>
      </c>
      <c r="D894" t="s">
        <v>107</v>
      </c>
    </row>
    <row r="895" spans="1:4" x14ac:dyDescent="0.35">
      <c r="A895" t="s">
        <v>55</v>
      </c>
      <c r="B895" s="88">
        <v>45792</v>
      </c>
      <c r="C895">
        <v>40.725169949731203</v>
      </c>
      <c r="D895" t="s">
        <v>107</v>
      </c>
    </row>
    <row r="896" spans="1:4" x14ac:dyDescent="0.35">
      <c r="A896" t="s">
        <v>55</v>
      </c>
      <c r="B896" s="88">
        <v>45884</v>
      </c>
      <c r="C896">
        <v>40.858865237491202</v>
      </c>
      <c r="D896" t="s">
        <v>107</v>
      </c>
    </row>
    <row r="897" spans="1:4" x14ac:dyDescent="0.35">
      <c r="A897" t="s">
        <v>55</v>
      </c>
      <c r="B897" s="88">
        <v>45976</v>
      </c>
      <c r="C897">
        <v>40.816431650665002</v>
      </c>
      <c r="D897" t="s">
        <v>107</v>
      </c>
    </row>
    <row r="898" spans="1:4" x14ac:dyDescent="0.35">
      <c r="A898" t="s">
        <v>55</v>
      </c>
      <c r="B898" s="88">
        <v>46068</v>
      </c>
      <c r="C898">
        <v>42.4942170646436</v>
      </c>
      <c r="D898" t="s">
        <v>107</v>
      </c>
    </row>
    <row r="899" spans="1:4" x14ac:dyDescent="0.35">
      <c r="A899" t="s">
        <v>55</v>
      </c>
      <c r="B899" s="88">
        <v>46157</v>
      </c>
      <c r="C899">
        <v>43.823893338905499</v>
      </c>
      <c r="D899" t="s">
        <v>107</v>
      </c>
    </row>
    <row r="900" spans="1:4" x14ac:dyDescent="0.35">
      <c r="A900" t="s">
        <v>55</v>
      </c>
      <c r="B900" s="88">
        <v>46249</v>
      </c>
      <c r="C900">
        <v>44.046012993144402</v>
      </c>
      <c r="D900" t="s">
        <v>107</v>
      </c>
    </row>
    <row r="901" spans="1:4" x14ac:dyDescent="0.35">
      <c r="A901" t="s">
        <v>62</v>
      </c>
      <c r="B901" s="88">
        <v>43511</v>
      </c>
      <c r="C901">
        <v>32.348752530930966</v>
      </c>
      <c r="D901" t="s">
        <v>107</v>
      </c>
    </row>
    <row r="902" spans="1:4" x14ac:dyDescent="0.35">
      <c r="A902" t="s">
        <v>62</v>
      </c>
      <c r="B902" s="88">
        <v>43600</v>
      </c>
      <c r="C902">
        <v>32.59668555452668</v>
      </c>
      <c r="D902" t="s">
        <v>107</v>
      </c>
    </row>
    <row r="903" spans="1:4" x14ac:dyDescent="0.35">
      <c r="A903" t="s">
        <v>62</v>
      </c>
      <c r="B903" s="88">
        <v>43692</v>
      </c>
      <c r="C903">
        <v>32.701375404091912</v>
      </c>
      <c r="D903" t="s">
        <v>107</v>
      </c>
    </row>
    <row r="904" spans="1:4" x14ac:dyDescent="0.35">
      <c r="A904" t="s">
        <v>62</v>
      </c>
      <c r="B904" s="88">
        <v>43784</v>
      </c>
      <c r="C904">
        <v>33.250308523468249</v>
      </c>
      <c r="D904" t="s">
        <v>107</v>
      </c>
    </row>
    <row r="905" spans="1:4" x14ac:dyDescent="0.35">
      <c r="A905" t="s">
        <v>62</v>
      </c>
      <c r="B905" s="88">
        <v>43876</v>
      </c>
      <c r="C905">
        <v>33.362653522567733</v>
      </c>
      <c r="D905" t="s">
        <v>107</v>
      </c>
    </row>
    <row r="906" spans="1:4" x14ac:dyDescent="0.35">
      <c r="A906" t="s">
        <v>62</v>
      </c>
      <c r="B906" s="88">
        <v>43966</v>
      </c>
      <c r="C906">
        <v>33.838043818020495</v>
      </c>
      <c r="D906" t="s">
        <v>107</v>
      </c>
    </row>
    <row r="907" spans="1:4" x14ac:dyDescent="0.35">
      <c r="A907" t="s">
        <v>62</v>
      </c>
      <c r="B907" s="88">
        <v>44058</v>
      </c>
      <c r="C907">
        <v>33.851834892740662</v>
      </c>
      <c r="D907" t="s">
        <v>107</v>
      </c>
    </row>
    <row r="908" spans="1:4" x14ac:dyDescent="0.35">
      <c r="A908" t="s">
        <v>62</v>
      </c>
      <c r="B908" s="88">
        <v>44150</v>
      </c>
      <c r="C908">
        <v>33.839661404104753</v>
      </c>
      <c r="D908" t="s">
        <v>107</v>
      </c>
    </row>
    <row r="909" spans="1:4" x14ac:dyDescent="0.35">
      <c r="A909" t="s">
        <v>62</v>
      </c>
      <c r="B909" s="88">
        <v>44242</v>
      </c>
      <c r="C909">
        <v>33.931987141016705</v>
      </c>
      <c r="D909" t="s">
        <v>107</v>
      </c>
    </row>
    <row r="910" spans="1:4" x14ac:dyDescent="0.35">
      <c r="A910" t="s">
        <v>62</v>
      </c>
      <c r="B910" s="88">
        <v>44331</v>
      </c>
      <c r="C910">
        <v>34.194654624044382</v>
      </c>
      <c r="D910" t="s">
        <v>107</v>
      </c>
    </row>
    <row r="911" spans="1:4" x14ac:dyDescent="0.35">
      <c r="A911" t="s">
        <v>62</v>
      </c>
      <c r="B911" s="88">
        <v>44423</v>
      </c>
      <c r="C911">
        <v>34.266170909510592</v>
      </c>
      <c r="D911" t="s">
        <v>107</v>
      </c>
    </row>
    <row r="912" spans="1:4" x14ac:dyDescent="0.35">
      <c r="A912" t="s">
        <v>62</v>
      </c>
      <c r="B912" s="88">
        <v>44515</v>
      </c>
      <c r="C912">
        <v>34.565235422093679</v>
      </c>
      <c r="D912" t="s">
        <v>107</v>
      </c>
    </row>
    <row r="913" spans="1:4" x14ac:dyDescent="0.35">
      <c r="A913" t="s">
        <v>62</v>
      </c>
      <c r="B913" s="88">
        <v>44607</v>
      </c>
      <c r="C913">
        <v>34.960050136751207</v>
      </c>
      <c r="D913" t="s">
        <v>107</v>
      </c>
    </row>
    <row r="914" spans="1:4" x14ac:dyDescent="0.35">
      <c r="A914" t="s">
        <v>62</v>
      </c>
      <c r="B914" s="88">
        <v>44696</v>
      </c>
      <c r="C914">
        <v>35.880366094796649</v>
      </c>
      <c r="D914" t="s">
        <v>107</v>
      </c>
    </row>
    <row r="915" spans="1:4" x14ac:dyDescent="0.35">
      <c r="A915" t="s">
        <v>62</v>
      </c>
      <c r="B915" s="88">
        <v>44788</v>
      </c>
      <c r="C915">
        <v>35.73989445993238</v>
      </c>
      <c r="D915" t="s">
        <v>107</v>
      </c>
    </row>
    <row r="916" spans="1:4" x14ac:dyDescent="0.35">
      <c r="A916" t="s">
        <v>62</v>
      </c>
      <c r="B916" s="88">
        <v>44880</v>
      </c>
      <c r="C916">
        <v>35.75740408538725</v>
      </c>
      <c r="D916" t="s">
        <v>107</v>
      </c>
    </row>
    <row r="917" spans="1:4" x14ac:dyDescent="0.35">
      <c r="A917" t="s">
        <v>62</v>
      </c>
      <c r="B917" s="88">
        <v>44972</v>
      </c>
      <c r="C917">
        <v>36.200127535760615</v>
      </c>
      <c r="D917" t="s">
        <v>107</v>
      </c>
    </row>
    <row r="918" spans="1:4" x14ac:dyDescent="0.35">
      <c r="A918" t="s">
        <v>62</v>
      </c>
      <c r="B918" s="88">
        <v>45061</v>
      </c>
      <c r="C918">
        <v>37.869044592646198</v>
      </c>
      <c r="D918" t="s">
        <v>107</v>
      </c>
    </row>
    <row r="919" spans="1:4" x14ac:dyDescent="0.35">
      <c r="A919" t="s">
        <v>62</v>
      </c>
      <c r="B919" s="88">
        <v>45153</v>
      </c>
      <c r="C919">
        <v>38.002556087723299</v>
      </c>
      <c r="D919" t="s">
        <v>107</v>
      </c>
    </row>
    <row r="920" spans="1:4" x14ac:dyDescent="0.35">
      <c r="A920" t="s">
        <v>62</v>
      </c>
      <c r="B920" s="88">
        <v>45245</v>
      </c>
      <c r="C920">
        <v>38.234141755681797</v>
      </c>
      <c r="D920" t="s">
        <v>107</v>
      </c>
    </row>
    <row r="921" spans="1:4" x14ac:dyDescent="0.35">
      <c r="A921" t="s">
        <v>62</v>
      </c>
      <c r="B921" s="88">
        <v>45337</v>
      </c>
      <c r="C921">
        <v>38.568243863951601</v>
      </c>
      <c r="D921" t="s">
        <v>107</v>
      </c>
    </row>
    <row r="922" spans="1:4" x14ac:dyDescent="0.35">
      <c r="A922" t="s">
        <v>62</v>
      </c>
      <c r="B922" s="88">
        <v>45427</v>
      </c>
      <c r="C922">
        <v>39.315926598662998</v>
      </c>
      <c r="D922" t="s">
        <v>107</v>
      </c>
    </row>
    <row r="923" spans="1:4" x14ac:dyDescent="0.35">
      <c r="A923" t="s">
        <v>62</v>
      </c>
      <c r="B923" s="88">
        <v>45519</v>
      </c>
      <c r="C923">
        <v>39.574027285721897</v>
      </c>
      <c r="D923" t="s">
        <v>107</v>
      </c>
    </row>
    <row r="924" spans="1:4" x14ac:dyDescent="0.35">
      <c r="A924" t="s">
        <v>62</v>
      </c>
      <c r="B924" s="88">
        <v>45611</v>
      </c>
      <c r="C924">
        <v>40.0557999696453</v>
      </c>
      <c r="D924" t="s">
        <v>107</v>
      </c>
    </row>
    <row r="925" spans="1:4" x14ac:dyDescent="0.35">
      <c r="A925" t="s">
        <v>62</v>
      </c>
      <c r="B925" s="88">
        <v>45703</v>
      </c>
      <c r="C925">
        <v>40.450790237332498</v>
      </c>
      <c r="D925" t="s">
        <v>107</v>
      </c>
    </row>
    <row r="926" spans="1:4" x14ac:dyDescent="0.35">
      <c r="A926" t="s">
        <v>62</v>
      </c>
      <c r="B926" s="88">
        <v>45792</v>
      </c>
      <c r="C926">
        <v>43.5081592816083</v>
      </c>
      <c r="D926" t="s">
        <v>107</v>
      </c>
    </row>
    <row r="927" spans="1:4" x14ac:dyDescent="0.35">
      <c r="A927" t="s">
        <v>62</v>
      </c>
      <c r="B927" s="88">
        <v>45884</v>
      </c>
      <c r="C927">
        <v>43.585881549953399</v>
      </c>
      <c r="D927" t="s">
        <v>107</v>
      </c>
    </row>
    <row r="928" spans="1:4" x14ac:dyDescent="0.35">
      <c r="A928" t="s">
        <v>62</v>
      </c>
      <c r="B928" s="88">
        <v>45976</v>
      </c>
      <c r="C928">
        <v>43.617789414466699</v>
      </c>
      <c r="D928" t="s">
        <v>107</v>
      </c>
    </row>
    <row r="929" spans="1:4" x14ac:dyDescent="0.35">
      <c r="A929" t="s">
        <v>62</v>
      </c>
      <c r="B929" s="88">
        <v>46068</v>
      </c>
      <c r="C929">
        <v>44.376345796617798</v>
      </c>
      <c r="D929" t="s">
        <v>107</v>
      </c>
    </row>
    <row r="930" spans="1:4" x14ac:dyDescent="0.35">
      <c r="A930" t="s">
        <v>62</v>
      </c>
      <c r="B930" s="88">
        <v>46157</v>
      </c>
      <c r="C930">
        <v>46.190783085697603</v>
      </c>
      <c r="D930" t="s">
        <v>107</v>
      </c>
    </row>
    <row r="931" spans="1:4" x14ac:dyDescent="0.35">
      <c r="A931" t="s">
        <v>62</v>
      </c>
      <c r="B931" s="88">
        <v>46249</v>
      </c>
      <c r="C931">
        <v>46.379177250528599</v>
      </c>
      <c r="D931" t="s">
        <v>107</v>
      </c>
    </row>
    <row r="932" spans="1:4" x14ac:dyDescent="0.35">
      <c r="A932" t="s">
        <v>64</v>
      </c>
      <c r="B932" s="88">
        <v>43511</v>
      </c>
      <c r="C932">
        <v>33.958862976292316</v>
      </c>
      <c r="D932" t="s">
        <v>107</v>
      </c>
    </row>
    <row r="933" spans="1:4" x14ac:dyDescent="0.35">
      <c r="A933" t="s">
        <v>64</v>
      </c>
      <c r="B933" s="88">
        <v>43600</v>
      </c>
      <c r="C933">
        <v>34.007553717913062</v>
      </c>
      <c r="D933" t="s">
        <v>107</v>
      </c>
    </row>
    <row r="934" spans="1:4" x14ac:dyDescent="0.35">
      <c r="A934" t="s">
        <v>64</v>
      </c>
      <c r="B934" s="88">
        <v>43692</v>
      </c>
      <c r="C934">
        <v>33.93543996131659</v>
      </c>
      <c r="D934" t="s">
        <v>107</v>
      </c>
    </row>
    <row r="935" spans="1:4" x14ac:dyDescent="0.35">
      <c r="A935" t="s">
        <v>64</v>
      </c>
      <c r="B935" s="88">
        <v>43784</v>
      </c>
      <c r="C935">
        <v>34.076218924919758</v>
      </c>
      <c r="D935" t="s">
        <v>107</v>
      </c>
    </row>
    <row r="936" spans="1:4" x14ac:dyDescent="0.35">
      <c r="A936" t="s">
        <v>64</v>
      </c>
      <c r="B936" s="88">
        <v>43876</v>
      </c>
      <c r="C936">
        <v>34.844246146674273</v>
      </c>
      <c r="D936" t="s">
        <v>107</v>
      </c>
    </row>
    <row r="937" spans="1:4" x14ac:dyDescent="0.35">
      <c r="A937" t="s">
        <v>64</v>
      </c>
      <c r="B937" s="88">
        <v>43966</v>
      </c>
      <c r="C937">
        <v>33.530879848840982</v>
      </c>
      <c r="D937" t="s">
        <v>107</v>
      </c>
    </row>
    <row r="938" spans="1:4" x14ac:dyDescent="0.35">
      <c r="A938" t="s">
        <v>64</v>
      </c>
      <c r="B938" s="88">
        <v>44058</v>
      </c>
      <c r="C938">
        <v>33.57126363580295</v>
      </c>
      <c r="D938" t="s">
        <v>107</v>
      </c>
    </row>
    <row r="939" spans="1:4" x14ac:dyDescent="0.35">
      <c r="A939" t="s">
        <v>64</v>
      </c>
      <c r="B939" s="88">
        <v>44150</v>
      </c>
      <c r="C939">
        <v>33.497421018550305</v>
      </c>
      <c r="D939" t="s">
        <v>107</v>
      </c>
    </row>
    <row r="940" spans="1:4" x14ac:dyDescent="0.35">
      <c r="A940" t="s">
        <v>64</v>
      </c>
      <c r="B940" s="88">
        <v>44242</v>
      </c>
      <c r="C940">
        <v>33.512958596158668</v>
      </c>
      <c r="D940" t="s">
        <v>107</v>
      </c>
    </row>
    <row r="941" spans="1:4" x14ac:dyDescent="0.35">
      <c r="A941" t="s">
        <v>64</v>
      </c>
      <c r="B941" s="88">
        <v>44331</v>
      </c>
      <c r="C941">
        <v>35.100466605473777</v>
      </c>
      <c r="D941" t="s">
        <v>107</v>
      </c>
    </row>
    <row r="942" spans="1:4" x14ac:dyDescent="0.35">
      <c r="A942" t="s">
        <v>64</v>
      </c>
      <c r="B942" s="88">
        <v>44423</v>
      </c>
      <c r="C942">
        <v>35.088089828853889</v>
      </c>
      <c r="D942" t="s">
        <v>107</v>
      </c>
    </row>
    <row r="943" spans="1:4" x14ac:dyDescent="0.35">
      <c r="A943" t="s">
        <v>64</v>
      </c>
      <c r="B943" s="88">
        <v>44515</v>
      </c>
      <c r="C943">
        <v>35.346905750281181</v>
      </c>
      <c r="D943" t="s">
        <v>107</v>
      </c>
    </row>
    <row r="944" spans="1:4" x14ac:dyDescent="0.35">
      <c r="A944" t="s">
        <v>64</v>
      </c>
      <c r="B944" s="88">
        <v>44607</v>
      </c>
      <c r="C944">
        <v>35.590704376815836</v>
      </c>
      <c r="D944" t="s">
        <v>107</v>
      </c>
    </row>
    <row r="945" spans="1:4" x14ac:dyDescent="0.35">
      <c r="A945" t="s">
        <v>64</v>
      </c>
      <c r="B945" s="88">
        <v>44696</v>
      </c>
      <c r="C945">
        <v>35.937187002584942</v>
      </c>
      <c r="D945" t="s">
        <v>107</v>
      </c>
    </row>
    <row r="946" spans="1:4" x14ac:dyDescent="0.35">
      <c r="A946" t="s">
        <v>64</v>
      </c>
      <c r="B946" s="88">
        <v>44788</v>
      </c>
      <c r="C946">
        <v>35.989299607768849</v>
      </c>
      <c r="D946" t="s">
        <v>107</v>
      </c>
    </row>
    <row r="947" spans="1:4" x14ac:dyDescent="0.35">
      <c r="A947" t="s">
        <v>64</v>
      </c>
      <c r="B947" s="88">
        <v>44880</v>
      </c>
      <c r="C947">
        <v>36.238483250977566</v>
      </c>
      <c r="D947" t="s">
        <v>107</v>
      </c>
    </row>
    <row r="948" spans="1:4" x14ac:dyDescent="0.35">
      <c r="A948" t="s">
        <v>64</v>
      </c>
      <c r="B948" s="88">
        <v>44972</v>
      </c>
      <c r="C948">
        <v>36.449070426238151</v>
      </c>
      <c r="D948" t="s">
        <v>107</v>
      </c>
    </row>
    <row r="949" spans="1:4" x14ac:dyDescent="0.35">
      <c r="A949" t="s">
        <v>64</v>
      </c>
      <c r="B949" s="88">
        <v>45061</v>
      </c>
      <c r="C949">
        <v>37.110671970404802</v>
      </c>
      <c r="D949" t="s">
        <v>107</v>
      </c>
    </row>
    <row r="950" spans="1:4" x14ac:dyDescent="0.35">
      <c r="A950" t="s">
        <v>64</v>
      </c>
      <c r="B950" s="88">
        <v>45153</v>
      </c>
      <c r="C950">
        <v>37.274673199554798</v>
      </c>
      <c r="D950" t="s">
        <v>107</v>
      </c>
    </row>
    <row r="951" spans="1:4" x14ac:dyDescent="0.35">
      <c r="A951" t="s">
        <v>64</v>
      </c>
      <c r="B951" s="88">
        <v>45245</v>
      </c>
      <c r="C951">
        <v>37.309235503444398</v>
      </c>
      <c r="D951" t="s">
        <v>107</v>
      </c>
    </row>
    <row r="952" spans="1:4" x14ac:dyDescent="0.35">
      <c r="A952" t="s">
        <v>64</v>
      </c>
      <c r="B952" s="88">
        <v>45337</v>
      </c>
      <c r="C952">
        <v>37.45157013339</v>
      </c>
      <c r="D952" t="s">
        <v>107</v>
      </c>
    </row>
    <row r="953" spans="1:4" x14ac:dyDescent="0.35">
      <c r="A953" t="s">
        <v>64</v>
      </c>
      <c r="B953" s="88">
        <v>45427</v>
      </c>
      <c r="C953">
        <v>39.574588051205403</v>
      </c>
      <c r="D953" t="s">
        <v>107</v>
      </c>
    </row>
    <row r="954" spans="1:4" x14ac:dyDescent="0.35">
      <c r="A954" t="s">
        <v>64</v>
      </c>
      <c r="B954" s="88">
        <v>45519</v>
      </c>
      <c r="C954">
        <v>39.847877074915303</v>
      </c>
      <c r="D954" t="s">
        <v>107</v>
      </c>
    </row>
    <row r="955" spans="1:4" x14ac:dyDescent="0.35">
      <c r="A955" t="s">
        <v>64</v>
      </c>
      <c r="B955" s="88">
        <v>45611</v>
      </c>
      <c r="C955">
        <v>40.133739889625502</v>
      </c>
      <c r="D955" t="s">
        <v>107</v>
      </c>
    </row>
    <row r="956" spans="1:4" x14ac:dyDescent="0.35">
      <c r="A956" t="s">
        <v>64</v>
      </c>
      <c r="B956" s="88">
        <v>45703</v>
      </c>
      <c r="C956">
        <v>40.487199438729299</v>
      </c>
      <c r="D956" t="s">
        <v>107</v>
      </c>
    </row>
    <row r="957" spans="1:4" x14ac:dyDescent="0.35">
      <c r="A957" t="s">
        <v>64</v>
      </c>
      <c r="B957" s="88">
        <v>45792</v>
      </c>
      <c r="C957">
        <v>42.759677444296599</v>
      </c>
      <c r="D957" t="s">
        <v>107</v>
      </c>
    </row>
    <row r="958" spans="1:4" x14ac:dyDescent="0.35">
      <c r="A958" t="s">
        <v>64</v>
      </c>
      <c r="B958" s="88">
        <v>45884</v>
      </c>
      <c r="C958">
        <v>42.843484682292697</v>
      </c>
      <c r="D958" t="s">
        <v>107</v>
      </c>
    </row>
    <row r="959" spans="1:4" x14ac:dyDescent="0.35">
      <c r="A959" t="s">
        <v>64</v>
      </c>
      <c r="B959" s="88">
        <v>45976</v>
      </c>
      <c r="C959">
        <v>42.790527154198102</v>
      </c>
      <c r="D959" t="s">
        <v>107</v>
      </c>
    </row>
    <row r="960" spans="1:4" x14ac:dyDescent="0.35">
      <c r="A960" t="s">
        <v>64</v>
      </c>
      <c r="B960" s="88">
        <v>46068</v>
      </c>
      <c r="C960">
        <v>44.851394450572499</v>
      </c>
      <c r="D960" t="s">
        <v>107</v>
      </c>
    </row>
    <row r="961" spans="1:4" x14ac:dyDescent="0.35">
      <c r="A961" t="s">
        <v>64</v>
      </c>
      <c r="B961" s="88">
        <v>46157</v>
      </c>
      <c r="C961">
        <v>45.920485790016102</v>
      </c>
      <c r="D961" t="s">
        <v>107</v>
      </c>
    </row>
    <row r="962" spans="1:4" x14ac:dyDescent="0.35">
      <c r="A962" t="s">
        <v>64</v>
      </c>
      <c r="B962" s="88">
        <v>46249</v>
      </c>
      <c r="C962">
        <v>45.974674482228401</v>
      </c>
      <c r="D962" t="s">
        <v>107</v>
      </c>
    </row>
    <row r="963" spans="1:4" x14ac:dyDescent="0.35">
      <c r="A963" t="s">
        <v>63</v>
      </c>
      <c r="B963" s="88">
        <v>43511</v>
      </c>
      <c r="C963">
        <v>33.958862976292316</v>
      </c>
      <c r="D963" t="s">
        <v>107</v>
      </c>
    </row>
    <row r="964" spans="1:4" x14ac:dyDescent="0.35">
      <c r="A964" t="s">
        <v>63</v>
      </c>
      <c r="B964" s="88">
        <v>43600</v>
      </c>
      <c r="C964">
        <v>34.007553717913062</v>
      </c>
      <c r="D964" t="s">
        <v>107</v>
      </c>
    </row>
    <row r="965" spans="1:4" x14ac:dyDescent="0.35">
      <c r="A965" t="s">
        <v>63</v>
      </c>
      <c r="B965" s="88">
        <v>43692</v>
      </c>
      <c r="C965">
        <v>33.93543996131659</v>
      </c>
      <c r="D965" t="s">
        <v>107</v>
      </c>
    </row>
    <row r="966" spans="1:4" x14ac:dyDescent="0.35">
      <c r="A966" t="s">
        <v>63</v>
      </c>
      <c r="B966" s="88">
        <v>43784</v>
      </c>
      <c r="C966">
        <v>34.076218924919758</v>
      </c>
      <c r="D966" t="s">
        <v>107</v>
      </c>
    </row>
    <row r="967" spans="1:4" x14ac:dyDescent="0.35">
      <c r="A967" t="s">
        <v>63</v>
      </c>
      <c r="B967" s="88">
        <v>43876</v>
      </c>
      <c r="C967">
        <v>34.844246146674273</v>
      </c>
      <c r="D967" t="s">
        <v>107</v>
      </c>
    </row>
    <row r="968" spans="1:4" x14ac:dyDescent="0.35">
      <c r="A968" t="s">
        <v>63</v>
      </c>
      <c r="B968" s="88">
        <v>43966</v>
      </c>
      <c r="C968">
        <v>33.530879848840982</v>
      </c>
      <c r="D968" t="s">
        <v>107</v>
      </c>
    </row>
    <row r="969" spans="1:4" x14ac:dyDescent="0.35">
      <c r="A969" t="s">
        <v>63</v>
      </c>
      <c r="B969" s="88">
        <v>44058</v>
      </c>
      <c r="C969">
        <v>33.57126363580295</v>
      </c>
      <c r="D969" t="s">
        <v>107</v>
      </c>
    </row>
    <row r="970" spans="1:4" x14ac:dyDescent="0.35">
      <c r="A970" t="s">
        <v>63</v>
      </c>
      <c r="B970" s="88">
        <v>44150</v>
      </c>
      <c r="C970">
        <v>33.497421018550305</v>
      </c>
      <c r="D970" t="s">
        <v>107</v>
      </c>
    </row>
    <row r="971" spans="1:4" x14ac:dyDescent="0.35">
      <c r="A971" t="s">
        <v>63</v>
      </c>
      <c r="B971" s="88">
        <v>44242</v>
      </c>
      <c r="C971">
        <v>33.512958596158668</v>
      </c>
      <c r="D971" t="s">
        <v>107</v>
      </c>
    </row>
    <row r="972" spans="1:4" x14ac:dyDescent="0.35">
      <c r="A972" t="s">
        <v>63</v>
      </c>
      <c r="B972" s="88">
        <v>44331</v>
      </c>
      <c r="C972">
        <v>35.100466605473777</v>
      </c>
      <c r="D972" t="s">
        <v>107</v>
      </c>
    </row>
    <row r="973" spans="1:4" x14ac:dyDescent="0.35">
      <c r="A973" t="s">
        <v>63</v>
      </c>
      <c r="B973" s="88">
        <v>44423</v>
      </c>
      <c r="C973">
        <v>35.088089828853889</v>
      </c>
      <c r="D973" t="s">
        <v>107</v>
      </c>
    </row>
    <row r="974" spans="1:4" x14ac:dyDescent="0.35">
      <c r="A974" t="s">
        <v>63</v>
      </c>
      <c r="B974" s="88">
        <v>44515</v>
      </c>
      <c r="C974">
        <v>35.346905750281181</v>
      </c>
      <c r="D974" t="s">
        <v>107</v>
      </c>
    </row>
    <row r="975" spans="1:4" x14ac:dyDescent="0.35">
      <c r="A975" t="s">
        <v>63</v>
      </c>
      <c r="B975" s="88">
        <v>44607</v>
      </c>
      <c r="C975">
        <v>35.590704376815836</v>
      </c>
      <c r="D975" t="s">
        <v>107</v>
      </c>
    </row>
    <row r="976" spans="1:4" x14ac:dyDescent="0.35">
      <c r="A976" t="s">
        <v>63</v>
      </c>
      <c r="B976" s="88">
        <v>44696</v>
      </c>
      <c r="C976">
        <v>35.937187002584942</v>
      </c>
      <c r="D976" t="s">
        <v>107</v>
      </c>
    </row>
    <row r="977" spans="1:4" x14ac:dyDescent="0.35">
      <c r="A977" t="s">
        <v>63</v>
      </c>
      <c r="B977" s="88">
        <v>44788</v>
      </c>
      <c r="C977">
        <v>35.989299607768849</v>
      </c>
      <c r="D977" t="s">
        <v>107</v>
      </c>
    </row>
    <row r="978" spans="1:4" x14ac:dyDescent="0.35">
      <c r="A978" t="s">
        <v>63</v>
      </c>
      <c r="B978" s="88">
        <v>44880</v>
      </c>
      <c r="C978">
        <v>36.238483250977566</v>
      </c>
      <c r="D978" t="s">
        <v>107</v>
      </c>
    </row>
    <row r="979" spans="1:4" x14ac:dyDescent="0.35">
      <c r="A979" t="s">
        <v>63</v>
      </c>
      <c r="B979" s="88">
        <v>44972</v>
      </c>
      <c r="C979">
        <v>36.449070426238151</v>
      </c>
      <c r="D979" t="s">
        <v>107</v>
      </c>
    </row>
    <row r="980" spans="1:4" x14ac:dyDescent="0.35">
      <c r="A980" t="s">
        <v>63</v>
      </c>
      <c r="B980" s="88">
        <v>45061</v>
      </c>
      <c r="C980">
        <v>37.110671970404802</v>
      </c>
      <c r="D980" t="s">
        <v>107</v>
      </c>
    </row>
    <row r="981" spans="1:4" x14ac:dyDescent="0.35">
      <c r="A981" t="s">
        <v>63</v>
      </c>
      <c r="B981" s="88">
        <v>45153</v>
      </c>
      <c r="C981">
        <v>37.274673199554798</v>
      </c>
      <c r="D981" t="s">
        <v>107</v>
      </c>
    </row>
    <row r="982" spans="1:4" x14ac:dyDescent="0.35">
      <c r="A982" t="s">
        <v>63</v>
      </c>
      <c r="B982" s="88">
        <v>45245</v>
      </c>
      <c r="C982">
        <v>37.309235503444398</v>
      </c>
      <c r="D982" t="s">
        <v>107</v>
      </c>
    </row>
    <row r="983" spans="1:4" x14ac:dyDescent="0.35">
      <c r="A983" t="s">
        <v>63</v>
      </c>
      <c r="B983" s="88">
        <v>45337</v>
      </c>
      <c r="C983">
        <v>37.45157013339</v>
      </c>
      <c r="D983" t="s">
        <v>107</v>
      </c>
    </row>
    <row r="984" spans="1:4" x14ac:dyDescent="0.35">
      <c r="A984" t="s">
        <v>63</v>
      </c>
      <c r="B984" s="88">
        <v>45427</v>
      </c>
      <c r="C984">
        <v>39.574588051205403</v>
      </c>
      <c r="D984" t="s">
        <v>107</v>
      </c>
    </row>
    <row r="985" spans="1:4" x14ac:dyDescent="0.35">
      <c r="A985" t="s">
        <v>63</v>
      </c>
      <c r="B985" s="88">
        <v>45519</v>
      </c>
      <c r="C985">
        <v>39.847877074915303</v>
      </c>
      <c r="D985" t="s">
        <v>107</v>
      </c>
    </row>
    <row r="986" spans="1:4" x14ac:dyDescent="0.35">
      <c r="A986" t="s">
        <v>63</v>
      </c>
      <c r="B986" s="88">
        <v>45611</v>
      </c>
      <c r="C986">
        <v>40.133739889625502</v>
      </c>
      <c r="D986" t="s">
        <v>107</v>
      </c>
    </row>
    <row r="987" spans="1:4" x14ac:dyDescent="0.35">
      <c r="A987" t="s">
        <v>63</v>
      </c>
      <c r="B987" s="88">
        <v>45703</v>
      </c>
      <c r="C987">
        <v>40.487199438729299</v>
      </c>
      <c r="D987" t="s">
        <v>107</v>
      </c>
    </row>
    <row r="988" spans="1:4" x14ac:dyDescent="0.35">
      <c r="A988" t="s">
        <v>63</v>
      </c>
      <c r="B988" s="88">
        <v>45792</v>
      </c>
      <c r="C988">
        <v>42.759677444296599</v>
      </c>
      <c r="D988" t="s">
        <v>107</v>
      </c>
    </row>
    <row r="989" spans="1:4" x14ac:dyDescent="0.35">
      <c r="A989" t="s">
        <v>63</v>
      </c>
      <c r="B989" s="88">
        <v>45884</v>
      </c>
      <c r="C989">
        <v>42.843484682292697</v>
      </c>
      <c r="D989" t="s">
        <v>107</v>
      </c>
    </row>
    <row r="990" spans="1:4" x14ac:dyDescent="0.35">
      <c r="A990" t="s">
        <v>63</v>
      </c>
      <c r="B990" s="88">
        <v>45976</v>
      </c>
      <c r="C990">
        <v>42.790527154198102</v>
      </c>
      <c r="D990" t="s">
        <v>107</v>
      </c>
    </row>
    <row r="991" spans="1:4" x14ac:dyDescent="0.35">
      <c r="A991" t="s">
        <v>63</v>
      </c>
      <c r="B991" s="88">
        <v>46068</v>
      </c>
      <c r="C991">
        <v>44.851394450572499</v>
      </c>
      <c r="D991" t="s">
        <v>107</v>
      </c>
    </row>
    <row r="992" spans="1:4" x14ac:dyDescent="0.35">
      <c r="A992" t="s">
        <v>63</v>
      </c>
      <c r="B992" s="88">
        <v>46157</v>
      </c>
      <c r="C992">
        <v>45.920485790016102</v>
      </c>
      <c r="D992" t="s">
        <v>107</v>
      </c>
    </row>
    <row r="993" spans="1:4" x14ac:dyDescent="0.35">
      <c r="A993" t="s">
        <v>63</v>
      </c>
      <c r="B993" s="88">
        <v>46249</v>
      </c>
      <c r="C993">
        <v>45.974674482228401</v>
      </c>
      <c r="D993" t="s">
        <v>107</v>
      </c>
    </row>
    <row r="994" spans="1:4" x14ac:dyDescent="0.35">
      <c r="A994" t="s">
        <v>65</v>
      </c>
      <c r="B994" s="88">
        <v>43511</v>
      </c>
      <c r="C994">
        <v>32.017294130292939</v>
      </c>
      <c r="D994" t="s">
        <v>107</v>
      </c>
    </row>
    <row r="995" spans="1:4" x14ac:dyDescent="0.35">
      <c r="A995" t="s">
        <v>65</v>
      </c>
      <c r="B995" s="88">
        <v>43600</v>
      </c>
      <c r="C995">
        <v>32.236441638920837</v>
      </c>
      <c r="D995" t="s">
        <v>107</v>
      </c>
    </row>
    <row r="996" spans="1:4" x14ac:dyDescent="0.35">
      <c r="A996" t="s">
        <v>65</v>
      </c>
      <c r="B996" s="88">
        <v>43692</v>
      </c>
      <c r="C996">
        <v>32.458287326161894</v>
      </c>
      <c r="D996" t="s">
        <v>107</v>
      </c>
    </row>
    <row r="997" spans="1:4" x14ac:dyDescent="0.35">
      <c r="A997" t="s">
        <v>65</v>
      </c>
      <c r="B997" s="88">
        <v>43784</v>
      </c>
      <c r="C997">
        <v>32.943523463126056</v>
      </c>
      <c r="D997" t="s">
        <v>107</v>
      </c>
    </row>
    <row r="998" spans="1:4" x14ac:dyDescent="0.35">
      <c r="A998" t="s">
        <v>65</v>
      </c>
      <c r="B998" s="88">
        <v>43876</v>
      </c>
      <c r="C998">
        <v>33.000129317393011</v>
      </c>
      <c r="D998" t="s">
        <v>107</v>
      </c>
    </row>
    <row r="999" spans="1:4" x14ac:dyDescent="0.35">
      <c r="A999" t="s">
        <v>65</v>
      </c>
      <c r="B999" s="88">
        <v>43966</v>
      </c>
      <c r="C999">
        <v>33.527882903718805</v>
      </c>
      <c r="D999" t="s">
        <v>107</v>
      </c>
    </row>
    <row r="1000" spans="1:4" x14ac:dyDescent="0.35">
      <c r="A1000" t="s">
        <v>65</v>
      </c>
      <c r="B1000" s="88">
        <v>44058</v>
      </c>
      <c r="C1000">
        <v>33.517412470734016</v>
      </c>
      <c r="D1000" t="s">
        <v>107</v>
      </c>
    </row>
    <row r="1001" spans="1:4" x14ac:dyDescent="0.35">
      <c r="A1001" t="s">
        <v>65</v>
      </c>
      <c r="B1001" s="88">
        <v>44150</v>
      </c>
      <c r="C1001">
        <v>32.653748024077743</v>
      </c>
      <c r="D1001" t="s">
        <v>107</v>
      </c>
    </row>
    <row r="1002" spans="1:4" x14ac:dyDescent="0.35">
      <c r="A1002" t="s">
        <v>65</v>
      </c>
      <c r="B1002" s="88">
        <v>44242</v>
      </c>
      <c r="C1002">
        <v>32.700714836124895</v>
      </c>
      <c r="D1002" t="s">
        <v>107</v>
      </c>
    </row>
    <row r="1003" spans="1:4" x14ac:dyDescent="0.35">
      <c r="A1003" t="s">
        <v>65</v>
      </c>
      <c r="B1003" s="88">
        <v>44331</v>
      </c>
      <c r="C1003">
        <v>32.939169349818911</v>
      </c>
      <c r="D1003" t="s">
        <v>107</v>
      </c>
    </row>
    <row r="1004" spans="1:4" x14ac:dyDescent="0.35">
      <c r="A1004" t="s">
        <v>65</v>
      </c>
      <c r="B1004" s="88">
        <v>44423</v>
      </c>
      <c r="C1004">
        <v>33.433338772933979</v>
      </c>
      <c r="D1004" t="s">
        <v>107</v>
      </c>
    </row>
    <row r="1005" spans="1:4" x14ac:dyDescent="0.35">
      <c r="A1005" t="s">
        <v>65</v>
      </c>
      <c r="B1005" s="88">
        <v>44515</v>
      </c>
      <c r="C1005">
        <v>34.242697327194996</v>
      </c>
      <c r="D1005" t="s">
        <v>107</v>
      </c>
    </row>
    <row r="1006" spans="1:4" x14ac:dyDescent="0.35">
      <c r="A1006" t="s">
        <v>65</v>
      </c>
      <c r="B1006" s="88">
        <v>44607</v>
      </c>
      <c r="C1006">
        <v>34.343938348083668</v>
      </c>
      <c r="D1006" t="s">
        <v>107</v>
      </c>
    </row>
    <row r="1007" spans="1:4" x14ac:dyDescent="0.35">
      <c r="A1007" t="s">
        <v>65</v>
      </c>
      <c r="B1007" s="88">
        <v>44696</v>
      </c>
      <c r="C1007">
        <v>34.451130361932009</v>
      </c>
      <c r="D1007" t="s">
        <v>107</v>
      </c>
    </row>
    <row r="1008" spans="1:4" x14ac:dyDescent="0.35">
      <c r="A1008" t="s">
        <v>65</v>
      </c>
      <c r="B1008" s="88">
        <v>44788</v>
      </c>
      <c r="C1008">
        <v>33.771816165983161</v>
      </c>
      <c r="D1008" t="s">
        <v>107</v>
      </c>
    </row>
    <row r="1009" spans="1:4" x14ac:dyDescent="0.35">
      <c r="A1009" t="s">
        <v>65</v>
      </c>
      <c r="B1009" s="88">
        <v>44880</v>
      </c>
      <c r="C1009">
        <v>35.280183663333844</v>
      </c>
      <c r="D1009" t="s">
        <v>107</v>
      </c>
    </row>
    <row r="1010" spans="1:4" x14ac:dyDescent="0.35">
      <c r="A1010" t="s">
        <v>65</v>
      </c>
      <c r="B1010" s="88">
        <v>44972</v>
      </c>
      <c r="C1010">
        <v>35.216028482468772</v>
      </c>
      <c r="D1010" t="s">
        <v>107</v>
      </c>
    </row>
    <row r="1011" spans="1:4" x14ac:dyDescent="0.35">
      <c r="A1011" t="s">
        <v>65</v>
      </c>
      <c r="B1011" s="88">
        <v>45061</v>
      </c>
      <c r="C1011">
        <v>36.080646711853802</v>
      </c>
      <c r="D1011" t="s">
        <v>107</v>
      </c>
    </row>
    <row r="1012" spans="1:4" x14ac:dyDescent="0.35">
      <c r="A1012" t="s">
        <v>65</v>
      </c>
      <c r="B1012" s="88">
        <v>45153</v>
      </c>
      <c r="C1012">
        <v>36.177287997994704</v>
      </c>
      <c r="D1012" t="s">
        <v>107</v>
      </c>
    </row>
    <row r="1013" spans="1:4" x14ac:dyDescent="0.35">
      <c r="A1013" t="s">
        <v>65</v>
      </c>
      <c r="B1013" s="88">
        <v>45245</v>
      </c>
      <c r="C1013">
        <v>36.6347548548327</v>
      </c>
      <c r="D1013" t="s">
        <v>107</v>
      </c>
    </row>
    <row r="1014" spans="1:4" x14ac:dyDescent="0.35">
      <c r="A1014" t="s">
        <v>65</v>
      </c>
      <c r="B1014" s="88">
        <v>45337</v>
      </c>
      <c r="C1014">
        <v>36.595699132015099</v>
      </c>
      <c r="D1014" t="s">
        <v>107</v>
      </c>
    </row>
    <row r="1015" spans="1:4" x14ac:dyDescent="0.35">
      <c r="A1015" t="s">
        <v>65</v>
      </c>
      <c r="B1015" s="88">
        <v>45427</v>
      </c>
      <c r="C1015">
        <v>37.7531286316189</v>
      </c>
      <c r="D1015" t="s">
        <v>107</v>
      </c>
    </row>
    <row r="1016" spans="1:4" x14ac:dyDescent="0.35">
      <c r="A1016" t="s">
        <v>65</v>
      </c>
      <c r="B1016" s="88">
        <v>45519</v>
      </c>
      <c r="C1016">
        <v>38.207687500462498</v>
      </c>
      <c r="D1016" t="s">
        <v>107</v>
      </c>
    </row>
    <row r="1017" spans="1:4" x14ac:dyDescent="0.35">
      <c r="A1017" t="s">
        <v>65</v>
      </c>
      <c r="B1017" s="88">
        <v>45611</v>
      </c>
      <c r="C1017">
        <v>39.161660934265399</v>
      </c>
      <c r="D1017" t="s">
        <v>107</v>
      </c>
    </row>
    <row r="1018" spans="1:4" x14ac:dyDescent="0.35">
      <c r="A1018" t="s">
        <v>65</v>
      </c>
      <c r="B1018" s="88">
        <v>45703</v>
      </c>
      <c r="C1018">
        <v>39.347857307396303</v>
      </c>
      <c r="D1018" t="s">
        <v>107</v>
      </c>
    </row>
    <row r="1019" spans="1:4" x14ac:dyDescent="0.35">
      <c r="A1019" t="s">
        <v>65</v>
      </c>
      <c r="B1019" s="88">
        <v>45792</v>
      </c>
      <c r="C1019">
        <v>41.357548174164997</v>
      </c>
      <c r="D1019" t="s">
        <v>107</v>
      </c>
    </row>
    <row r="1020" spans="1:4" x14ac:dyDescent="0.35">
      <c r="A1020" t="s">
        <v>65</v>
      </c>
      <c r="B1020" s="88">
        <v>45884</v>
      </c>
      <c r="C1020">
        <v>41.3901240783701</v>
      </c>
      <c r="D1020" t="s">
        <v>107</v>
      </c>
    </row>
    <row r="1021" spans="1:4" x14ac:dyDescent="0.35">
      <c r="A1021" t="s">
        <v>65</v>
      </c>
      <c r="B1021" s="88">
        <v>45976</v>
      </c>
      <c r="C1021">
        <v>41.381154431625603</v>
      </c>
      <c r="D1021" t="s">
        <v>107</v>
      </c>
    </row>
    <row r="1022" spans="1:4" x14ac:dyDescent="0.35">
      <c r="A1022" t="s">
        <v>65</v>
      </c>
      <c r="B1022" s="88">
        <v>46068</v>
      </c>
      <c r="C1022">
        <v>42.046302117284803</v>
      </c>
      <c r="D1022" t="s">
        <v>107</v>
      </c>
    </row>
    <row r="1023" spans="1:4" x14ac:dyDescent="0.35">
      <c r="A1023" t="s">
        <v>65</v>
      </c>
      <c r="B1023" s="88">
        <v>46157</v>
      </c>
      <c r="C1023">
        <v>43.980474016404798</v>
      </c>
      <c r="D1023" t="s">
        <v>107</v>
      </c>
    </row>
    <row r="1024" spans="1:4" x14ac:dyDescent="0.35">
      <c r="A1024" t="s">
        <v>65</v>
      </c>
      <c r="B1024" s="88">
        <v>46249</v>
      </c>
      <c r="C1024">
        <v>44.173444547066197</v>
      </c>
      <c r="D1024" t="s">
        <v>107</v>
      </c>
    </row>
    <row r="1025" spans="1:4" x14ac:dyDescent="0.35">
      <c r="A1025" t="s">
        <v>86</v>
      </c>
      <c r="B1025" s="88">
        <v>43511</v>
      </c>
      <c r="C1025">
        <v>41.158393647808396</v>
      </c>
      <c r="D1025" t="s">
        <v>107</v>
      </c>
    </row>
    <row r="1026" spans="1:4" x14ac:dyDescent="0.35">
      <c r="A1026" t="s">
        <v>86</v>
      </c>
      <c r="B1026" s="88">
        <v>43600</v>
      </c>
      <c r="C1026">
        <v>42.595568447449963</v>
      </c>
      <c r="D1026" t="s">
        <v>107</v>
      </c>
    </row>
    <row r="1027" spans="1:4" x14ac:dyDescent="0.35">
      <c r="A1027" t="s">
        <v>86</v>
      </c>
      <c r="B1027" s="88">
        <v>43692</v>
      </c>
      <c r="C1027">
        <v>41.917693738380045</v>
      </c>
      <c r="D1027" t="s">
        <v>107</v>
      </c>
    </row>
    <row r="1028" spans="1:4" x14ac:dyDescent="0.35">
      <c r="A1028" t="s">
        <v>86</v>
      </c>
      <c r="B1028" s="88">
        <v>43784</v>
      </c>
      <c r="C1028">
        <v>42.762382472903433</v>
      </c>
      <c r="D1028" t="s">
        <v>107</v>
      </c>
    </row>
    <row r="1029" spans="1:4" x14ac:dyDescent="0.35">
      <c r="A1029" t="s">
        <v>86</v>
      </c>
      <c r="B1029" s="88">
        <v>43876</v>
      </c>
      <c r="C1029">
        <v>42.811393657877566</v>
      </c>
      <c r="D1029" t="s">
        <v>107</v>
      </c>
    </row>
    <row r="1030" spans="1:4" x14ac:dyDescent="0.35">
      <c r="A1030" t="s">
        <v>86</v>
      </c>
      <c r="B1030" s="88">
        <v>43966</v>
      </c>
      <c r="C1030">
        <v>41.674200704367031</v>
      </c>
      <c r="D1030" t="s">
        <v>107</v>
      </c>
    </row>
    <row r="1031" spans="1:4" x14ac:dyDescent="0.35">
      <c r="A1031" t="s">
        <v>86</v>
      </c>
      <c r="B1031" s="88">
        <v>44058</v>
      </c>
      <c r="C1031">
        <v>41.681519478444208</v>
      </c>
      <c r="D1031" t="s">
        <v>107</v>
      </c>
    </row>
    <row r="1032" spans="1:4" x14ac:dyDescent="0.35">
      <c r="A1032" t="s">
        <v>86</v>
      </c>
      <c r="B1032" s="88">
        <v>44150</v>
      </c>
      <c r="C1032">
        <v>41.648282478204841</v>
      </c>
      <c r="D1032" t="s">
        <v>107</v>
      </c>
    </row>
    <row r="1033" spans="1:4" x14ac:dyDescent="0.35">
      <c r="A1033" t="s">
        <v>86</v>
      </c>
      <c r="B1033" s="88">
        <v>44242</v>
      </c>
      <c r="C1033">
        <v>41.621176321004199</v>
      </c>
      <c r="D1033" t="s">
        <v>107</v>
      </c>
    </row>
    <row r="1034" spans="1:4" x14ac:dyDescent="0.35">
      <c r="A1034" t="s">
        <v>86</v>
      </c>
      <c r="B1034" s="88">
        <v>44331</v>
      </c>
      <c r="C1034">
        <v>41.810972416757181</v>
      </c>
      <c r="D1034" t="s">
        <v>107</v>
      </c>
    </row>
    <row r="1035" spans="1:4" x14ac:dyDescent="0.35">
      <c r="A1035" t="s">
        <v>86</v>
      </c>
      <c r="B1035" s="88">
        <v>44423</v>
      </c>
      <c r="C1035">
        <v>42.972680807540762</v>
      </c>
      <c r="D1035" t="s">
        <v>107</v>
      </c>
    </row>
    <row r="1036" spans="1:4" x14ac:dyDescent="0.35">
      <c r="A1036" t="s">
        <v>86</v>
      </c>
      <c r="B1036" s="88">
        <v>44515</v>
      </c>
      <c r="C1036">
        <v>42.967882909354209</v>
      </c>
      <c r="D1036" t="s">
        <v>107</v>
      </c>
    </row>
    <row r="1037" spans="1:4" x14ac:dyDescent="0.35">
      <c r="A1037" t="s">
        <v>86</v>
      </c>
      <c r="B1037" s="88">
        <v>44607</v>
      </c>
      <c r="C1037">
        <v>43.953948640025054</v>
      </c>
      <c r="D1037" t="s">
        <v>107</v>
      </c>
    </row>
    <row r="1038" spans="1:4" x14ac:dyDescent="0.35">
      <c r="A1038" t="s">
        <v>86</v>
      </c>
      <c r="B1038" s="88">
        <v>44696</v>
      </c>
      <c r="C1038">
        <v>43.59660630892251</v>
      </c>
      <c r="D1038" t="s">
        <v>107</v>
      </c>
    </row>
    <row r="1039" spans="1:4" x14ac:dyDescent="0.35">
      <c r="A1039" t="s">
        <v>86</v>
      </c>
      <c r="B1039" s="88">
        <v>44788</v>
      </c>
      <c r="C1039">
        <v>43.645038074688742</v>
      </c>
      <c r="D1039" t="s">
        <v>107</v>
      </c>
    </row>
    <row r="1040" spans="1:4" x14ac:dyDescent="0.35">
      <c r="A1040" t="s">
        <v>86</v>
      </c>
      <c r="B1040" s="88">
        <v>44880</v>
      </c>
      <c r="C1040">
        <v>43.267357265696361</v>
      </c>
      <c r="D1040" t="s">
        <v>107</v>
      </c>
    </row>
    <row r="1041" spans="1:4" x14ac:dyDescent="0.35">
      <c r="A1041" t="s">
        <v>86</v>
      </c>
      <c r="B1041" s="88">
        <v>44972</v>
      </c>
      <c r="C1041">
        <v>43.562715305629467</v>
      </c>
      <c r="D1041" t="s">
        <v>107</v>
      </c>
    </row>
    <row r="1042" spans="1:4" x14ac:dyDescent="0.35">
      <c r="A1042" t="s">
        <v>86</v>
      </c>
      <c r="B1042" s="88">
        <v>45061</v>
      </c>
      <c r="C1042">
        <v>42.575335886941602</v>
      </c>
      <c r="D1042" t="s">
        <v>107</v>
      </c>
    </row>
    <row r="1043" spans="1:4" x14ac:dyDescent="0.35">
      <c r="A1043" t="s">
        <v>86</v>
      </c>
      <c r="B1043" s="88">
        <v>45153</v>
      </c>
      <c r="C1043">
        <v>43.609599208733002</v>
      </c>
      <c r="D1043" t="s">
        <v>107</v>
      </c>
    </row>
    <row r="1044" spans="1:4" x14ac:dyDescent="0.35">
      <c r="A1044" t="s">
        <v>86</v>
      </c>
      <c r="B1044" s="88">
        <v>45245</v>
      </c>
      <c r="C1044">
        <v>44.039549158080298</v>
      </c>
      <c r="D1044" t="s">
        <v>107</v>
      </c>
    </row>
    <row r="1045" spans="1:4" x14ac:dyDescent="0.35">
      <c r="A1045" t="s">
        <v>86</v>
      </c>
      <c r="B1045" s="88">
        <v>45337</v>
      </c>
      <c r="C1045">
        <v>44.213799430016898</v>
      </c>
      <c r="D1045" t="s">
        <v>107</v>
      </c>
    </row>
    <row r="1046" spans="1:4" x14ac:dyDescent="0.35">
      <c r="A1046" t="s">
        <v>86</v>
      </c>
      <c r="B1046" s="88">
        <v>45427</v>
      </c>
      <c r="C1046">
        <v>45.592353560183497</v>
      </c>
      <c r="D1046" t="s">
        <v>107</v>
      </c>
    </row>
    <row r="1047" spans="1:4" x14ac:dyDescent="0.35">
      <c r="A1047" t="s">
        <v>86</v>
      </c>
      <c r="B1047" s="88">
        <v>45519</v>
      </c>
      <c r="C1047">
        <v>44.240745185357703</v>
      </c>
      <c r="D1047" t="s">
        <v>107</v>
      </c>
    </row>
    <row r="1048" spans="1:4" x14ac:dyDescent="0.35">
      <c r="A1048" t="s">
        <v>86</v>
      </c>
      <c r="B1048" s="88">
        <v>45611</v>
      </c>
      <c r="C1048">
        <v>45.337522366209399</v>
      </c>
      <c r="D1048" t="s">
        <v>107</v>
      </c>
    </row>
    <row r="1049" spans="1:4" x14ac:dyDescent="0.35">
      <c r="A1049" t="s">
        <v>86</v>
      </c>
      <c r="B1049" s="88">
        <v>45703</v>
      </c>
      <c r="C1049">
        <v>45.422928633216202</v>
      </c>
      <c r="D1049" t="s">
        <v>107</v>
      </c>
    </row>
    <row r="1050" spans="1:4" x14ac:dyDescent="0.35">
      <c r="A1050" t="s">
        <v>86</v>
      </c>
      <c r="B1050" s="88">
        <v>45792</v>
      </c>
      <c r="C1050">
        <v>48.4298128550681</v>
      </c>
      <c r="D1050" t="s">
        <v>107</v>
      </c>
    </row>
    <row r="1051" spans="1:4" x14ac:dyDescent="0.35">
      <c r="A1051" t="s">
        <v>86</v>
      </c>
      <c r="B1051" s="88">
        <v>45884</v>
      </c>
      <c r="C1051">
        <v>48.538434410862799</v>
      </c>
      <c r="D1051" t="s">
        <v>107</v>
      </c>
    </row>
    <row r="1052" spans="1:4" x14ac:dyDescent="0.35">
      <c r="A1052" t="s">
        <v>86</v>
      </c>
      <c r="B1052" s="88">
        <v>45976</v>
      </c>
      <c r="C1052">
        <v>48.519785806497701</v>
      </c>
      <c r="D1052" t="s">
        <v>107</v>
      </c>
    </row>
    <row r="1053" spans="1:4" x14ac:dyDescent="0.35">
      <c r="A1053" t="s">
        <v>86</v>
      </c>
      <c r="B1053" s="88">
        <v>46068</v>
      </c>
      <c r="C1053">
        <v>49.557130569664999</v>
      </c>
      <c r="D1053" t="s">
        <v>107</v>
      </c>
    </row>
    <row r="1054" spans="1:4" x14ac:dyDescent="0.35">
      <c r="A1054" t="s">
        <v>86</v>
      </c>
      <c r="B1054" s="88">
        <v>46157</v>
      </c>
      <c r="C1054">
        <v>50.558956735223703</v>
      </c>
      <c r="D1054" t="s">
        <v>107</v>
      </c>
    </row>
    <row r="1055" spans="1:4" x14ac:dyDescent="0.35">
      <c r="A1055" t="s">
        <v>86</v>
      </c>
      <c r="B1055" s="88">
        <v>46249</v>
      </c>
      <c r="C1055">
        <v>50.618038805293303</v>
      </c>
      <c r="D1055" t="s">
        <v>107</v>
      </c>
    </row>
    <row r="1056" spans="1:4" x14ac:dyDescent="0.35">
      <c r="A1056" t="s">
        <v>37</v>
      </c>
      <c r="B1056" s="88">
        <v>43511</v>
      </c>
      <c r="C1056">
        <v>31.28022247161292</v>
      </c>
      <c r="D1056" t="s">
        <v>107</v>
      </c>
    </row>
    <row r="1057" spans="1:4" x14ac:dyDescent="0.35">
      <c r="A1057" t="s">
        <v>37</v>
      </c>
      <c r="B1057" s="88">
        <v>43600</v>
      </c>
      <c r="C1057">
        <v>31.371529859710531</v>
      </c>
      <c r="D1057" t="s">
        <v>107</v>
      </c>
    </row>
    <row r="1058" spans="1:4" x14ac:dyDescent="0.35">
      <c r="A1058" t="s">
        <v>37</v>
      </c>
      <c r="B1058" s="88">
        <v>43692</v>
      </c>
      <c r="C1058">
        <v>31.386205358208585</v>
      </c>
      <c r="D1058" t="s">
        <v>107</v>
      </c>
    </row>
    <row r="1059" spans="1:4" x14ac:dyDescent="0.35">
      <c r="A1059" t="s">
        <v>37</v>
      </c>
      <c r="B1059" s="88">
        <v>43784</v>
      </c>
      <c r="C1059">
        <v>31.934886797050165</v>
      </c>
      <c r="D1059" t="s">
        <v>107</v>
      </c>
    </row>
    <row r="1060" spans="1:4" x14ac:dyDescent="0.35">
      <c r="A1060" t="s">
        <v>37</v>
      </c>
      <c r="B1060" s="88">
        <v>43876</v>
      </c>
      <c r="C1060">
        <v>32.068805574328714</v>
      </c>
      <c r="D1060" t="s">
        <v>107</v>
      </c>
    </row>
    <row r="1061" spans="1:4" x14ac:dyDescent="0.35">
      <c r="A1061" t="s">
        <v>37</v>
      </c>
      <c r="B1061" s="88">
        <v>43966</v>
      </c>
      <c r="C1061">
        <v>31.709163052821197</v>
      </c>
      <c r="D1061" t="s">
        <v>107</v>
      </c>
    </row>
    <row r="1062" spans="1:4" x14ac:dyDescent="0.35">
      <c r="A1062" t="s">
        <v>37</v>
      </c>
      <c r="B1062" s="88">
        <v>44058</v>
      </c>
      <c r="C1062">
        <v>31.724362675548392</v>
      </c>
      <c r="D1062" t="s">
        <v>107</v>
      </c>
    </row>
    <row r="1063" spans="1:4" x14ac:dyDescent="0.35">
      <c r="A1063" t="s">
        <v>37</v>
      </c>
      <c r="B1063" s="88">
        <v>44150</v>
      </c>
      <c r="C1063">
        <v>31.004862215962643</v>
      </c>
      <c r="D1063" t="s">
        <v>107</v>
      </c>
    </row>
    <row r="1064" spans="1:4" x14ac:dyDescent="0.35">
      <c r="A1064" t="s">
        <v>37</v>
      </c>
      <c r="B1064" s="88">
        <v>44242</v>
      </c>
      <c r="C1064">
        <v>31.089405849819148</v>
      </c>
      <c r="D1064" t="s">
        <v>107</v>
      </c>
    </row>
    <row r="1065" spans="1:4" x14ac:dyDescent="0.35">
      <c r="A1065" t="s">
        <v>37</v>
      </c>
      <c r="B1065" s="88">
        <v>44331</v>
      </c>
      <c r="C1065">
        <v>31.114417770851521</v>
      </c>
      <c r="D1065" t="s">
        <v>107</v>
      </c>
    </row>
    <row r="1066" spans="1:4" x14ac:dyDescent="0.35">
      <c r="A1066" t="s">
        <v>37</v>
      </c>
      <c r="B1066" s="88">
        <v>44423</v>
      </c>
      <c r="C1066">
        <v>31.350404351308267</v>
      </c>
      <c r="D1066" t="s">
        <v>107</v>
      </c>
    </row>
    <row r="1067" spans="1:4" x14ac:dyDescent="0.35">
      <c r="A1067" t="s">
        <v>37</v>
      </c>
      <c r="B1067" s="88">
        <v>44515</v>
      </c>
      <c r="C1067">
        <v>31.95112263713532</v>
      </c>
      <c r="D1067" t="s">
        <v>107</v>
      </c>
    </row>
    <row r="1068" spans="1:4" x14ac:dyDescent="0.35">
      <c r="A1068" t="s">
        <v>37</v>
      </c>
      <c r="B1068" s="88">
        <v>44607</v>
      </c>
      <c r="C1068">
        <v>32.87325796282331</v>
      </c>
      <c r="D1068" t="s">
        <v>107</v>
      </c>
    </row>
    <row r="1069" spans="1:4" x14ac:dyDescent="0.35">
      <c r="A1069" t="s">
        <v>37</v>
      </c>
      <c r="B1069" s="88">
        <v>44696</v>
      </c>
      <c r="C1069">
        <v>33.277722384886346</v>
      </c>
      <c r="D1069" t="s">
        <v>107</v>
      </c>
    </row>
    <row r="1070" spans="1:4" x14ac:dyDescent="0.35">
      <c r="A1070" t="s">
        <v>37</v>
      </c>
      <c r="B1070" s="88">
        <v>44788</v>
      </c>
      <c r="C1070">
        <v>33.115393300550259</v>
      </c>
      <c r="D1070" t="s">
        <v>107</v>
      </c>
    </row>
    <row r="1071" spans="1:4" x14ac:dyDescent="0.35">
      <c r="A1071" t="s">
        <v>37</v>
      </c>
      <c r="B1071" s="88">
        <v>44880</v>
      </c>
      <c r="C1071">
        <v>33.111369004286765</v>
      </c>
      <c r="D1071" t="s">
        <v>107</v>
      </c>
    </row>
    <row r="1072" spans="1:4" x14ac:dyDescent="0.35">
      <c r="A1072" t="s">
        <v>37</v>
      </c>
      <c r="B1072" s="88">
        <v>44972</v>
      </c>
      <c r="C1072">
        <v>33.143022653473764</v>
      </c>
      <c r="D1072" t="s">
        <v>107</v>
      </c>
    </row>
    <row r="1073" spans="1:4" x14ac:dyDescent="0.35">
      <c r="A1073" t="s">
        <v>37</v>
      </c>
      <c r="B1073" s="88">
        <v>45061</v>
      </c>
      <c r="C1073">
        <v>32.9078440013406</v>
      </c>
      <c r="D1073" t="s">
        <v>107</v>
      </c>
    </row>
    <row r="1074" spans="1:4" x14ac:dyDescent="0.35">
      <c r="A1074" t="s">
        <v>37</v>
      </c>
      <c r="B1074" s="88">
        <v>45153</v>
      </c>
      <c r="C1074">
        <v>33.605526647005497</v>
      </c>
      <c r="D1074" t="s">
        <v>107</v>
      </c>
    </row>
    <row r="1075" spans="1:4" x14ac:dyDescent="0.35">
      <c r="A1075" t="s">
        <v>37</v>
      </c>
      <c r="B1075" s="88">
        <v>45245</v>
      </c>
      <c r="C1075">
        <v>33.714506515749697</v>
      </c>
      <c r="D1075" t="s">
        <v>107</v>
      </c>
    </row>
    <row r="1076" spans="1:4" x14ac:dyDescent="0.35">
      <c r="A1076" t="s">
        <v>37</v>
      </c>
      <c r="B1076" s="88">
        <v>45337</v>
      </c>
      <c r="C1076">
        <v>33.7512533050892</v>
      </c>
      <c r="D1076" t="s">
        <v>107</v>
      </c>
    </row>
    <row r="1077" spans="1:4" x14ac:dyDescent="0.35">
      <c r="A1077" t="s">
        <v>37</v>
      </c>
      <c r="B1077" s="88">
        <v>45427</v>
      </c>
      <c r="C1077">
        <v>34.260024831130501</v>
      </c>
      <c r="D1077" t="s">
        <v>107</v>
      </c>
    </row>
    <row r="1078" spans="1:4" x14ac:dyDescent="0.35">
      <c r="A1078" t="s">
        <v>37</v>
      </c>
      <c r="B1078" s="88">
        <v>45519</v>
      </c>
      <c r="C1078">
        <v>33.645357080019103</v>
      </c>
      <c r="D1078" t="s">
        <v>107</v>
      </c>
    </row>
    <row r="1079" spans="1:4" x14ac:dyDescent="0.35">
      <c r="A1079" t="s">
        <v>37</v>
      </c>
      <c r="B1079" s="88">
        <v>45611</v>
      </c>
      <c r="C1079">
        <v>34.422987521122003</v>
      </c>
      <c r="D1079" t="s">
        <v>107</v>
      </c>
    </row>
    <row r="1080" spans="1:4" x14ac:dyDescent="0.35">
      <c r="A1080" t="s">
        <v>37</v>
      </c>
      <c r="B1080" s="88">
        <v>45703</v>
      </c>
      <c r="C1080">
        <v>35.509826644128999</v>
      </c>
      <c r="D1080" t="s">
        <v>107</v>
      </c>
    </row>
    <row r="1081" spans="1:4" x14ac:dyDescent="0.35">
      <c r="A1081" t="s">
        <v>37</v>
      </c>
      <c r="B1081" s="88">
        <v>45792</v>
      </c>
      <c r="C1081">
        <v>38.039830149817</v>
      </c>
      <c r="D1081" t="s">
        <v>107</v>
      </c>
    </row>
    <row r="1082" spans="1:4" x14ac:dyDescent="0.35">
      <c r="A1082" t="s">
        <v>37</v>
      </c>
      <c r="B1082" s="88">
        <v>45884</v>
      </c>
      <c r="C1082">
        <v>38.7365266337356</v>
      </c>
      <c r="D1082" t="s">
        <v>107</v>
      </c>
    </row>
    <row r="1083" spans="1:4" x14ac:dyDescent="0.35">
      <c r="A1083" t="s">
        <v>37</v>
      </c>
      <c r="B1083" s="88">
        <v>45976</v>
      </c>
      <c r="C1083">
        <v>38.931579423925697</v>
      </c>
      <c r="D1083" t="s">
        <v>107</v>
      </c>
    </row>
    <row r="1084" spans="1:4" x14ac:dyDescent="0.35">
      <c r="A1084" t="s">
        <v>37</v>
      </c>
      <c r="B1084" s="88">
        <v>46068</v>
      </c>
      <c r="C1084">
        <v>39.552101964250802</v>
      </c>
      <c r="D1084" t="s">
        <v>107</v>
      </c>
    </row>
    <row r="1085" spans="1:4" x14ac:dyDescent="0.35">
      <c r="A1085" t="s">
        <v>37</v>
      </c>
      <c r="B1085" s="88">
        <v>46157</v>
      </c>
      <c r="C1085">
        <v>41.143904001059703</v>
      </c>
      <c r="D1085" t="s">
        <v>107</v>
      </c>
    </row>
    <row r="1086" spans="1:4" x14ac:dyDescent="0.35">
      <c r="A1086" t="s">
        <v>37</v>
      </c>
      <c r="B1086" s="88">
        <v>46249</v>
      </c>
      <c r="C1086">
        <v>41.3457558981098</v>
      </c>
      <c r="D1086" t="s">
        <v>107</v>
      </c>
    </row>
    <row r="1087" spans="1:4" x14ac:dyDescent="0.35">
      <c r="A1087" t="s">
        <v>67</v>
      </c>
      <c r="B1087" s="88">
        <v>43511</v>
      </c>
      <c r="C1087">
        <v>32.509670108366137</v>
      </c>
      <c r="D1087" t="s">
        <v>107</v>
      </c>
    </row>
    <row r="1088" spans="1:4" x14ac:dyDescent="0.35">
      <c r="A1088" t="s">
        <v>67</v>
      </c>
      <c r="B1088" s="88">
        <v>43600</v>
      </c>
      <c r="C1088">
        <v>32.575026299508544</v>
      </c>
      <c r="D1088" t="s">
        <v>107</v>
      </c>
    </row>
    <row r="1089" spans="1:4" x14ac:dyDescent="0.35">
      <c r="A1089" t="s">
        <v>67</v>
      </c>
      <c r="B1089" s="88">
        <v>43692</v>
      </c>
      <c r="C1089">
        <v>32.580104043112016</v>
      </c>
      <c r="D1089" t="s">
        <v>107</v>
      </c>
    </row>
    <row r="1090" spans="1:4" x14ac:dyDescent="0.35">
      <c r="A1090" t="s">
        <v>67</v>
      </c>
      <c r="B1090" s="88">
        <v>43784</v>
      </c>
      <c r="C1090">
        <v>32.995968202227466</v>
      </c>
      <c r="D1090" t="s">
        <v>107</v>
      </c>
    </row>
    <row r="1091" spans="1:4" x14ac:dyDescent="0.35">
      <c r="A1091" t="s">
        <v>67</v>
      </c>
      <c r="B1091" s="88">
        <v>43876</v>
      </c>
      <c r="C1091">
        <v>33.268775892690016</v>
      </c>
      <c r="D1091" t="s">
        <v>107</v>
      </c>
    </row>
    <row r="1092" spans="1:4" x14ac:dyDescent="0.35">
      <c r="A1092" t="s">
        <v>67</v>
      </c>
      <c r="B1092" s="88">
        <v>43966</v>
      </c>
      <c r="C1092">
        <v>32.673972507312705</v>
      </c>
      <c r="D1092" t="s">
        <v>107</v>
      </c>
    </row>
    <row r="1093" spans="1:4" x14ac:dyDescent="0.35">
      <c r="A1093" t="s">
        <v>67</v>
      </c>
      <c r="B1093" s="88">
        <v>44058</v>
      </c>
      <c r="C1093">
        <v>32.630100373405213</v>
      </c>
      <c r="D1093" t="s">
        <v>107</v>
      </c>
    </row>
    <row r="1094" spans="1:4" x14ac:dyDescent="0.35">
      <c r="A1094" t="s">
        <v>67</v>
      </c>
      <c r="B1094" s="88">
        <v>44150</v>
      </c>
      <c r="C1094">
        <v>32.575960075437678</v>
      </c>
      <c r="D1094" t="s">
        <v>107</v>
      </c>
    </row>
    <row r="1095" spans="1:4" x14ac:dyDescent="0.35">
      <c r="A1095" t="s">
        <v>67</v>
      </c>
      <c r="B1095" s="88">
        <v>44242</v>
      </c>
      <c r="C1095">
        <v>32.737173547191404</v>
      </c>
      <c r="D1095" t="s">
        <v>107</v>
      </c>
    </row>
    <row r="1096" spans="1:4" x14ac:dyDescent="0.35">
      <c r="A1096" t="s">
        <v>67</v>
      </c>
      <c r="B1096" s="88">
        <v>44331</v>
      </c>
      <c r="C1096">
        <v>32.728921181273115</v>
      </c>
      <c r="D1096" t="s">
        <v>107</v>
      </c>
    </row>
    <row r="1097" spans="1:4" x14ac:dyDescent="0.35">
      <c r="A1097" t="s">
        <v>67</v>
      </c>
      <c r="B1097" s="88">
        <v>44423</v>
      </c>
      <c r="C1097">
        <v>32.903889050851269</v>
      </c>
      <c r="D1097" t="s">
        <v>107</v>
      </c>
    </row>
    <row r="1098" spans="1:4" x14ac:dyDescent="0.35">
      <c r="A1098" t="s">
        <v>67</v>
      </c>
      <c r="B1098" s="88">
        <v>44515</v>
      </c>
      <c r="C1098">
        <v>32.959985020083714</v>
      </c>
      <c r="D1098" t="s">
        <v>107</v>
      </c>
    </row>
    <row r="1099" spans="1:4" x14ac:dyDescent="0.35">
      <c r="A1099" t="s">
        <v>67</v>
      </c>
      <c r="B1099" s="88">
        <v>44607</v>
      </c>
      <c r="C1099">
        <v>33.733239429383516</v>
      </c>
      <c r="D1099" t="s">
        <v>107</v>
      </c>
    </row>
    <row r="1100" spans="1:4" x14ac:dyDescent="0.35">
      <c r="A1100" t="s">
        <v>67</v>
      </c>
      <c r="B1100" s="88">
        <v>44696</v>
      </c>
      <c r="C1100">
        <v>34.216965198800409</v>
      </c>
      <c r="D1100" t="s">
        <v>107</v>
      </c>
    </row>
    <row r="1101" spans="1:4" x14ac:dyDescent="0.35">
      <c r="A1101" t="s">
        <v>67</v>
      </c>
      <c r="B1101" s="88">
        <v>44788</v>
      </c>
      <c r="C1101">
        <v>33.978994069857045</v>
      </c>
      <c r="D1101" t="s">
        <v>107</v>
      </c>
    </row>
    <row r="1102" spans="1:4" x14ac:dyDescent="0.35">
      <c r="A1102" t="s">
        <v>67</v>
      </c>
      <c r="B1102" s="88">
        <v>44880</v>
      </c>
      <c r="C1102">
        <v>33.950421500715379</v>
      </c>
      <c r="D1102" t="s">
        <v>107</v>
      </c>
    </row>
    <row r="1103" spans="1:4" x14ac:dyDescent="0.35">
      <c r="A1103" t="s">
        <v>67</v>
      </c>
      <c r="B1103" s="88">
        <v>44972</v>
      </c>
      <c r="C1103">
        <v>33.954101797239325</v>
      </c>
      <c r="D1103" t="s">
        <v>107</v>
      </c>
    </row>
    <row r="1104" spans="1:4" x14ac:dyDescent="0.35">
      <c r="A1104" t="s">
        <v>67</v>
      </c>
      <c r="B1104" s="88">
        <v>45061</v>
      </c>
      <c r="C1104">
        <v>34.216853725547999</v>
      </c>
      <c r="D1104" t="s">
        <v>107</v>
      </c>
    </row>
    <row r="1105" spans="1:4" x14ac:dyDescent="0.35">
      <c r="A1105" t="s">
        <v>67</v>
      </c>
      <c r="B1105" s="88">
        <v>45153</v>
      </c>
      <c r="C1105">
        <v>35.138722717891198</v>
      </c>
      <c r="D1105" t="s">
        <v>107</v>
      </c>
    </row>
    <row r="1106" spans="1:4" x14ac:dyDescent="0.35">
      <c r="A1106" t="s">
        <v>67</v>
      </c>
      <c r="B1106" s="88">
        <v>45245</v>
      </c>
      <c r="C1106">
        <v>34.877310957496903</v>
      </c>
      <c r="D1106" t="s">
        <v>107</v>
      </c>
    </row>
    <row r="1107" spans="1:4" x14ac:dyDescent="0.35">
      <c r="A1107" t="s">
        <v>67</v>
      </c>
      <c r="B1107" s="88">
        <v>45337</v>
      </c>
      <c r="C1107">
        <v>35.250887770380103</v>
      </c>
      <c r="D1107" t="s">
        <v>107</v>
      </c>
    </row>
    <row r="1108" spans="1:4" x14ac:dyDescent="0.35">
      <c r="A1108" t="s">
        <v>67</v>
      </c>
      <c r="B1108" s="88">
        <v>45427</v>
      </c>
      <c r="C1108">
        <v>36.210673656282303</v>
      </c>
      <c r="D1108" t="s">
        <v>107</v>
      </c>
    </row>
    <row r="1109" spans="1:4" x14ac:dyDescent="0.35">
      <c r="A1109" t="s">
        <v>67</v>
      </c>
      <c r="B1109" s="88">
        <v>45519</v>
      </c>
      <c r="C1109">
        <v>35.8092562603887</v>
      </c>
      <c r="D1109" t="s">
        <v>107</v>
      </c>
    </row>
    <row r="1110" spans="1:4" x14ac:dyDescent="0.35">
      <c r="A1110" t="s">
        <v>67</v>
      </c>
      <c r="B1110" s="88">
        <v>45611</v>
      </c>
      <c r="C1110">
        <v>36.084325399526399</v>
      </c>
      <c r="D1110" t="s">
        <v>107</v>
      </c>
    </row>
    <row r="1111" spans="1:4" x14ac:dyDescent="0.35">
      <c r="A1111" t="s">
        <v>67</v>
      </c>
      <c r="B1111" s="88">
        <v>45703</v>
      </c>
      <c r="C1111">
        <v>36.436146259934297</v>
      </c>
      <c r="D1111" t="s">
        <v>107</v>
      </c>
    </row>
    <row r="1112" spans="1:4" x14ac:dyDescent="0.35">
      <c r="A1112" t="s">
        <v>67</v>
      </c>
      <c r="B1112" s="88">
        <v>45792</v>
      </c>
      <c r="C1112">
        <v>39.714945204890597</v>
      </c>
      <c r="D1112" t="s">
        <v>107</v>
      </c>
    </row>
    <row r="1113" spans="1:4" x14ac:dyDescent="0.35">
      <c r="A1113" t="s">
        <v>67</v>
      </c>
      <c r="B1113" s="88">
        <v>45884</v>
      </c>
      <c r="C1113">
        <v>40.227037990285602</v>
      </c>
      <c r="D1113" t="s">
        <v>107</v>
      </c>
    </row>
    <row r="1114" spans="1:4" x14ac:dyDescent="0.35">
      <c r="A1114" t="s">
        <v>67</v>
      </c>
      <c r="B1114" s="88">
        <v>45976</v>
      </c>
      <c r="C1114">
        <v>40.2644139088071</v>
      </c>
      <c r="D1114" t="s">
        <v>107</v>
      </c>
    </row>
    <row r="1115" spans="1:4" x14ac:dyDescent="0.35">
      <c r="A1115" t="s">
        <v>67</v>
      </c>
      <c r="B1115" s="88">
        <v>46068</v>
      </c>
      <c r="C1115">
        <v>41.154692426366999</v>
      </c>
      <c r="D1115" t="s">
        <v>107</v>
      </c>
    </row>
    <row r="1116" spans="1:4" x14ac:dyDescent="0.35">
      <c r="A1116" t="s">
        <v>67</v>
      </c>
      <c r="B1116" s="88">
        <v>46157</v>
      </c>
      <c r="C1116">
        <v>42.760599252625298</v>
      </c>
      <c r="D1116" t="s">
        <v>107</v>
      </c>
    </row>
    <row r="1117" spans="1:4" x14ac:dyDescent="0.35">
      <c r="A1117" t="s">
        <v>67</v>
      </c>
      <c r="B1117" s="88">
        <v>46249</v>
      </c>
      <c r="C1117">
        <v>42.934959822384201</v>
      </c>
      <c r="D1117" t="s">
        <v>107</v>
      </c>
    </row>
    <row r="1118" spans="1:4" x14ac:dyDescent="0.35">
      <c r="A1118" t="s">
        <v>68</v>
      </c>
      <c r="B1118" s="88">
        <v>43511</v>
      </c>
      <c r="C1118">
        <v>32.400861539461054</v>
      </c>
      <c r="D1118" t="s">
        <v>107</v>
      </c>
    </row>
    <row r="1119" spans="1:4" x14ac:dyDescent="0.35">
      <c r="A1119" t="s">
        <v>68</v>
      </c>
      <c r="B1119" s="88">
        <v>43600</v>
      </c>
      <c r="C1119">
        <v>32.392538306516798</v>
      </c>
      <c r="D1119" t="s">
        <v>107</v>
      </c>
    </row>
    <row r="1120" spans="1:4" x14ac:dyDescent="0.35">
      <c r="A1120" t="s">
        <v>68</v>
      </c>
      <c r="B1120" s="88">
        <v>43692</v>
      </c>
      <c r="C1120">
        <v>32.480164838467772</v>
      </c>
      <c r="D1120" t="s">
        <v>107</v>
      </c>
    </row>
    <row r="1121" spans="1:4" x14ac:dyDescent="0.35">
      <c r="A1121" t="s">
        <v>68</v>
      </c>
      <c r="B1121" s="88">
        <v>43784</v>
      </c>
      <c r="C1121">
        <v>32.967688828438853</v>
      </c>
      <c r="D1121" t="s">
        <v>107</v>
      </c>
    </row>
    <row r="1122" spans="1:4" x14ac:dyDescent="0.35">
      <c r="A1122" t="s">
        <v>68</v>
      </c>
      <c r="B1122" s="88">
        <v>43876</v>
      </c>
      <c r="C1122">
        <v>33.18241031349212</v>
      </c>
      <c r="D1122" t="s">
        <v>107</v>
      </c>
    </row>
    <row r="1123" spans="1:4" x14ac:dyDescent="0.35">
      <c r="A1123" t="s">
        <v>68</v>
      </c>
      <c r="B1123" s="88">
        <v>43966</v>
      </c>
      <c r="C1123">
        <v>32.688084351187264</v>
      </c>
      <c r="D1123" t="s">
        <v>107</v>
      </c>
    </row>
    <row r="1124" spans="1:4" x14ac:dyDescent="0.35">
      <c r="A1124" t="s">
        <v>68</v>
      </c>
      <c r="B1124" s="88">
        <v>44058</v>
      </c>
      <c r="C1124">
        <v>32.66857321600115</v>
      </c>
      <c r="D1124" t="s">
        <v>107</v>
      </c>
    </row>
    <row r="1125" spans="1:4" x14ac:dyDescent="0.35">
      <c r="A1125" t="s">
        <v>68</v>
      </c>
      <c r="B1125" s="88">
        <v>44150</v>
      </c>
      <c r="C1125">
        <v>32.649339765163738</v>
      </c>
      <c r="D1125" t="s">
        <v>107</v>
      </c>
    </row>
    <row r="1126" spans="1:4" x14ac:dyDescent="0.35">
      <c r="A1126" t="s">
        <v>68</v>
      </c>
      <c r="B1126" s="88">
        <v>44242</v>
      </c>
      <c r="C1126">
        <v>32.796214296841342</v>
      </c>
      <c r="D1126" t="s">
        <v>107</v>
      </c>
    </row>
    <row r="1127" spans="1:4" x14ac:dyDescent="0.35">
      <c r="A1127" t="s">
        <v>68</v>
      </c>
      <c r="B1127" s="88">
        <v>44331</v>
      </c>
      <c r="C1127">
        <v>32.951651404189668</v>
      </c>
      <c r="D1127" t="s">
        <v>107</v>
      </c>
    </row>
    <row r="1128" spans="1:4" x14ac:dyDescent="0.35">
      <c r="A1128" t="s">
        <v>68</v>
      </c>
      <c r="B1128" s="88">
        <v>44423</v>
      </c>
      <c r="C1128">
        <v>33.188722172446099</v>
      </c>
      <c r="D1128" t="s">
        <v>107</v>
      </c>
    </row>
    <row r="1129" spans="1:4" x14ac:dyDescent="0.35">
      <c r="A1129" t="s">
        <v>68</v>
      </c>
      <c r="B1129" s="88">
        <v>44515</v>
      </c>
      <c r="C1129">
        <v>33.083309259917051</v>
      </c>
      <c r="D1129" t="s">
        <v>107</v>
      </c>
    </row>
    <row r="1130" spans="1:4" x14ac:dyDescent="0.35">
      <c r="A1130" t="s">
        <v>68</v>
      </c>
      <c r="B1130" s="88">
        <v>44607</v>
      </c>
      <c r="C1130">
        <v>34.00031750359193</v>
      </c>
      <c r="D1130" t="s">
        <v>107</v>
      </c>
    </row>
    <row r="1131" spans="1:4" x14ac:dyDescent="0.35">
      <c r="A1131" t="s">
        <v>68</v>
      </c>
      <c r="B1131" s="88">
        <v>44696</v>
      </c>
      <c r="C1131">
        <v>34.336702029874324</v>
      </c>
      <c r="D1131" t="s">
        <v>107</v>
      </c>
    </row>
    <row r="1132" spans="1:4" x14ac:dyDescent="0.35">
      <c r="A1132" t="s">
        <v>68</v>
      </c>
      <c r="B1132" s="88">
        <v>44788</v>
      </c>
      <c r="C1132">
        <v>34.448367812455082</v>
      </c>
      <c r="D1132" t="s">
        <v>107</v>
      </c>
    </row>
    <row r="1133" spans="1:4" x14ac:dyDescent="0.35">
      <c r="A1133" t="s">
        <v>68</v>
      </c>
      <c r="B1133" s="88">
        <v>44880</v>
      </c>
      <c r="C1133">
        <v>34.215318917082826</v>
      </c>
      <c r="D1133" t="s">
        <v>107</v>
      </c>
    </row>
    <row r="1134" spans="1:4" x14ac:dyDescent="0.35">
      <c r="A1134" t="s">
        <v>68</v>
      </c>
      <c r="B1134" s="88">
        <v>44972</v>
      </c>
      <c r="C1134">
        <v>34.325957382543848</v>
      </c>
      <c r="D1134" t="s">
        <v>107</v>
      </c>
    </row>
    <row r="1135" spans="1:4" x14ac:dyDescent="0.35">
      <c r="A1135" t="s">
        <v>68</v>
      </c>
      <c r="B1135" s="88">
        <v>45061</v>
      </c>
      <c r="C1135">
        <v>34.281617129226099</v>
      </c>
      <c r="D1135" t="s">
        <v>107</v>
      </c>
    </row>
    <row r="1136" spans="1:4" x14ac:dyDescent="0.35">
      <c r="A1136" t="s">
        <v>68</v>
      </c>
      <c r="B1136" s="88">
        <v>45153</v>
      </c>
      <c r="C1136">
        <v>35.390230287820401</v>
      </c>
      <c r="D1136" t="s">
        <v>107</v>
      </c>
    </row>
    <row r="1137" spans="1:4" x14ac:dyDescent="0.35">
      <c r="A1137" t="s">
        <v>68</v>
      </c>
      <c r="B1137" s="88">
        <v>45245</v>
      </c>
      <c r="C1137">
        <v>35.362307280746101</v>
      </c>
      <c r="D1137" t="s">
        <v>107</v>
      </c>
    </row>
    <row r="1138" spans="1:4" x14ac:dyDescent="0.35">
      <c r="A1138" t="s">
        <v>68</v>
      </c>
      <c r="B1138" s="88">
        <v>45337</v>
      </c>
      <c r="C1138">
        <v>35.741170214476597</v>
      </c>
      <c r="D1138" t="s">
        <v>107</v>
      </c>
    </row>
    <row r="1139" spans="1:4" x14ac:dyDescent="0.35">
      <c r="A1139" t="s">
        <v>68</v>
      </c>
      <c r="B1139" s="88">
        <v>45427</v>
      </c>
      <c r="C1139">
        <v>36.530801656249999</v>
      </c>
      <c r="D1139" t="s">
        <v>107</v>
      </c>
    </row>
    <row r="1140" spans="1:4" x14ac:dyDescent="0.35">
      <c r="A1140" t="s">
        <v>68</v>
      </c>
      <c r="B1140" s="88">
        <v>45519</v>
      </c>
      <c r="C1140">
        <v>35.945525645066503</v>
      </c>
      <c r="D1140" t="s">
        <v>107</v>
      </c>
    </row>
    <row r="1141" spans="1:4" x14ac:dyDescent="0.35">
      <c r="A1141" t="s">
        <v>68</v>
      </c>
      <c r="B1141" s="88">
        <v>45611</v>
      </c>
      <c r="C1141">
        <v>36.524294493597203</v>
      </c>
      <c r="D1141" t="s">
        <v>107</v>
      </c>
    </row>
    <row r="1142" spans="1:4" x14ac:dyDescent="0.35">
      <c r="A1142" t="s">
        <v>68</v>
      </c>
      <c r="B1142" s="88">
        <v>45703</v>
      </c>
      <c r="C1142">
        <v>36.784550820274802</v>
      </c>
      <c r="D1142" t="s">
        <v>107</v>
      </c>
    </row>
    <row r="1143" spans="1:4" x14ac:dyDescent="0.35">
      <c r="A1143" t="s">
        <v>68</v>
      </c>
      <c r="B1143" s="88">
        <v>45792</v>
      </c>
      <c r="C1143">
        <v>39.9788481410625</v>
      </c>
      <c r="D1143" t="s">
        <v>107</v>
      </c>
    </row>
    <row r="1144" spans="1:4" x14ac:dyDescent="0.35">
      <c r="A1144" t="s">
        <v>68</v>
      </c>
      <c r="B1144" s="88">
        <v>45884</v>
      </c>
      <c r="C1144">
        <v>40.362269257834797</v>
      </c>
      <c r="D1144" t="s">
        <v>107</v>
      </c>
    </row>
    <row r="1145" spans="1:4" x14ac:dyDescent="0.35">
      <c r="A1145" t="s">
        <v>68</v>
      </c>
      <c r="B1145" s="88">
        <v>45976</v>
      </c>
      <c r="C1145">
        <v>40.417065787146001</v>
      </c>
      <c r="D1145" t="s">
        <v>107</v>
      </c>
    </row>
    <row r="1146" spans="1:4" x14ac:dyDescent="0.35">
      <c r="A1146" t="s">
        <v>68</v>
      </c>
      <c r="B1146" s="88">
        <v>46068</v>
      </c>
      <c r="C1146">
        <v>41.410899015579403</v>
      </c>
      <c r="D1146" t="s">
        <v>107</v>
      </c>
    </row>
    <row r="1147" spans="1:4" x14ac:dyDescent="0.35">
      <c r="A1147" t="s">
        <v>68</v>
      </c>
      <c r="B1147" s="88">
        <v>46157</v>
      </c>
      <c r="C1147">
        <v>42.738435185141398</v>
      </c>
      <c r="D1147" t="s">
        <v>107</v>
      </c>
    </row>
    <row r="1148" spans="1:4" x14ac:dyDescent="0.35">
      <c r="A1148" t="s">
        <v>68</v>
      </c>
      <c r="B1148" s="88">
        <v>46249</v>
      </c>
      <c r="C1148">
        <v>42.160794215679097</v>
      </c>
      <c r="D1148" t="s">
        <v>107</v>
      </c>
    </row>
    <row r="1149" spans="1:4" x14ac:dyDescent="0.35">
      <c r="A1149" t="s">
        <v>72</v>
      </c>
      <c r="B1149" s="88">
        <v>43511</v>
      </c>
      <c r="C1149">
        <v>28.82011680252155</v>
      </c>
      <c r="D1149" t="s">
        <v>107</v>
      </c>
    </row>
    <row r="1150" spans="1:4" x14ac:dyDescent="0.35">
      <c r="A1150" t="s">
        <v>72</v>
      </c>
      <c r="B1150" s="88">
        <v>43600</v>
      </c>
      <c r="C1150">
        <v>28.896135915752005</v>
      </c>
      <c r="D1150" t="s">
        <v>107</v>
      </c>
    </row>
    <row r="1151" spans="1:4" x14ac:dyDescent="0.35">
      <c r="A1151" t="s">
        <v>72</v>
      </c>
      <c r="B1151" s="88">
        <v>43692</v>
      </c>
      <c r="C1151">
        <v>28.964840170362542</v>
      </c>
      <c r="D1151" t="s">
        <v>107</v>
      </c>
    </row>
    <row r="1152" spans="1:4" x14ac:dyDescent="0.35">
      <c r="A1152" t="s">
        <v>72</v>
      </c>
      <c r="B1152" s="88">
        <v>43784</v>
      </c>
      <c r="C1152">
        <v>29.562990179162334</v>
      </c>
      <c r="D1152" t="s">
        <v>107</v>
      </c>
    </row>
    <row r="1153" spans="1:4" x14ac:dyDescent="0.35">
      <c r="A1153" t="s">
        <v>72</v>
      </c>
      <c r="B1153" s="88">
        <v>43876</v>
      </c>
      <c r="C1153">
        <v>29.656955808838426</v>
      </c>
      <c r="D1153" t="s">
        <v>107</v>
      </c>
    </row>
    <row r="1154" spans="1:4" x14ac:dyDescent="0.35">
      <c r="A1154" t="s">
        <v>72</v>
      </c>
      <c r="B1154" s="88">
        <v>43966</v>
      </c>
      <c r="C1154">
        <v>29.688009270983226</v>
      </c>
      <c r="D1154" t="s">
        <v>107</v>
      </c>
    </row>
    <row r="1155" spans="1:4" x14ac:dyDescent="0.35">
      <c r="A1155" t="s">
        <v>72</v>
      </c>
      <c r="B1155" s="88">
        <v>44058</v>
      </c>
      <c r="C1155">
        <v>29.661464934633766</v>
      </c>
      <c r="D1155" t="s">
        <v>107</v>
      </c>
    </row>
    <row r="1156" spans="1:4" x14ac:dyDescent="0.35">
      <c r="A1156" t="s">
        <v>72</v>
      </c>
      <c r="B1156" s="88">
        <v>44150</v>
      </c>
      <c r="C1156">
        <v>29.659992827470873</v>
      </c>
      <c r="D1156" t="s">
        <v>107</v>
      </c>
    </row>
    <row r="1157" spans="1:4" x14ac:dyDescent="0.35">
      <c r="A1157" t="s">
        <v>72</v>
      </c>
      <c r="B1157" s="88">
        <v>44242</v>
      </c>
      <c r="C1157">
        <v>29.546474818369198</v>
      </c>
      <c r="D1157" t="s">
        <v>107</v>
      </c>
    </row>
    <row r="1158" spans="1:4" x14ac:dyDescent="0.35">
      <c r="A1158" t="s">
        <v>72</v>
      </c>
      <c r="B1158" s="88">
        <v>44331</v>
      </c>
      <c r="C1158">
        <v>29.992808516885159</v>
      </c>
      <c r="D1158" t="s">
        <v>107</v>
      </c>
    </row>
    <row r="1159" spans="1:4" x14ac:dyDescent="0.35">
      <c r="A1159" t="s">
        <v>72</v>
      </c>
      <c r="B1159" s="88">
        <v>44423</v>
      </c>
      <c r="C1159">
        <v>30.356102666538895</v>
      </c>
      <c r="D1159" t="s">
        <v>107</v>
      </c>
    </row>
    <row r="1160" spans="1:4" x14ac:dyDescent="0.35">
      <c r="A1160" t="s">
        <v>72</v>
      </c>
      <c r="B1160" s="88">
        <v>44515</v>
      </c>
      <c r="C1160">
        <v>30.612405614199403</v>
      </c>
      <c r="D1160" t="s">
        <v>107</v>
      </c>
    </row>
    <row r="1161" spans="1:4" x14ac:dyDescent="0.35">
      <c r="A1161" t="s">
        <v>72</v>
      </c>
      <c r="B1161" s="88">
        <v>44607</v>
      </c>
      <c r="C1161">
        <v>31.152726487485261</v>
      </c>
      <c r="D1161" t="s">
        <v>107</v>
      </c>
    </row>
    <row r="1162" spans="1:4" x14ac:dyDescent="0.35">
      <c r="A1162" t="s">
        <v>72</v>
      </c>
      <c r="B1162" s="88">
        <v>44696</v>
      </c>
      <c r="C1162">
        <v>31.500568017716571</v>
      </c>
      <c r="D1162" t="s">
        <v>107</v>
      </c>
    </row>
    <row r="1163" spans="1:4" x14ac:dyDescent="0.35">
      <c r="A1163" t="s">
        <v>72</v>
      </c>
      <c r="B1163" s="88">
        <v>44788</v>
      </c>
      <c r="C1163">
        <v>31.63222104690923</v>
      </c>
      <c r="D1163" t="s">
        <v>107</v>
      </c>
    </row>
    <row r="1164" spans="1:4" x14ac:dyDescent="0.35">
      <c r="A1164" t="s">
        <v>72</v>
      </c>
      <c r="B1164" s="88">
        <v>44880</v>
      </c>
      <c r="C1164">
        <v>31.640072333992986</v>
      </c>
      <c r="D1164" t="s">
        <v>107</v>
      </c>
    </row>
    <row r="1165" spans="1:4" x14ac:dyDescent="0.35">
      <c r="A1165" t="s">
        <v>72</v>
      </c>
      <c r="B1165" s="88">
        <v>44972</v>
      </c>
      <c r="C1165">
        <v>32.083444394676185</v>
      </c>
      <c r="D1165" t="s">
        <v>107</v>
      </c>
    </row>
    <row r="1166" spans="1:4" x14ac:dyDescent="0.35">
      <c r="A1166" t="s">
        <v>72</v>
      </c>
      <c r="B1166" s="88">
        <v>45061</v>
      </c>
      <c r="C1166">
        <v>32.052898882663897</v>
      </c>
      <c r="D1166" t="s">
        <v>107</v>
      </c>
    </row>
    <row r="1167" spans="1:4" x14ac:dyDescent="0.35">
      <c r="A1167" t="s">
        <v>72</v>
      </c>
      <c r="B1167" s="88">
        <v>45153</v>
      </c>
      <c r="C1167">
        <v>32.441711178392801</v>
      </c>
      <c r="D1167" t="s">
        <v>107</v>
      </c>
    </row>
    <row r="1168" spans="1:4" x14ac:dyDescent="0.35">
      <c r="A1168" t="s">
        <v>72</v>
      </c>
      <c r="B1168" s="88">
        <v>45245</v>
      </c>
      <c r="C1168">
        <v>32.806520862363101</v>
      </c>
      <c r="D1168" t="s">
        <v>107</v>
      </c>
    </row>
    <row r="1169" spans="1:4" x14ac:dyDescent="0.35">
      <c r="A1169" t="s">
        <v>72</v>
      </c>
      <c r="B1169" s="88">
        <v>45337</v>
      </c>
      <c r="C1169">
        <v>32.345719879969202</v>
      </c>
      <c r="D1169" t="s">
        <v>107</v>
      </c>
    </row>
    <row r="1170" spans="1:4" x14ac:dyDescent="0.35">
      <c r="A1170" t="s">
        <v>72</v>
      </c>
      <c r="B1170" s="88">
        <v>45427</v>
      </c>
      <c r="C1170">
        <v>33.306926090147797</v>
      </c>
      <c r="D1170" t="s">
        <v>107</v>
      </c>
    </row>
    <row r="1171" spans="1:4" x14ac:dyDescent="0.35">
      <c r="A1171" t="s">
        <v>72</v>
      </c>
      <c r="B1171" s="88">
        <v>45519</v>
      </c>
      <c r="C1171">
        <v>33.459665832215499</v>
      </c>
      <c r="D1171" t="s">
        <v>107</v>
      </c>
    </row>
    <row r="1172" spans="1:4" x14ac:dyDescent="0.35">
      <c r="A1172" t="s">
        <v>72</v>
      </c>
      <c r="B1172" s="88">
        <v>45611</v>
      </c>
      <c r="C1172">
        <v>33.977256869771402</v>
      </c>
      <c r="D1172" t="s">
        <v>107</v>
      </c>
    </row>
    <row r="1173" spans="1:4" x14ac:dyDescent="0.35">
      <c r="A1173" t="s">
        <v>72</v>
      </c>
      <c r="B1173" s="88">
        <v>45703</v>
      </c>
      <c r="C1173">
        <v>34.234628805696502</v>
      </c>
      <c r="D1173" t="s">
        <v>107</v>
      </c>
    </row>
    <row r="1174" spans="1:4" x14ac:dyDescent="0.35">
      <c r="A1174" t="s">
        <v>72</v>
      </c>
      <c r="B1174" s="88">
        <v>45792</v>
      </c>
      <c r="C1174">
        <v>38.395883459397098</v>
      </c>
      <c r="D1174" t="s">
        <v>107</v>
      </c>
    </row>
    <row r="1175" spans="1:4" x14ac:dyDescent="0.35">
      <c r="A1175" t="s">
        <v>72</v>
      </c>
      <c r="B1175" s="88">
        <v>45884</v>
      </c>
      <c r="C1175">
        <v>38.5133872338792</v>
      </c>
      <c r="D1175" t="s">
        <v>107</v>
      </c>
    </row>
    <row r="1176" spans="1:4" x14ac:dyDescent="0.35">
      <c r="A1176" t="s">
        <v>72</v>
      </c>
      <c r="B1176" s="88">
        <v>45976</v>
      </c>
      <c r="C1176">
        <v>38.371723776192901</v>
      </c>
      <c r="D1176" t="s">
        <v>107</v>
      </c>
    </row>
    <row r="1177" spans="1:4" x14ac:dyDescent="0.35">
      <c r="A1177" t="s">
        <v>72</v>
      </c>
      <c r="B1177" s="88">
        <v>46068</v>
      </c>
      <c r="C1177">
        <v>39.6754705533044</v>
      </c>
      <c r="D1177" t="s">
        <v>107</v>
      </c>
    </row>
    <row r="1178" spans="1:4" x14ac:dyDescent="0.35">
      <c r="A1178" t="s">
        <v>72</v>
      </c>
      <c r="B1178" s="88">
        <v>46157</v>
      </c>
      <c r="C1178">
        <v>41.201072655986103</v>
      </c>
      <c r="D1178" t="s">
        <v>107</v>
      </c>
    </row>
    <row r="1179" spans="1:4" x14ac:dyDescent="0.35">
      <c r="A1179" t="s">
        <v>72</v>
      </c>
      <c r="B1179" s="88">
        <v>46249</v>
      </c>
      <c r="C1179">
        <v>41.330031533162803</v>
      </c>
      <c r="D1179" t="s">
        <v>107</v>
      </c>
    </row>
    <row r="1180" spans="1:4" x14ac:dyDescent="0.35">
      <c r="A1180" t="s">
        <v>73</v>
      </c>
      <c r="B1180" s="88">
        <v>43511</v>
      </c>
      <c r="C1180">
        <v>28.336674061972023</v>
      </c>
      <c r="D1180" t="s">
        <v>107</v>
      </c>
    </row>
    <row r="1181" spans="1:4" x14ac:dyDescent="0.35">
      <c r="A1181" t="s">
        <v>73</v>
      </c>
      <c r="B1181" s="88">
        <v>43600</v>
      </c>
      <c r="C1181">
        <v>28.389924298702464</v>
      </c>
      <c r="D1181" t="s">
        <v>107</v>
      </c>
    </row>
    <row r="1182" spans="1:4" x14ac:dyDescent="0.35">
      <c r="A1182" t="s">
        <v>73</v>
      </c>
      <c r="B1182" s="88">
        <v>43692</v>
      </c>
      <c r="C1182">
        <v>28.470970124172077</v>
      </c>
      <c r="D1182" t="s">
        <v>107</v>
      </c>
    </row>
    <row r="1183" spans="1:4" x14ac:dyDescent="0.35">
      <c r="A1183" t="s">
        <v>73</v>
      </c>
      <c r="B1183" s="88">
        <v>43784</v>
      </c>
      <c r="C1183">
        <v>28.834362230018947</v>
      </c>
      <c r="D1183" t="s">
        <v>107</v>
      </c>
    </row>
    <row r="1184" spans="1:4" x14ac:dyDescent="0.35">
      <c r="A1184" t="s">
        <v>73</v>
      </c>
      <c r="B1184" s="88">
        <v>43876</v>
      </c>
      <c r="C1184">
        <v>28.927238428032709</v>
      </c>
      <c r="D1184" t="s">
        <v>107</v>
      </c>
    </row>
    <row r="1185" spans="1:4" x14ac:dyDescent="0.35">
      <c r="A1185" t="s">
        <v>73</v>
      </c>
      <c r="B1185" s="88">
        <v>43966</v>
      </c>
      <c r="C1185">
        <v>28.951735597630631</v>
      </c>
      <c r="D1185" t="s">
        <v>107</v>
      </c>
    </row>
    <row r="1186" spans="1:4" x14ac:dyDescent="0.35">
      <c r="A1186" t="s">
        <v>73</v>
      </c>
      <c r="B1186" s="88">
        <v>44058</v>
      </c>
      <c r="C1186">
        <v>28.922859433626087</v>
      </c>
      <c r="D1186" t="s">
        <v>107</v>
      </c>
    </row>
    <row r="1187" spans="1:4" x14ac:dyDescent="0.35">
      <c r="A1187" t="s">
        <v>73</v>
      </c>
      <c r="B1187" s="88">
        <v>44150</v>
      </c>
      <c r="C1187">
        <v>28.901833856843048</v>
      </c>
      <c r="D1187" t="s">
        <v>107</v>
      </c>
    </row>
    <row r="1188" spans="1:4" x14ac:dyDescent="0.35">
      <c r="A1188" t="s">
        <v>73</v>
      </c>
      <c r="B1188" s="88">
        <v>44242</v>
      </c>
      <c r="C1188">
        <v>28.765270383866323</v>
      </c>
      <c r="D1188" t="s">
        <v>107</v>
      </c>
    </row>
    <row r="1189" spans="1:4" x14ac:dyDescent="0.35">
      <c r="A1189" t="s">
        <v>73</v>
      </c>
      <c r="B1189" s="88">
        <v>44331</v>
      </c>
      <c r="C1189">
        <v>29.341900100933955</v>
      </c>
      <c r="D1189" t="s">
        <v>107</v>
      </c>
    </row>
    <row r="1190" spans="1:4" x14ac:dyDescent="0.35">
      <c r="A1190" t="s">
        <v>73</v>
      </c>
      <c r="B1190" s="88">
        <v>44423</v>
      </c>
      <c r="C1190">
        <v>29.716664910318784</v>
      </c>
      <c r="D1190" t="s">
        <v>107</v>
      </c>
    </row>
    <row r="1191" spans="1:4" x14ac:dyDescent="0.35">
      <c r="A1191" t="s">
        <v>73</v>
      </c>
      <c r="B1191" s="88">
        <v>44515</v>
      </c>
      <c r="C1191">
        <v>30.032310941910602</v>
      </c>
      <c r="D1191" t="s">
        <v>107</v>
      </c>
    </row>
    <row r="1192" spans="1:4" x14ac:dyDescent="0.35">
      <c r="A1192" t="s">
        <v>73</v>
      </c>
      <c r="B1192" s="88">
        <v>44607</v>
      </c>
      <c r="C1192">
        <v>30.641697898571508</v>
      </c>
      <c r="D1192" t="s">
        <v>107</v>
      </c>
    </row>
    <row r="1193" spans="1:4" x14ac:dyDescent="0.35">
      <c r="A1193" t="s">
        <v>73</v>
      </c>
      <c r="B1193" s="88">
        <v>44696</v>
      </c>
      <c r="C1193">
        <v>31.094367544303317</v>
      </c>
      <c r="D1193" t="s">
        <v>107</v>
      </c>
    </row>
    <row r="1194" spans="1:4" x14ac:dyDescent="0.35">
      <c r="A1194" t="s">
        <v>73</v>
      </c>
      <c r="B1194" s="88">
        <v>44788</v>
      </c>
      <c r="C1194">
        <v>31.383203430214326</v>
      </c>
      <c r="D1194" t="s">
        <v>107</v>
      </c>
    </row>
    <row r="1195" spans="1:4" x14ac:dyDescent="0.35">
      <c r="A1195" t="s">
        <v>73</v>
      </c>
      <c r="B1195" s="88">
        <v>44880</v>
      </c>
      <c r="C1195">
        <v>31.366668962103191</v>
      </c>
      <c r="D1195" t="s">
        <v>107</v>
      </c>
    </row>
    <row r="1196" spans="1:4" x14ac:dyDescent="0.35">
      <c r="A1196" t="s">
        <v>73</v>
      </c>
      <c r="B1196" s="88">
        <v>44972</v>
      </c>
      <c r="C1196">
        <v>31.681931017500279</v>
      </c>
      <c r="D1196" t="s">
        <v>107</v>
      </c>
    </row>
    <row r="1197" spans="1:4" x14ac:dyDescent="0.35">
      <c r="A1197" t="s">
        <v>73</v>
      </c>
      <c r="B1197" s="88">
        <v>45061</v>
      </c>
      <c r="C1197">
        <v>31.6149987580302</v>
      </c>
      <c r="D1197" t="s">
        <v>107</v>
      </c>
    </row>
    <row r="1198" spans="1:4" x14ac:dyDescent="0.35">
      <c r="A1198" t="s">
        <v>73</v>
      </c>
      <c r="B1198" s="88">
        <v>45153</v>
      </c>
      <c r="C1198">
        <v>32.135175624503503</v>
      </c>
      <c r="D1198" t="s">
        <v>107</v>
      </c>
    </row>
    <row r="1199" spans="1:4" x14ac:dyDescent="0.35">
      <c r="A1199" t="s">
        <v>73</v>
      </c>
      <c r="B1199" s="88">
        <v>45245</v>
      </c>
      <c r="C1199">
        <v>32.518832342337902</v>
      </c>
      <c r="D1199" t="s">
        <v>107</v>
      </c>
    </row>
    <row r="1200" spans="1:4" x14ac:dyDescent="0.35">
      <c r="A1200" t="s">
        <v>73</v>
      </c>
      <c r="B1200" s="88">
        <v>45337</v>
      </c>
      <c r="C1200">
        <v>32.104212526843597</v>
      </c>
      <c r="D1200" t="s">
        <v>107</v>
      </c>
    </row>
    <row r="1201" spans="1:4" x14ac:dyDescent="0.35">
      <c r="A1201" t="s">
        <v>73</v>
      </c>
      <c r="B1201" s="88">
        <v>45427</v>
      </c>
      <c r="C1201">
        <v>33.309349014145297</v>
      </c>
      <c r="D1201" t="s">
        <v>107</v>
      </c>
    </row>
    <row r="1202" spans="1:4" x14ac:dyDescent="0.35">
      <c r="A1202" t="s">
        <v>73</v>
      </c>
      <c r="B1202" s="88">
        <v>45519</v>
      </c>
      <c r="C1202">
        <v>33.399144486534396</v>
      </c>
      <c r="D1202" t="s">
        <v>107</v>
      </c>
    </row>
    <row r="1203" spans="1:4" x14ac:dyDescent="0.35">
      <c r="A1203" t="s">
        <v>73</v>
      </c>
      <c r="B1203" s="88">
        <v>45611</v>
      </c>
      <c r="C1203">
        <v>33.908732108519096</v>
      </c>
      <c r="D1203" t="s">
        <v>107</v>
      </c>
    </row>
    <row r="1204" spans="1:4" x14ac:dyDescent="0.35">
      <c r="A1204" t="s">
        <v>73</v>
      </c>
      <c r="B1204" s="88">
        <v>45703</v>
      </c>
      <c r="C1204">
        <v>34.12914480181</v>
      </c>
      <c r="D1204" t="s">
        <v>107</v>
      </c>
    </row>
    <row r="1205" spans="1:4" x14ac:dyDescent="0.35">
      <c r="A1205" t="s">
        <v>73</v>
      </c>
      <c r="B1205" s="88">
        <v>45792</v>
      </c>
      <c r="C1205">
        <v>38.167811435825101</v>
      </c>
      <c r="D1205" t="s">
        <v>107</v>
      </c>
    </row>
    <row r="1206" spans="1:4" x14ac:dyDescent="0.35">
      <c r="A1206" t="s">
        <v>73</v>
      </c>
      <c r="B1206" s="88">
        <v>45884</v>
      </c>
      <c r="C1206">
        <v>38.2518445807723</v>
      </c>
      <c r="D1206" t="s">
        <v>107</v>
      </c>
    </row>
    <row r="1207" spans="1:4" x14ac:dyDescent="0.35">
      <c r="A1207" t="s">
        <v>73</v>
      </c>
      <c r="B1207" s="88">
        <v>45976</v>
      </c>
      <c r="C1207">
        <v>38.090335463086497</v>
      </c>
      <c r="D1207" t="s">
        <v>107</v>
      </c>
    </row>
    <row r="1208" spans="1:4" x14ac:dyDescent="0.35">
      <c r="A1208" t="s">
        <v>73</v>
      </c>
      <c r="B1208" s="88">
        <v>46068</v>
      </c>
      <c r="C1208">
        <v>39.665823399421498</v>
      </c>
      <c r="D1208" t="s">
        <v>107</v>
      </c>
    </row>
    <row r="1209" spans="1:4" x14ac:dyDescent="0.35">
      <c r="A1209" t="s">
        <v>73</v>
      </c>
      <c r="B1209" s="88">
        <v>46157</v>
      </c>
      <c r="C1209">
        <v>41.176422277139601</v>
      </c>
      <c r="D1209" t="s">
        <v>107</v>
      </c>
    </row>
    <row r="1210" spans="1:4" x14ac:dyDescent="0.35">
      <c r="A1210" t="s">
        <v>73</v>
      </c>
      <c r="B1210" s="88">
        <v>46249</v>
      </c>
      <c r="C1210">
        <v>41.3044575388382</v>
      </c>
      <c r="D1210" t="s">
        <v>107</v>
      </c>
    </row>
    <row r="1211" spans="1:4" x14ac:dyDescent="0.35">
      <c r="A1211" t="s">
        <v>82</v>
      </c>
      <c r="B1211" s="88">
        <v>43511</v>
      </c>
      <c r="C1211">
        <v>27.763580478614482</v>
      </c>
      <c r="D1211" t="s">
        <v>107</v>
      </c>
    </row>
    <row r="1212" spans="1:4" x14ac:dyDescent="0.35">
      <c r="A1212" t="s">
        <v>82</v>
      </c>
      <c r="B1212" s="88">
        <v>43600</v>
      </c>
      <c r="C1212">
        <v>28.150039986832393</v>
      </c>
      <c r="D1212" t="s">
        <v>107</v>
      </c>
    </row>
    <row r="1213" spans="1:4" x14ac:dyDescent="0.35">
      <c r="A1213" t="s">
        <v>82</v>
      </c>
      <c r="B1213" s="88">
        <v>43692</v>
      </c>
      <c r="C1213">
        <v>28.1325178057056</v>
      </c>
      <c r="D1213" t="s">
        <v>107</v>
      </c>
    </row>
    <row r="1214" spans="1:4" x14ac:dyDescent="0.35">
      <c r="A1214" t="s">
        <v>82</v>
      </c>
      <c r="B1214" s="88">
        <v>43784</v>
      </c>
      <c r="C1214">
        <v>28.526276972872271</v>
      </c>
      <c r="D1214" t="s">
        <v>107</v>
      </c>
    </row>
    <row r="1215" spans="1:4" x14ac:dyDescent="0.35">
      <c r="A1215" t="s">
        <v>82</v>
      </c>
      <c r="B1215" s="88">
        <v>43876</v>
      </c>
      <c r="C1215">
        <v>28.633557784207692</v>
      </c>
      <c r="D1215" t="s">
        <v>107</v>
      </c>
    </row>
    <row r="1216" spans="1:4" x14ac:dyDescent="0.35">
      <c r="A1216" t="s">
        <v>82</v>
      </c>
      <c r="B1216" s="88">
        <v>43966</v>
      </c>
      <c r="C1216">
        <v>29.311387786460294</v>
      </c>
      <c r="D1216" t="s">
        <v>107</v>
      </c>
    </row>
    <row r="1217" spans="1:4" x14ac:dyDescent="0.35">
      <c r="A1217" t="s">
        <v>82</v>
      </c>
      <c r="B1217" s="88">
        <v>44058</v>
      </c>
      <c r="C1217">
        <v>29.295428233409869</v>
      </c>
      <c r="D1217" t="s">
        <v>107</v>
      </c>
    </row>
    <row r="1218" spans="1:4" x14ac:dyDescent="0.35">
      <c r="A1218" t="s">
        <v>82</v>
      </c>
      <c r="B1218" s="88">
        <v>44150</v>
      </c>
      <c r="C1218">
        <v>29.253646584554435</v>
      </c>
      <c r="D1218" t="s">
        <v>107</v>
      </c>
    </row>
    <row r="1219" spans="1:4" x14ac:dyDescent="0.35">
      <c r="A1219" t="s">
        <v>82</v>
      </c>
      <c r="B1219" s="88">
        <v>44242</v>
      </c>
      <c r="C1219">
        <v>29.307713808790233</v>
      </c>
      <c r="D1219" t="s">
        <v>107</v>
      </c>
    </row>
    <row r="1220" spans="1:4" x14ac:dyDescent="0.35">
      <c r="A1220" t="s">
        <v>82</v>
      </c>
      <c r="B1220" s="88">
        <v>44331</v>
      </c>
      <c r="C1220">
        <v>29.810308053098893</v>
      </c>
      <c r="D1220" t="s">
        <v>107</v>
      </c>
    </row>
    <row r="1221" spans="1:4" x14ac:dyDescent="0.35">
      <c r="A1221" t="s">
        <v>82</v>
      </c>
      <c r="B1221" s="88">
        <v>44423</v>
      </c>
      <c r="C1221">
        <v>29.979604756580756</v>
      </c>
      <c r="D1221" t="s">
        <v>107</v>
      </c>
    </row>
    <row r="1222" spans="1:4" x14ac:dyDescent="0.35">
      <c r="A1222" t="s">
        <v>82</v>
      </c>
      <c r="B1222" s="88">
        <v>44515</v>
      </c>
      <c r="C1222">
        <v>30.135916749199321</v>
      </c>
      <c r="D1222" t="s">
        <v>107</v>
      </c>
    </row>
    <row r="1223" spans="1:4" x14ac:dyDescent="0.35">
      <c r="A1223" t="s">
        <v>82</v>
      </c>
      <c r="B1223" s="88">
        <v>44607</v>
      </c>
      <c r="C1223">
        <v>30.577072723478071</v>
      </c>
      <c r="D1223" t="s">
        <v>107</v>
      </c>
    </row>
    <row r="1224" spans="1:4" x14ac:dyDescent="0.35">
      <c r="A1224" t="s">
        <v>82</v>
      </c>
      <c r="B1224" s="88">
        <v>44696</v>
      </c>
      <c r="C1224">
        <v>31.038009341725289</v>
      </c>
      <c r="D1224" t="s">
        <v>107</v>
      </c>
    </row>
    <row r="1225" spans="1:4" x14ac:dyDescent="0.35">
      <c r="A1225" t="s">
        <v>82</v>
      </c>
      <c r="B1225" s="88">
        <v>44788</v>
      </c>
      <c r="C1225">
        <v>30.931294000988402</v>
      </c>
      <c r="D1225" t="s">
        <v>107</v>
      </c>
    </row>
    <row r="1226" spans="1:4" x14ac:dyDescent="0.35">
      <c r="A1226" t="s">
        <v>82</v>
      </c>
      <c r="B1226" s="88">
        <v>44880</v>
      </c>
      <c r="C1226">
        <v>31.124541432218024</v>
      </c>
      <c r="D1226" t="s">
        <v>107</v>
      </c>
    </row>
    <row r="1227" spans="1:4" x14ac:dyDescent="0.35">
      <c r="A1227" t="s">
        <v>82</v>
      </c>
      <c r="B1227" s="88">
        <v>44972</v>
      </c>
      <c r="C1227">
        <v>31.451321570334859</v>
      </c>
      <c r="D1227" t="s">
        <v>107</v>
      </c>
    </row>
    <row r="1228" spans="1:4" x14ac:dyDescent="0.35">
      <c r="A1228" t="s">
        <v>82</v>
      </c>
      <c r="B1228" s="88">
        <v>45061</v>
      </c>
      <c r="C1228">
        <v>32.147281606876597</v>
      </c>
      <c r="D1228" t="s">
        <v>107</v>
      </c>
    </row>
    <row r="1229" spans="1:4" x14ac:dyDescent="0.35">
      <c r="A1229" t="s">
        <v>82</v>
      </c>
      <c r="B1229" s="88">
        <v>45153</v>
      </c>
      <c r="C1229">
        <v>32.555564839195597</v>
      </c>
      <c r="D1229" t="s">
        <v>107</v>
      </c>
    </row>
    <row r="1230" spans="1:4" x14ac:dyDescent="0.35">
      <c r="A1230" t="s">
        <v>82</v>
      </c>
      <c r="B1230" s="88">
        <v>45245</v>
      </c>
      <c r="C1230">
        <v>32.510594066479399</v>
      </c>
      <c r="D1230" t="s">
        <v>107</v>
      </c>
    </row>
    <row r="1231" spans="1:4" x14ac:dyDescent="0.35">
      <c r="A1231" t="s">
        <v>82</v>
      </c>
      <c r="B1231" s="88">
        <v>45337</v>
      </c>
      <c r="C1231">
        <v>32.929601042208802</v>
      </c>
      <c r="D1231" t="s">
        <v>107</v>
      </c>
    </row>
    <row r="1232" spans="1:4" x14ac:dyDescent="0.35">
      <c r="A1232" t="s">
        <v>82</v>
      </c>
      <c r="B1232" s="88">
        <v>45427</v>
      </c>
      <c r="C1232">
        <v>34.576175233668899</v>
      </c>
      <c r="D1232" t="s">
        <v>107</v>
      </c>
    </row>
    <row r="1233" spans="1:4" x14ac:dyDescent="0.35">
      <c r="A1233" t="s">
        <v>82</v>
      </c>
      <c r="B1233" s="88">
        <v>45519</v>
      </c>
      <c r="C1233">
        <v>35.366611785077602</v>
      </c>
      <c r="D1233" t="s">
        <v>107</v>
      </c>
    </row>
    <row r="1234" spans="1:4" x14ac:dyDescent="0.35">
      <c r="A1234" t="s">
        <v>82</v>
      </c>
      <c r="B1234" s="88">
        <v>45611</v>
      </c>
      <c r="C1234">
        <v>35.642233051415097</v>
      </c>
      <c r="D1234" t="s">
        <v>107</v>
      </c>
    </row>
    <row r="1235" spans="1:4" x14ac:dyDescent="0.35">
      <c r="A1235" t="s">
        <v>82</v>
      </c>
      <c r="B1235" s="88">
        <v>45703</v>
      </c>
      <c r="C1235">
        <v>36.106492074736003</v>
      </c>
      <c r="D1235" t="s">
        <v>107</v>
      </c>
    </row>
    <row r="1236" spans="1:4" x14ac:dyDescent="0.35">
      <c r="A1236" t="s">
        <v>82</v>
      </c>
      <c r="B1236" s="88">
        <v>45792</v>
      </c>
      <c r="C1236">
        <v>40.966772084462598</v>
      </c>
      <c r="D1236" t="s">
        <v>107</v>
      </c>
    </row>
    <row r="1237" spans="1:4" x14ac:dyDescent="0.35">
      <c r="A1237" t="s">
        <v>82</v>
      </c>
      <c r="B1237" s="88">
        <v>45884</v>
      </c>
      <c r="C1237">
        <v>41.396738302056598</v>
      </c>
      <c r="D1237" t="s">
        <v>107</v>
      </c>
    </row>
    <row r="1238" spans="1:4" x14ac:dyDescent="0.35">
      <c r="A1238" t="s">
        <v>82</v>
      </c>
      <c r="B1238" s="88">
        <v>45976</v>
      </c>
      <c r="C1238">
        <v>41.240121479060598</v>
      </c>
      <c r="D1238" t="s">
        <v>107</v>
      </c>
    </row>
    <row r="1239" spans="1:4" x14ac:dyDescent="0.35">
      <c r="A1239" t="s">
        <v>82</v>
      </c>
      <c r="B1239" s="88">
        <v>46068</v>
      </c>
      <c r="C1239">
        <v>42.888773065374103</v>
      </c>
      <c r="D1239" t="s">
        <v>107</v>
      </c>
    </row>
    <row r="1240" spans="1:4" x14ac:dyDescent="0.35">
      <c r="A1240" t="s">
        <v>82</v>
      </c>
      <c r="B1240" s="88">
        <v>46157</v>
      </c>
      <c r="C1240">
        <v>43.608786181256299</v>
      </c>
      <c r="D1240" t="s">
        <v>107</v>
      </c>
    </row>
    <row r="1241" spans="1:4" x14ac:dyDescent="0.35">
      <c r="A1241" t="s">
        <v>82</v>
      </c>
      <c r="B1241" s="88">
        <v>46249</v>
      </c>
      <c r="C1241">
        <v>43.741930740074999</v>
      </c>
      <c r="D1241" t="s">
        <v>107</v>
      </c>
    </row>
    <row r="1242" spans="1:4" x14ac:dyDescent="0.35">
      <c r="A1242" t="s">
        <v>76</v>
      </c>
      <c r="B1242" s="88">
        <v>43511</v>
      </c>
      <c r="C1242">
        <v>30.257007116934673</v>
      </c>
      <c r="D1242" t="s">
        <v>107</v>
      </c>
    </row>
    <row r="1243" spans="1:4" x14ac:dyDescent="0.35">
      <c r="A1243" t="s">
        <v>76</v>
      </c>
      <c r="B1243" s="88">
        <v>43600</v>
      </c>
      <c r="C1243">
        <v>30.106314754808473</v>
      </c>
      <c r="D1243" t="s">
        <v>107</v>
      </c>
    </row>
    <row r="1244" spans="1:4" x14ac:dyDescent="0.35">
      <c r="A1244" t="s">
        <v>76</v>
      </c>
      <c r="B1244" s="88">
        <v>43692</v>
      </c>
      <c r="C1244">
        <v>29.979367608278029</v>
      </c>
      <c r="D1244" t="s">
        <v>107</v>
      </c>
    </row>
    <row r="1245" spans="1:4" x14ac:dyDescent="0.35">
      <c r="A1245" t="s">
        <v>76</v>
      </c>
      <c r="B1245" s="88">
        <v>43784</v>
      </c>
      <c r="C1245">
        <v>30.634450982968776</v>
      </c>
      <c r="D1245" t="s">
        <v>107</v>
      </c>
    </row>
    <row r="1246" spans="1:4" x14ac:dyDescent="0.35">
      <c r="A1246" t="s">
        <v>76</v>
      </c>
      <c r="B1246" s="88">
        <v>43876</v>
      </c>
      <c r="C1246">
        <v>30.747441866949845</v>
      </c>
      <c r="D1246" t="s">
        <v>107</v>
      </c>
    </row>
    <row r="1247" spans="1:4" x14ac:dyDescent="0.35">
      <c r="A1247" t="s">
        <v>76</v>
      </c>
      <c r="B1247" s="88">
        <v>43966</v>
      </c>
      <c r="C1247">
        <v>30.783747742626517</v>
      </c>
      <c r="D1247" t="s">
        <v>107</v>
      </c>
    </row>
    <row r="1248" spans="1:4" x14ac:dyDescent="0.35">
      <c r="A1248" t="s">
        <v>76</v>
      </c>
      <c r="B1248" s="88">
        <v>44058</v>
      </c>
      <c r="C1248">
        <v>30.658059534421444</v>
      </c>
      <c r="D1248" t="s">
        <v>107</v>
      </c>
    </row>
    <row r="1249" spans="1:4" x14ac:dyDescent="0.35">
      <c r="A1249" t="s">
        <v>76</v>
      </c>
      <c r="B1249" s="88">
        <v>44150</v>
      </c>
      <c r="C1249">
        <v>30.473405440202544</v>
      </c>
      <c r="D1249" t="s">
        <v>107</v>
      </c>
    </row>
    <row r="1250" spans="1:4" x14ac:dyDescent="0.35">
      <c r="A1250" t="s">
        <v>76</v>
      </c>
      <c r="B1250" s="88">
        <v>44242</v>
      </c>
      <c r="C1250">
        <v>30.616768622224537</v>
      </c>
      <c r="D1250" t="s">
        <v>107</v>
      </c>
    </row>
    <row r="1251" spans="1:4" x14ac:dyDescent="0.35">
      <c r="A1251" t="s">
        <v>76</v>
      </c>
      <c r="B1251" s="88">
        <v>44331</v>
      </c>
      <c r="C1251">
        <v>30.619599295471062</v>
      </c>
      <c r="D1251" t="s">
        <v>107</v>
      </c>
    </row>
    <row r="1252" spans="1:4" x14ac:dyDescent="0.35">
      <c r="A1252" t="s">
        <v>76</v>
      </c>
      <c r="B1252" s="88">
        <v>44423</v>
      </c>
      <c r="C1252">
        <v>30.818244035020044</v>
      </c>
      <c r="D1252" t="s">
        <v>107</v>
      </c>
    </row>
    <row r="1253" spans="1:4" x14ac:dyDescent="0.35">
      <c r="A1253" t="s">
        <v>76</v>
      </c>
      <c r="B1253" s="88">
        <v>44515</v>
      </c>
      <c r="C1253">
        <v>31.068948663098862</v>
      </c>
      <c r="D1253" t="s">
        <v>107</v>
      </c>
    </row>
    <row r="1254" spans="1:4" x14ac:dyDescent="0.35">
      <c r="A1254" t="s">
        <v>76</v>
      </c>
      <c r="B1254" s="88">
        <v>44607</v>
      </c>
      <c r="C1254">
        <v>31.527152560858571</v>
      </c>
      <c r="D1254" t="s">
        <v>107</v>
      </c>
    </row>
    <row r="1255" spans="1:4" x14ac:dyDescent="0.35">
      <c r="A1255" t="s">
        <v>76</v>
      </c>
      <c r="B1255" s="88">
        <v>44696</v>
      </c>
      <c r="C1255">
        <v>31.661443025171877</v>
      </c>
      <c r="D1255" t="s">
        <v>107</v>
      </c>
    </row>
    <row r="1256" spans="1:4" x14ac:dyDescent="0.35">
      <c r="A1256" t="s">
        <v>76</v>
      </c>
      <c r="B1256" s="88">
        <v>44788</v>
      </c>
      <c r="C1256">
        <v>31.765583512370995</v>
      </c>
      <c r="D1256" t="s">
        <v>107</v>
      </c>
    </row>
    <row r="1257" spans="1:4" x14ac:dyDescent="0.35">
      <c r="A1257" t="s">
        <v>76</v>
      </c>
      <c r="B1257" s="88">
        <v>44880</v>
      </c>
      <c r="C1257">
        <v>31.580574124847001</v>
      </c>
      <c r="D1257" t="s">
        <v>107</v>
      </c>
    </row>
    <row r="1258" spans="1:4" x14ac:dyDescent="0.35">
      <c r="A1258" t="s">
        <v>76</v>
      </c>
      <c r="B1258" s="88">
        <v>44972</v>
      </c>
      <c r="C1258">
        <v>32.143711610079336</v>
      </c>
      <c r="D1258" t="s">
        <v>107</v>
      </c>
    </row>
    <row r="1259" spans="1:4" x14ac:dyDescent="0.35">
      <c r="A1259" t="s">
        <v>76</v>
      </c>
      <c r="B1259" s="88">
        <v>45061</v>
      </c>
      <c r="C1259">
        <v>32.290213511725703</v>
      </c>
      <c r="D1259" t="s">
        <v>107</v>
      </c>
    </row>
    <row r="1260" spans="1:4" x14ac:dyDescent="0.35">
      <c r="A1260" t="s">
        <v>76</v>
      </c>
      <c r="B1260" s="88">
        <v>45153</v>
      </c>
      <c r="C1260">
        <v>32.432843477794897</v>
      </c>
      <c r="D1260" t="s">
        <v>107</v>
      </c>
    </row>
    <row r="1261" spans="1:4" x14ac:dyDescent="0.35">
      <c r="A1261" t="s">
        <v>76</v>
      </c>
      <c r="B1261" s="88">
        <v>45245</v>
      </c>
      <c r="C1261">
        <v>32.592780555286403</v>
      </c>
      <c r="D1261" t="s">
        <v>107</v>
      </c>
    </row>
    <row r="1262" spans="1:4" x14ac:dyDescent="0.35">
      <c r="A1262" t="s">
        <v>76</v>
      </c>
      <c r="B1262" s="88">
        <v>45337</v>
      </c>
      <c r="C1262">
        <v>32.615505519409403</v>
      </c>
      <c r="D1262" t="s">
        <v>107</v>
      </c>
    </row>
    <row r="1263" spans="1:4" x14ac:dyDescent="0.35">
      <c r="A1263" t="s">
        <v>76</v>
      </c>
      <c r="B1263" s="88">
        <v>45427</v>
      </c>
      <c r="C1263">
        <v>33.414206062342501</v>
      </c>
      <c r="D1263" t="s">
        <v>107</v>
      </c>
    </row>
    <row r="1264" spans="1:4" x14ac:dyDescent="0.35">
      <c r="A1264" t="s">
        <v>76</v>
      </c>
      <c r="B1264" s="88">
        <v>45519</v>
      </c>
      <c r="C1264">
        <v>33.418993275595298</v>
      </c>
      <c r="D1264" t="s">
        <v>107</v>
      </c>
    </row>
    <row r="1265" spans="1:4" x14ac:dyDescent="0.35">
      <c r="A1265" t="s">
        <v>76</v>
      </c>
      <c r="B1265" s="88">
        <v>45611</v>
      </c>
      <c r="C1265">
        <v>33.743403938766598</v>
      </c>
      <c r="D1265" t="s">
        <v>107</v>
      </c>
    </row>
    <row r="1266" spans="1:4" x14ac:dyDescent="0.35">
      <c r="A1266" t="s">
        <v>76</v>
      </c>
      <c r="B1266" s="88">
        <v>45703</v>
      </c>
      <c r="C1266">
        <v>33.965907920400603</v>
      </c>
      <c r="D1266" t="s">
        <v>107</v>
      </c>
    </row>
    <row r="1267" spans="1:4" x14ac:dyDescent="0.35">
      <c r="A1267" t="s">
        <v>76</v>
      </c>
      <c r="B1267" s="88">
        <v>45792</v>
      </c>
      <c r="C1267">
        <v>37.3291030635082</v>
      </c>
      <c r="D1267" t="s">
        <v>107</v>
      </c>
    </row>
    <row r="1268" spans="1:4" x14ac:dyDescent="0.35">
      <c r="A1268" t="s">
        <v>76</v>
      </c>
      <c r="B1268" s="88">
        <v>45884</v>
      </c>
      <c r="C1268">
        <v>37.422039015396997</v>
      </c>
      <c r="D1268" t="s">
        <v>107</v>
      </c>
    </row>
    <row r="1269" spans="1:4" x14ac:dyDescent="0.35">
      <c r="A1269" t="s">
        <v>76</v>
      </c>
      <c r="B1269" s="88">
        <v>45976</v>
      </c>
      <c r="C1269">
        <v>37.425748819594098</v>
      </c>
      <c r="D1269" t="s">
        <v>107</v>
      </c>
    </row>
    <row r="1270" spans="1:4" x14ac:dyDescent="0.35">
      <c r="A1270" t="s">
        <v>76</v>
      </c>
      <c r="B1270" s="88">
        <v>46068</v>
      </c>
      <c r="C1270">
        <v>39.119396878707597</v>
      </c>
      <c r="D1270" t="s">
        <v>107</v>
      </c>
    </row>
    <row r="1271" spans="1:4" x14ac:dyDescent="0.35">
      <c r="A1271" t="s">
        <v>76</v>
      </c>
      <c r="B1271" s="88">
        <v>46157</v>
      </c>
      <c r="C1271">
        <v>39.758389893470401</v>
      </c>
      <c r="D1271" t="s">
        <v>107</v>
      </c>
    </row>
    <row r="1272" spans="1:4" x14ac:dyDescent="0.35">
      <c r="A1272" t="s">
        <v>76</v>
      </c>
      <c r="B1272" s="88">
        <v>46249</v>
      </c>
      <c r="C1272">
        <v>39.783695349266601</v>
      </c>
      <c r="D1272" t="s">
        <v>107</v>
      </c>
    </row>
    <row r="1273" spans="1:4" x14ac:dyDescent="0.35">
      <c r="A1273" t="s">
        <v>75</v>
      </c>
      <c r="B1273" s="88">
        <v>43511</v>
      </c>
      <c r="C1273">
        <v>28.634111040905967</v>
      </c>
      <c r="D1273" t="s">
        <v>107</v>
      </c>
    </row>
    <row r="1274" spans="1:4" x14ac:dyDescent="0.35">
      <c r="A1274" t="s">
        <v>75</v>
      </c>
      <c r="B1274" s="88">
        <v>43600</v>
      </c>
      <c r="C1274">
        <v>28.597547514747273</v>
      </c>
      <c r="D1274" t="s">
        <v>107</v>
      </c>
    </row>
    <row r="1275" spans="1:4" x14ac:dyDescent="0.35">
      <c r="A1275" t="s">
        <v>75</v>
      </c>
      <c r="B1275" s="88">
        <v>43692</v>
      </c>
      <c r="C1275">
        <v>28.64052190509781</v>
      </c>
      <c r="D1275" t="s">
        <v>107</v>
      </c>
    </row>
    <row r="1276" spans="1:4" x14ac:dyDescent="0.35">
      <c r="A1276" t="s">
        <v>75</v>
      </c>
      <c r="B1276" s="88">
        <v>43784</v>
      </c>
      <c r="C1276">
        <v>29.390333310155807</v>
      </c>
      <c r="D1276" t="s">
        <v>107</v>
      </c>
    </row>
    <row r="1277" spans="1:4" x14ac:dyDescent="0.35">
      <c r="A1277" t="s">
        <v>75</v>
      </c>
      <c r="B1277" s="88">
        <v>43876</v>
      </c>
      <c r="C1277">
        <v>29.577353246770361</v>
      </c>
      <c r="D1277" t="s">
        <v>107</v>
      </c>
    </row>
    <row r="1278" spans="1:4" x14ac:dyDescent="0.35">
      <c r="A1278" t="s">
        <v>75</v>
      </c>
      <c r="B1278" s="88">
        <v>43966</v>
      </c>
      <c r="C1278">
        <v>28.947949316461376</v>
      </c>
      <c r="D1278" t="s">
        <v>107</v>
      </c>
    </row>
    <row r="1279" spans="1:4" x14ac:dyDescent="0.35">
      <c r="A1279" t="s">
        <v>75</v>
      </c>
      <c r="B1279" s="88">
        <v>44058</v>
      </c>
      <c r="C1279">
        <v>28.747070072809422</v>
      </c>
      <c r="D1279" t="s">
        <v>107</v>
      </c>
    </row>
    <row r="1280" spans="1:4" x14ac:dyDescent="0.35">
      <c r="A1280" t="s">
        <v>75</v>
      </c>
      <c r="B1280" s="88">
        <v>44150</v>
      </c>
      <c r="C1280">
        <v>28.749016894334908</v>
      </c>
      <c r="D1280" t="s">
        <v>107</v>
      </c>
    </row>
    <row r="1281" spans="1:4" x14ac:dyDescent="0.35">
      <c r="A1281" t="s">
        <v>75</v>
      </c>
      <c r="B1281" s="88">
        <v>44242</v>
      </c>
      <c r="C1281">
        <v>28.939755583333977</v>
      </c>
      <c r="D1281" t="s">
        <v>107</v>
      </c>
    </row>
    <row r="1282" spans="1:4" x14ac:dyDescent="0.35">
      <c r="A1282" t="s">
        <v>75</v>
      </c>
      <c r="B1282" s="88">
        <v>44331</v>
      </c>
      <c r="C1282">
        <v>28.961642093188335</v>
      </c>
      <c r="D1282" t="s">
        <v>107</v>
      </c>
    </row>
    <row r="1283" spans="1:4" x14ac:dyDescent="0.35">
      <c r="A1283" t="s">
        <v>75</v>
      </c>
      <c r="B1283" s="88">
        <v>44423</v>
      </c>
      <c r="C1283">
        <v>29.008400697987419</v>
      </c>
      <c r="D1283" t="s">
        <v>107</v>
      </c>
    </row>
    <row r="1284" spans="1:4" x14ac:dyDescent="0.35">
      <c r="A1284" t="s">
        <v>75</v>
      </c>
      <c r="B1284" s="88">
        <v>44515</v>
      </c>
      <c r="C1284">
        <v>29.351593007512157</v>
      </c>
      <c r="D1284" t="s">
        <v>107</v>
      </c>
    </row>
    <row r="1285" spans="1:4" x14ac:dyDescent="0.35">
      <c r="A1285" t="s">
        <v>75</v>
      </c>
      <c r="B1285" s="88">
        <v>44607</v>
      </c>
      <c r="C1285">
        <v>29.723379683811398</v>
      </c>
      <c r="D1285" t="s">
        <v>107</v>
      </c>
    </row>
    <row r="1286" spans="1:4" x14ac:dyDescent="0.35">
      <c r="A1286" t="s">
        <v>75</v>
      </c>
      <c r="B1286" s="88">
        <v>44696</v>
      </c>
      <c r="C1286">
        <v>30.407331173268112</v>
      </c>
      <c r="D1286" t="s">
        <v>107</v>
      </c>
    </row>
    <row r="1287" spans="1:4" x14ac:dyDescent="0.35">
      <c r="A1287" t="s">
        <v>75</v>
      </c>
      <c r="B1287" s="88">
        <v>44788</v>
      </c>
      <c r="C1287">
        <v>30.4604284537842</v>
      </c>
      <c r="D1287" t="s">
        <v>107</v>
      </c>
    </row>
    <row r="1288" spans="1:4" x14ac:dyDescent="0.35">
      <c r="A1288" t="s">
        <v>75</v>
      </c>
      <c r="B1288" s="88">
        <v>44880</v>
      </c>
      <c r="C1288">
        <v>30.4544027149852</v>
      </c>
      <c r="D1288" t="s">
        <v>107</v>
      </c>
    </row>
    <row r="1289" spans="1:4" x14ac:dyDescent="0.35">
      <c r="A1289" t="s">
        <v>75</v>
      </c>
      <c r="B1289" s="88">
        <v>44972</v>
      </c>
      <c r="C1289">
        <v>30.923822608905017</v>
      </c>
      <c r="D1289" t="s">
        <v>107</v>
      </c>
    </row>
    <row r="1290" spans="1:4" x14ac:dyDescent="0.35">
      <c r="A1290" t="s">
        <v>75</v>
      </c>
      <c r="B1290" s="88">
        <v>45061</v>
      </c>
      <c r="C1290">
        <v>30.1995577348737</v>
      </c>
      <c r="D1290" t="s">
        <v>107</v>
      </c>
    </row>
    <row r="1291" spans="1:4" x14ac:dyDescent="0.35">
      <c r="A1291" t="s">
        <v>75</v>
      </c>
      <c r="B1291" s="88">
        <v>45153</v>
      </c>
      <c r="C1291">
        <v>30.570683858960098</v>
      </c>
      <c r="D1291" t="s">
        <v>107</v>
      </c>
    </row>
    <row r="1292" spans="1:4" x14ac:dyDescent="0.35">
      <c r="A1292" t="s">
        <v>75</v>
      </c>
      <c r="B1292" s="88">
        <v>45245</v>
      </c>
      <c r="C1292">
        <v>30.783331365513501</v>
      </c>
      <c r="D1292" t="s">
        <v>107</v>
      </c>
    </row>
    <row r="1293" spans="1:4" x14ac:dyDescent="0.35">
      <c r="A1293" t="s">
        <v>75</v>
      </c>
      <c r="B1293" s="88">
        <v>45337</v>
      </c>
      <c r="C1293">
        <v>30.460683210296501</v>
      </c>
      <c r="D1293" t="s">
        <v>107</v>
      </c>
    </row>
    <row r="1294" spans="1:4" x14ac:dyDescent="0.35">
      <c r="A1294" t="s">
        <v>75</v>
      </c>
      <c r="B1294" s="88">
        <v>45427</v>
      </c>
      <c r="C1294">
        <v>31.171025151391099</v>
      </c>
      <c r="D1294" t="s">
        <v>107</v>
      </c>
    </row>
    <row r="1295" spans="1:4" x14ac:dyDescent="0.35">
      <c r="A1295" t="s">
        <v>75</v>
      </c>
      <c r="B1295" s="88">
        <v>45519</v>
      </c>
      <c r="C1295">
        <v>31.5363400518691</v>
      </c>
      <c r="D1295" t="s">
        <v>107</v>
      </c>
    </row>
    <row r="1296" spans="1:4" x14ac:dyDescent="0.35">
      <c r="A1296" t="s">
        <v>75</v>
      </c>
      <c r="B1296" s="88">
        <v>45611</v>
      </c>
      <c r="C1296">
        <v>31.943465719953501</v>
      </c>
      <c r="D1296" t="s">
        <v>107</v>
      </c>
    </row>
    <row r="1297" spans="1:4" x14ac:dyDescent="0.35">
      <c r="A1297" t="s">
        <v>75</v>
      </c>
      <c r="B1297" s="88">
        <v>45703</v>
      </c>
      <c r="C1297">
        <v>32.051075673226897</v>
      </c>
      <c r="D1297" t="s">
        <v>107</v>
      </c>
    </row>
    <row r="1298" spans="1:4" x14ac:dyDescent="0.35">
      <c r="A1298" t="s">
        <v>75</v>
      </c>
      <c r="B1298" s="88">
        <v>45792</v>
      </c>
      <c r="C1298">
        <v>34.736009998136701</v>
      </c>
      <c r="D1298" t="s">
        <v>107</v>
      </c>
    </row>
    <row r="1299" spans="1:4" x14ac:dyDescent="0.35">
      <c r="A1299" t="s">
        <v>75</v>
      </c>
      <c r="B1299" s="88">
        <v>45884</v>
      </c>
      <c r="C1299">
        <v>34.793412666255797</v>
      </c>
      <c r="D1299" t="s">
        <v>107</v>
      </c>
    </row>
    <row r="1300" spans="1:4" x14ac:dyDescent="0.35">
      <c r="A1300" t="s">
        <v>75</v>
      </c>
      <c r="B1300" s="88">
        <v>45976</v>
      </c>
      <c r="C1300">
        <v>34.613628801506202</v>
      </c>
      <c r="D1300" t="s">
        <v>107</v>
      </c>
    </row>
    <row r="1301" spans="1:4" x14ac:dyDescent="0.35">
      <c r="A1301" t="s">
        <v>75</v>
      </c>
      <c r="B1301" s="88">
        <v>46068</v>
      </c>
      <c r="C1301">
        <v>36.086456408466297</v>
      </c>
      <c r="D1301" t="s">
        <v>107</v>
      </c>
    </row>
    <row r="1302" spans="1:4" x14ac:dyDescent="0.35">
      <c r="A1302" t="s">
        <v>75</v>
      </c>
      <c r="B1302" s="88">
        <v>46157</v>
      </c>
      <c r="C1302">
        <v>37.011530555608097</v>
      </c>
      <c r="D1302" t="s">
        <v>107</v>
      </c>
    </row>
    <row r="1303" spans="1:4" x14ac:dyDescent="0.35">
      <c r="A1303" t="s">
        <v>75</v>
      </c>
      <c r="B1303" s="88">
        <v>46249</v>
      </c>
      <c r="C1303">
        <v>37.198510939705301</v>
      </c>
      <c r="D1303" t="s">
        <v>107</v>
      </c>
    </row>
    <row r="1304" spans="1:4" x14ac:dyDescent="0.35">
      <c r="A1304" t="s">
        <v>77</v>
      </c>
      <c r="B1304" s="88">
        <v>43511</v>
      </c>
      <c r="C1304">
        <v>34.895592178271272</v>
      </c>
      <c r="D1304" t="s">
        <v>107</v>
      </c>
    </row>
    <row r="1305" spans="1:4" x14ac:dyDescent="0.35">
      <c r="A1305" t="s">
        <v>77</v>
      </c>
      <c r="B1305" s="88">
        <v>43600</v>
      </c>
      <c r="C1305">
        <v>34.855321773915342</v>
      </c>
      <c r="D1305" t="s">
        <v>107</v>
      </c>
    </row>
    <row r="1306" spans="1:4" x14ac:dyDescent="0.35">
      <c r="A1306" t="s">
        <v>77</v>
      </c>
      <c r="B1306" s="88">
        <v>43692</v>
      </c>
      <c r="C1306">
        <v>34.913173678309583</v>
      </c>
      <c r="D1306" t="s">
        <v>107</v>
      </c>
    </row>
    <row r="1307" spans="1:4" x14ac:dyDescent="0.35">
      <c r="A1307" t="s">
        <v>77</v>
      </c>
      <c r="B1307" s="88">
        <v>43784</v>
      </c>
      <c r="C1307">
        <v>35.170720681148538</v>
      </c>
      <c r="D1307" t="s">
        <v>107</v>
      </c>
    </row>
    <row r="1308" spans="1:4" x14ac:dyDescent="0.35">
      <c r="A1308" t="s">
        <v>77</v>
      </c>
      <c r="B1308" s="88">
        <v>43876</v>
      </c>
      <c r="C1308">
        <v>35.22755769296635</v>
      </c>
      <c r="D1308" t="s">
        <v>107</v>
      </c>
    </row>
    <row r="1309" spans="1:4" x14ac:dyDescent="0.35">
      <c r="A1309" t="s">
        <v>77</v>
      </c>
      <c r="B1309" s="88">
        <v>43966</v>
      </c>
      <c r="C1309">
        <v>36.383825063588183</v>
      </c>
      <c r="D1309" t="s">
        <v>107</v>
      </c>
    </row>
    <row r="1310" spans="1:4" x14ac:dyDescent="0.35">
      <c r="A1310" t="s">
        <v>77</v>
      </c>
      <c r="B1310" s="88">
        <v>44058</v>
      </c>
      <c r="C1310">
        <v>36.320236079673045</v>
      </c>
      <c r="D1310" t="s">
        <v>107</v>
      </c>
    </row>
    <row r="1311" spans="1:4" x14ac:dyDescent="0.35">
      <c r="A1311" t="s">
        <v>77</v>
      </c>
      <c r="B1311" s="88">
        <v>44150</v>
      </c>
      <c r="C1311">
        <v>36.280033837772805</v>
      </c>
      <c r="D1311" t="s">
        <v>107</v>
      </c>
    </row>
    <row r="1312" spans="1:4" x14ac:dyDescent="0.35">
      <c r="A1312" t="s">
        <v>77</v>
      </c>
      <c r="B1312" s="88">
        <v>44242</v>
      </c>
      <c r="C1312">
        <v>36.257407660239842</v>
      </c>
      <c r="D1312" t="s">
        <v>107</v>
      </c>
    </row>
    <row r="1313" spans="1:4" x14ac:dyDescent="0.35">
      <c r="A1313" t="s">
        <v>77</v>
      </c>
      <c r="B1313" s="88">
        <v>44331</v>
      </c>
      <c r="C1313">
        <v>36.979699019445505</v>
      </c>
      <c r="D1313" t="s">
        <v>107</v>
      </c>
    </row>
    <row r="1314" spans="1:4" x14ac:dyDescent="0.35">
      <c r="A1314" t="s">
        <v>77</v>
      </c>
      <c r="B1314" s="88">
        <v>44423</v>
      </c>
      <c r="C1314">
        <v>37.046221233076814</v>
      </c>
      <c r="D1314" t="s">
        <v>107</v>
      </c>
    </row>
    <row r="1315" spans="1:4" x14ac:dyDescent="0.35">
      <c r="A1315" t="s">
        <v>77</v>
      </c>
      <c r="B1315" s="88">
        <v>44515</v>
      </c>
      <c r="C1315">
        <v>37.199538250445322</v>
      </c>
      <c r="D1315" t="s">
        <v>107</v>
      </c>
    </row>
    <row r="1316" spans="1:4" x14ac:dyDescent="0.35">
      <c r="A1316" t="s">
        <v>77</v>
      </c>
      <c r="B1316" s="88">
        <v>44607</v>
      </c>
      <c r="C1316">
        <v>37.346421363261584</v>
      </c>
      <c r="D1316" t="s">
        <v>107</v>
      </c>
    </row>
    <row r="1317" spans="1:4" x14ac:dyDescent="0.35">
      <c r="A1317" t="s">
        <v>77</v>
      </c>
      <c r="B1317" s="88">
        <v>44696</v>
      </c>
      <c r="C1317">
        <v>37.610419560048562</v>
      </c>
      <c r="D1317" t="s">
        <v>107</v>
      </c>
    </row>
    <row r="1318" spans="1:4" x14ac:dyDescent="0.35">
      <c r="A1318" t="s">
        <v>77</v>
      </c>
      <c r="B1318" s="88">
        <v>44788</v>
      </c>
      <c r="C1318">
        <v>37.888476988925099</v>
      </c>
      <c r="D1318" t="s">
        <v>107</v>
      </c>
    </row>
    <row r="1319" spans="1:4" x14ac:dyDescent="0.35">
      <c r="A1319" t="s">
        <v>77</v>
      </c>
      <c r="B1319" s="88">
        <v>44880</v>
      </c>
      <c r="C1319">
        <v>37.87284951001061</v>
      </c>
      <c r="D1319" t="s">
        <v>107</v>
      </c>
    </row>
    <row r="1320" spans="1:4" x14ac:dyDescent="0.35">
      <c r="A1320" t="s">
        <v>77</v>
      </c>
      <c r="B1320" s="88">
        <v>44972</v>
      </c>
      <c r="C1320">
        <v>37.820022470118047</v>
      </c>
      <c r="D1320" t="s">
        <v>107</v>
      </c>
    </row>
    <row r="1321" spans="1:4" x14ac:dyDescent="0.35">
      <c r="A1321" t="s">
        <v>77</v>
      </c>
      <c r="B1321" s="88">
        <v>45061</v>
      </c>
      <c r="C1321">
        <v>39.022269019855401</v>
      </c>
      <c r="D1321" t="s">
        <v>107</v>
      </c>
    </row>
    <row r="1322" spans="1:4" x14ac:dyDescent="0.35">
      <c r="A1322" t="s">
        <v>77</v>
      </c>
      <c r="B1322" s="88">
        <v>45153</v>
      </c>
      <c r="C1322">
        <v>39.252584712368197</v>
      </c>
      <c r="D1322" t="s">
        <v>107</v>
      </c>
    </row>
    <row r="1323" spans="1:4" x14ac:dyDescent="0.35">
      <c r="A1323" t="s">
        <v>77</v>
      </c>
      <c r="B1323" s="88">
        <v>45245</v>
      </c>
      <c r="C1323">
        <v>39.492455580619897</v>
      </c>
      <c r="D1323" t="s">
        <v>107</v>
      </c>
    </row>
    <row r="1324" spans="1:4" x14ac:dyDescent="0.35">
      <c r="A1324" t="s">
        <v>77</v>
      </c>
      <c r="B1324" s="88">
        <v>45337</v>
      </c>
      <c r="C1324">
        <v>39.576771658403104</v>
      </c>
      <c r="D1324" t="s">
        <v>107</v>
      </c>
    </row>
    <row r="1325" spans="1:4" x14ac:dyDescent="0.35">
      <c r="A1325" t="s">
        <v>77</v>
      </c>
      <c r="B1325" s="88">
        <v>45427</v>
      </c>
      <c r="C1325">
        <v>41.9670382423649</v>
      </c>
      <c r="D1325" t="s">
        <v>107</v>
      </c>
    </row>
    <row r="1326" spans="1:4" x14ac:dyDescent="0.35">
      <c r="A1326" t="s">
        <v>77</v>
      </c>
      <c r="B1326" s="88">
        <v>45519</v>
      </c>
      <c r="C1326">
        <v>43.371865166207201</v>
      </c>
      <c r="D1326" t="s">
        <v>107</v>
      </c>
    </row>
    <row r="1327" spans="1:4" x14ac:dyDescent="0.35">
      <c r="A1327" t="s">
        <v>77</v>
      </c>
      <c r="B1327" s="88">
        <v>45611</v>
      </c>
      <c r="C1327">
        <v>44.115697063226797</v>
      </c>
      <c r="D1327" t="s">
        <v>107</v>
      </c>
    </row>
    <row r="1328" spans="1:4" x14ac:dyDescent="0.35">
      <c r="A1328" t="s">
        <v>77</v>
      </c>
      <c r="B1328" s="88">
        <v>45703</v>
      </c>
      <c r="C1328">
        <v>44.405004908614401</v>
      </c>
      <c r="D1328" t="s">
        <v>107</v>
      </c>
    </row>
    <row r="1329" spans="1:4" x14ac:dyDescent="0.35">
      <c r="A1329" t="s">
        <v>77</v>
      </c>
      <c r="B1329" s="88">
        <v>45792</v>
      </c>
      <c r="C1329">
        <v>45.3898888877305</v>
      </c>
      <c r="D1329" t="s">
        <v>107</v>
      </c>
    </row>
    <row r="1330" spans="1:4" x14ac:dyDescent="0.35">
      <c r="A1330" t="s">
        <v>77</v>
      </c>
      <c r="B1330" s="88">
        <v>45884</v>
      </c>
      <c r="C1330">
        <v>45.4461622489397</v>
      </c>
      <c r="D1330" t="s">
        <v>107</v>
      </c>
    </row>
    <row r="1331" spans="1:4" x14ac:dyDescent="0.35">
      <c r="A1331" t="s">
        <v>77</v>
      </c>
      <c r="B1331" s="88">
        <v>45976</v>
      </c>
      <c r="C1331">
        <v>45.451449307368499</v>
      </c>
      <c r="D1331" t="s">
        <v>107</v>
      </c>
    </row>
    <row r="1332" spans="1:4" x14ac:dyDescent="0.35">
      <c r="A1332" t="s">
        <v>77</v>
      </c>
      <c r="B1332" s="88">
        <v>46068</v>
      </c>
      <c r="C1332">
        <v>46.685907259229403</v>
      </c>
      <c r="D1332" t="s">
        <v>107</v>
      </c>
    </row>
    <row r="1333" spans="1:4" x14ac:dyDescent="0.35">
      <c r="A1333" t="s">
        <v>77</v>
      </c>
      <c r="B1333" s="88">
        <v>46157</v>
      </c>
      <c r="C1333">
        <v>48.292274399006999</v>
      </c>
      <c r="D1333" t="s">
        <v>107</v>
      </c>
    </row>
    <row r="1334" spans="1:4" x14ac:dyDescent="0.35">
      <c r="A1334" t="s">
        <v>77</v>
      </c>
      <c r="B1334" s="88">
        <v>46249</v>
      </c>
      <c r="C1334">
        <v>48.527689100272802</v>
      </c>
      <c r="D1334" t="s">
        <v>107</v>
      </c>
    </row>
    <row r="1335" spans="1:4" x14ac:dyDescent="0.35">
      <c r="A1335" t="s">
        <v>85</v>
      </c>
      <c r="B1335" s="88">
        <v>43511</v>
      </c>
      <c r="C1335">
        <v>12.261512557797671</v>
      </c>
      <c r="D1335" t="s">
        <v>240</v>
      </c>
    </row>
    <row r="1336" spans="1:4" x14ac:dyDescent="0.35">
      <c r="A1336" t="s">
        <v>85</v>
      </c>
      <c r="B1336" s="88">
        <v>43600</v>
      </c>
      <c r="C1336">
        <v>12.088818536032194</v>
      </c>
      <c r="D1336" t="s">
        <v>240</v>
      </c>
    </row>
    <row r="1337" spans="1:4" x14ac:dyDescent="0.35">
      <c r="A1337" t="s">
        <v>85</v>
      </c>
      <c r="B1337" s="88">
        <v>43692</v>
      </c>
      <c r="C1337">
        <v>12.087944775081313</v>
      </c>
      <c r="D1337" t="s">
        <v>240</v>
      </c>
    </row>
    <row r="1338" spans="1:4" x14ac:dyDescent="0.35">
      <c r="A1338" t="s">
        <v>85</v>
      </c>
      <c r="B1338" s="88">
        <v>43784</v>
      </c>
      <c r="C1338">
        <v>12.087065982558634</v>
      </c>
      <c r="D1338" t="s">
        <v>240</v>
      </c>
    </row>
    <row r="1339" spans="1:4" x14ac:dyDescent="0.35">
      <c r="A1339" t="s">
        <v>85</v>
      </c>
      <c r="B1339" s="88">
        <v>43876</v>
      </c>
      <c r="C1339">
        <v>12.087206511566045</v>
      </c>
      <c r="D1339" t="s">
        <v>240</v>
      </c>
    </row>
    <row r="1340" spans="1:4" x14ac:dyDescent="0.35">
      <c r="A1340" t="s">
        <v>85</v>
      </c>
      <c r="B1340" s="88">
        <v>43966</v>
      </c>
      <c r="C1340">
        <v>11.086962095462596</v>
      </c>
      <c r="D1340" t="s">
        <v>240</v>
      </c>
    </row>
    <row r="1341" spans="1:4" x14ac:dyDescent="0.35">
      <c r="A1341" t="s">
        <v>85</v>
      </c>
      <c r="B1341" s="88">
        <v>44058</v>
      </c>
      <c r="C1341">
        <v>11.085783511805303</v>
      </c>
      <c r="D1341" t="s">
        <v>240</v>
      </c>
    </row>
    <row r="1342" spans="1:4" x14ac:dyDescent="0.35">
      <c r="A1342" t="s">
        <v>85</v>
      </c>
      <c r="B1342" s="88">
        <v>44150</v>
      </c>
      <c r="C1342">
        <v>11.085382641600097</v>
      </c>
      <c r="D1342" t="s">
        <v>240</v>
      </c>
    </row>
    <row r="1343" spans="1:4" x14ac:dyDescent="0.35">
      <c r="A1343" t="s">
        <v>85</v>
      </c>
      <c r="B1343" s="88">
        <v>44242</v>
      </c>
      <c r="C1343">
        <v>11.085680040319561</v>
      </c>
      <c r="D1343" t="s">
        <v>240</v>
      </c>
    </row>
    <row r="1344" spans="1:4" x14ac:dyDescent="0.35">
      <c r="A1344" t="s">
        <v>85</v>
      </c>
      <c r="B1344" s="88">
        <v>44331</v>
      </c>
      <c r="C1344">
        <v>11.348115088993497</v>
      </c>
      <c r="D1344" t="s">
        <v>240</v>
      </c>
    </row>
    <row r="1345" spans="1:4" x14ac:dyDescent="0.35">
      <c r="A1345" t="s">
        <v>85</v>
      </c>
      <c r="B1345" s="88">
        <v>44423</v>
      </c>
      <c r="C1345">
        <v>11.347427424616813</v>
      </c>
      <c r="D1345" t="s">
        <v>240</v>
      </c>
    </row>
    <row r="1346" spans="1:4" x14ac:dyDescent="0.35">
      <c r="A1346" t="s">
        <v>85</v>
      </c>
      <c r="B1346" s="88">
        <v>44515</v>
      </c>
      <c r="C1346">
        <v>11.345427183262704</v>
      </c>
      <c r="D1346" t="s">
        <v>240</v>
      </c>
    </row>
    <row r="1347" spans="1:4" x14ac:dyDescent="0.35">
      <c r="A1347" t="s">
        <v>85</v>
      </c>
      <c r="B1347" s="88">
        <v>44607</v>
      </c>
      <c r="C1347">
        <v>11.330969802272771</v>
      </c>
      <c r="D1347" t="s">
        <v>240</v>
      </c>
    </row>
    <row r="1348" spans="1:4" x14ac:dyDescent="0.35">
      <c r="A1348" t="s">
        <v>85</v>
      </c>
      <c r="B1348" s="88">
        <v>44696</v>
      </c>
      <c r="C1348">
        <v>11.606246752307948</v>
      </c>
      <c r="D1348" t="s">
        <v>240</v>
      </c>
    </row>
    <row r="1349" spans="1:4" x14ac:dyDescent="0.35">
      <c r="A1349" t="s">
        <v>85</v>
      </c>
      <c r="B1349" s="88">
        <v>44788</v>
      </c>
      <c r="C1349">
        <v>11.605845792286891</v>
      </c>
      <c r="D1349" t="s">
        <v>240</v>
      </c>
    </row>
    <row r="1350" spans="1:4" x14ac:dyDescent="0.35">
      <c r="A1350" t="s">
        <v>85</v>
      </c>
      <c r="B1350" s="88">
        <v>44880</v>
      </c>
      <c r="C1350">
        <v>11.604604079246743</v>
      </c>
      <c r="D1350" t="s">
        <v>240</v>
      </c>
    </row>
    <row r="1351" spans="1:4" x14ac:dyDescent="0.35">
      <c r="A1351" t="s">
        <v>85</v>
      </c>
      <c r="B1351" s="88">
        <v>44972</v>
      </c>
      <c r="C1351">
        <v>11.604773643213935</v>
      </c>
      <c r="D1351" t="s">
        <v>240</v>
      </c>
    </row>
    <row r="1352" spans="1:4" x14ac:dyDescent="0.35">
      <c r="A1352" t="s">
        <v>85</v>
      </c>
      <c r="B1352" s="88">
        <v>45061</v>
      </c>
      <c r="C1352">
        <v>11.8938186261793</v>
      </c>
      <c r="D1352" t="s">
        <v>240</v>
      </c>
    </row>
    <row r="1353" spans="1:4" x14ac:dyDescent="0.35">
      <c r="A1353" t="s">
        <v>85</v>
      </c>
      <c r="B1353" s="88">
        <v>45153</v>
      </c>
      <c r="C1353">
        <v>11.8927438785856</v>
      </c>
      <c r="D1353" t="s">
        <v>240</v>
      </c>
    </row>
    <row r="1354" spans="1:4" x14ac:dyDescent="0.35">
      <c r="A1354" t="s">
        <v>85</v>
      </c>
      <c r="B1354" s="88">
        <v>45245</v>
      </c>
      <c r="C1354">
        <v>11.892428474437599</v>
      </c>
      <c r="D1354" t="s">
        <v>240</v>
      </c>
    </row>
    <row r="1355" spans="1:4" x14ac:dyDescent="0.35">
      <c r="A1355" t="s">
        <v>85</v>
      </c>
      <c r="B1355" s="88">
        <v>45337</v>
      </c>
      <c r="C1355">
        <v>11.8924491177962</v>
      </c>
      <c r="D1355" t="s">
        <v>240</v>
      </c>
    </row>
    <row r="1356" spans="1:4" x14ac:dyDescent="0.35">
      <c r="A1356" t="s">
        <v>85</v>
      </c>
      <c r="B1356" s="88">
        <v>45427</v>
      </c>
      <c r="C1356">
        <v>12.719860802354001</v>
      </c>
      <c r="D1356" t="s">
        <v>240</v>
      </c>
    </row>
    <row r="1357" spans="1:4" x14ac:dyDescent="0.35">
      <c r="A1357" t="s">
        <v>85</v>
      </c>
      <c r="B1357" s="88">
        <v>45519</v>
      </c>
      <c r="C1357">
        <v>12.7191741265903</v>
      </c>
      <c r="D1357" t="s">
        <v>240</v>
      </c>
    </row>
    <row r="1358" spans="1:4" x14ac:dyDescent="0.35">
      <c r="A1358" t="s">
        <v>85</v>
      </c>
      <c r="B1358" s="88">
        <v>45611</v>
      </c>
      <c r="C1358">
        <v>12.718627262326899</v>
      </c>
      <c r="D1358" t="s">
        <v>240</v>
      </c>
    </row>
    <row r="1359" spans="1:4" x14ac:dyDescent="0.35">
      <c r="A1359" t="s">
        <v>85</v>
      </c>
      <c r="B1359" s="88">
        <v>45703</v>
      </c>
      <c r="C1359">
        <v>12.7155951436983</v>
      </c>
      <c r="D1359" t="s">
        <v>240</v>
      </c>
    </row>
    <row r="1360" spans="1:4" x14ac:dyDescent="0.35">
      <c r="A1360" t="s">
        <v>85</v>
      </c>
      <c r="B1360" s="88">
        <v>45792</v>
      </c>
      <c r="C1360">
        <v>15.194558354755999</v>
      </c>
      <c r="D1360" t="s">
        <v>240</v>
      </c>
    </row>
    <row r="1361" spans="1:4" x14ac:dyDescent="0.35">
      <c r="A1361" t="s">
        <v>85</v>
      </c>
      <c r="B1361" s="88">
        <v>45884</v>
      </c>
      <c r="C1361">
        <v>15.193527492755701</v>
      </c>
      <c r="D1361" t="s">
        <v>240</v>
      </c>
    </row>
    <row r="1362" spans="1:4" x14ac:dyDescent="0.35">
      <c r="A1362" t="s">
        <v>85</v>
      </c>
      <c r="B1362" s="88">
        <v>45976</v>
      </c>
      <c r="C1362">
        <v>15.1913277692282</v>
      </c>
      <c r="D1362" t="s">
        <v>240</v>
      </c>
    </row>
    <row r="1363" spans="1:4" x14ac:dyDescent="0.35">
      <c r="A1363" t="s">
        <v>85</v>
      </c>
      <c r="B1363" s="88">
        <v>46068</v>
      </c>
      <c r="C1363">
        <v>15.1912941141715</v>
      </c>
      <c r="D1363" t="s">
        <v>240</v>
      </c>
    </row>
    <row r="1364" spans="1:4" x14ac:dyDescent="0.35">
      <c r="A1364" t="s">
        <v>85</v>
      </c>
      <c r="B1364" s="88">
        <v>46157</v>
      </c>
      <c r="C1364">
        <v>16.815234561302201</v>
      </c>
      <c r="D1364" t="s">
        <v>240</v>
      </c>
    </row>
    <row r="1365" spans="1:4" x14ac:dyDescent="0.35">
      <c r="A1365" t="s">
        <v>85</v>
      </c>
      <c r="B1365" s="88">
        <v>46249</v>
      </c>
      <c r="C1365">
        <v>16.813600950586999</v>
      </c>
      <c r="D1365" t="s">
        <v>240</v>
      </c>
    </row>
    <row r="1366" spans="1:4" x14ac:dyDescent="0.35">
      <c r="A1366" t="s">
        <v>24</v>
      </c>
      <c r="B1366" s="88">
        <v>43511</v>
      </c>
      <c r="C1366">
        <v>13.20243125</v>
      </c>
      <c r="D1366" t="s">
        <v>240</v>
      </c>
    </row>
    <row r="1367" spans="1:4" x14ac:dyDescent="0.35">
      <c r="A1367" t="s">
        <v>24</v>
      </c>
      <c r="B1367" s="88">
        <v>43600</v>
      </c>
      <c r="C1367">
        <v>15.5540375</v>
      </c>
      <c r="D1367" t="s">
        <v>240</v>
      </c>
    </row>
    <row r="1368" spans="1:4" x14ac:dyDescent="0.35">
      <c r="A1368" t="s">
        <v>24</v>
      </c>
      <c r="B1368" s="88">
        <v>43692</v>
      </c>
      <c r="C1368">
        <v>15.5540375</v>
      </c>
      <c r="D1368" t="s">
        <v>240</v>
      </c>
    </row>
    <row r="1369" spans="1:4" x14ac:dyDescent="0.35">
      <c r="A1369" t="s">
        <v>24</v>
      </c>
      <c r="B1369" s="88">
        <v>43784</v>
      </c>
      <c r="C1369">
        <v>15.5540375</v>
      </c>
      <c r="D1369" t="s">
        <v>240</v>
      </c>
    </row>
    <row r="1370" spans="1:4" x14ac:dyDescent="0.35">
      <c r="A1370" t="s">
        <v>24</v>
      </c>
      <c r="B1370" s="88">
        <v>43876</v>
      </c>
      <c r="C1370">
        <v>15.5540375</v>
      </c>
      <c r="D1370" t="s">
        <v>240</v>
      </c>
    </row>
    <row r="1371" spans="1:4" x14ac:dyDescent="0.35">
      <c r="A1371" t="s">
        <v>24</v>
      </c>
      <c r="B1371" s="88">
        <v>43966</v>
      </c>
      <c r="C1371">
        <v>12.667681250000001</v>
      </c>
      <c r="D1371" t="s">
        <v>240</v>
      </c>
    </row>
    <row r="1372" spans="1:4" x14ac:dyDescent="0.35">
      <c r="A1372" t="s">
        <v>24</v>
      </c>
      <c r="B1372" s="88">
        <v>44058</v>
      </c>
      <c r="C1372">
        <v>12.667681250000001</v>
      </c>
      <c r="D1372" t="s">
        <v>240</v>
      </c>
    </row>
    <row r="1373" spans="1:4" x14ac:dyDescent="0.35">
      <c r="A1373" t="s">
        <v>24</v>
      </c>
      <c r="B1373" s="88">
        <v>44150</v>
      </c>
      <c r="C1373">
        <v>12.667681250000001</v>
      </c>
      <c r="D1373" t="s">
        <v>240</v>
      </c>
    </row>
    <row r="1374" spans="1:4" x14ac:dyDescent="0.35">
      <c r="A1374" t="s">
        <v>24</v>
      </c>
      <c r="B1374" s="88">
        <v>44242</v>
      </c>
      <c r="C1374">
        <v>12.667681250000001</v>
      </c>
      <c r="D1374" t="s">
        <v>240</v>
      </c>
    </row>
    <row r="1375" spans="1:4" x14ac:dyDescent="0.35">
      <c r="A1375" t="s">
        <v>24</v>
      </c>
      <c r="B1375" s="88">
        <v>44331</v>
      </c>
      <c r="C1375">
        <v>11.191081249999998</v>
      </c>
      <c r="D1375" t="s">
        <v>240</v>
      </c>
    </row>
    <row r="1376" spans="1:4" x14ac:dyDescent="0.35">
      <c r="A1376" t="s">
        <v>24</v>
      </c>
      <c r="B1376" s="88">
        <v>44423</v>
      </c>
      <c r="C1376">
        <v>11.191081249999998</v>
      </c>
      <c r="D1376" t="s">
        <v>240</v>
      </c>
    </row>
    <row r="1377" spans="1:4" x14ac:dyDescent="0.35">
      <c r="A1377" t="s">
        <v>24</v>
      </c>
      <c r="B1377" s="88">
        <v>44515</v>
      </c>
      <c r="C1377">
        <v>11.191081249999998</v>
      </c>
      <c r="D1377" t="s">
        <v>240</v>
      </c>
    </row>
    <row r="1378" spans="1:4" x14ac:dyDescent="0.35">
      <c r="A1378" t="s">
        <v>24</v>
      </c>
      <c r="B1378" s="88">
        <v>44607</v>
      </c>
      <c r="C1378">
        <v>11.191081249999998</v>
      </c>
      <c r="D1378" t="s">
        <v>240</v>
      </c>
    </row>
    <row r="1379" spans="1:4" x14ac:dyDescent="0.35">
      <c r="A1379" t="s">
        <v>24</v>
      </c>
      <c r="B1379" s="88">
        <v>44696</v>
      </c>
      <c r="C1379">
        <v>11.583662500000001</v>
      </c>
      <c r="D1379" t="s">
        <v>240</v>
      </c>
    </row>
    <row r="1380" spans="1:4" x14ac:dyDescent="0.35">
      <c r="A1380" t="s">
        <v>24</v>
      </c>
      <c r="B1380" s="88">
        <v>44788</v>
      </c>
      <c r="C1380">
        <v>11.583662500000001</v>
      </c>
      <c r="D1380" t="s">
        <v>240</v>
      </c>
    </row>
    <row r="1381" spans="1:4" x14ac:dyDescent="0.35">
      <c r="A1381" t="s">
        <v>24</v>
      </c>
      <c r="B1381" s="88">
        <v>44880</v>
      </c>
      <c r="C1381">
        <v>11.583662500000001</v>
      </c>
      <c r="D1381" t="s">
        <v>240</v>
      </c>
    </row>
    <row r="1382" spans="1:4" x14ac:dyDescent="0.35">
      <c r="A1382" t="s">
        <v>24</v>
      </c>
      <c r="B1382" s="88">
        <v>44972</v>
      </c>
      <c r="C1382">
        <v>11.583662500000001</v>
      </c>
      <c r="D1382" t="s">
        <v>240</v>
      </c>
    </row>
    <row r="1383" spans="1:4" x14ac:dyDescent="0.35">
      <c r="A1383" t="s">
        <v>24</v>
      </c>
      <c r="B1383" s="88">
        <v>45061</v>
      </c>
      <c r="C1383">
        <v>13.2419625</v>
      </c>
      <c r="D1383" t="s">
        <v>240</v>
      </c>
    </row>
    <row r="1384" spans="1:4" x14ac:dyDescent="0.35">
      <c r="A1384" t="s">
        <v>24</v>
      </c>
      <c r="B1384" s="88">
        <v>45153</v>
      </c>
      <c r="C1384">
        <v>13.2419625</v>
      </c>
      <c r="D1384" t="s">
        <v>240</v>
      </c>
    </row>
    <row r="1385" spans="1:4" x14ac:dyDescent="0.35">
      <c r="A1385" t="s">
        <v>24</v>
      </c>
      <c r="B1385" s="88">
        <v>45245</v>
      </c>
      <c r="C1385">
        <v>13.2419625</v>
      </c>
      <c r="D1385" t="s">
        <v>240</v>
      </c>
    </row>
    <row r="1386" spans="1:4" x14ac:dyDescent="0.35">
      <c r="A1386" t="s">
        <v>24</v>
      </c>
      <c r="B1386" s="88">
        <v>45337</v>
      </c>
      <c r="C1386">
        <v>13.2419625</v>
      </c>
      <c r="D1386" t="s">
        <v>240</v>
      </c>
    </row>
    <row r="1387" spans="1:4" x14ac:dyDescent="0.35">
      <c r="A1387" t="s">
        <v>24</v>
      </c>
      <c r="B1387" s="88">
        <v>45427</v>
      </c>
      <c r="C1387">
        <v>14.399725</v>
      </c>
      <c r="D1387" t="s">
        <v>240</v>
      </c>
    </row>
    <row r="1388" spans="1:4" x14ac:dyDescent="0.35">
      <c r="A1388" t="s">
        <v>24</v>
      </c>
      <c r="B1388" s="88">
        <v>45519</v>
      </c>
      <c r="C1388">
        <v>14.399725</v>
      </c>
      <c r="D1388" t="s">
        <v>240</v>
      </c>
    </row>
    <row r="1389" spans="1:4" x14ac:dyDescent="0.35">
      <c r="A1389" t="s">
        <v>24</v>
      </c>
      <c r="B1389" s="88">
        <v>45611</v>
      </c>
      <c r="C1389">
        <v>14.399725</v>
      </c>
      <c r="D1389" t="s">
        <v>240</v>
      </c>
    </row>
    <row r="1390" spans="1:4" x14ac:dyDescent="0.35">
      <c r="A1390" t="s">
        <v>24</v>
      </c>
      <c r="B1390" s="88">
        <v>45703</v>
      </c>
      <c r="C1390">
        <v>14.399725</v>
      </c>
      <c r="D1390" t="s">
        <v>240</v>
      </c>
    </row>
    <row r="1391" spans="1:4" x14ac:dyDescent="0.35">
      <c r="A1391" t="s">
        <v>24</v>
      </c>
      <c r="B1391" s="88">
        <v>45792</v>
      </c>
      <c r="C1391">
        <v>17.118756250000001</v>
      </c>
      <c r="D1391" t="s">
        <v>240</v>
      </c>
    </row>
    <row r="1392" spans="1:4" x14ac:dyDescent="0.35">
      <c r="A1392" t="s">
        <v>24</v>
      </c>
      <c r="B1392" s="88">
        <v>45884</v>
      </c>
      <c r="C1392">
        <v>17.118756250000001</v>
      </c>
      <c r="D1392" t="s">
        <v>240</v>
      </c>
    </row>
    <row r="1393" spans="1:4" x14ac:dyDescent="0.35">
      <c r="A1393" t="s">
        <v>24</v>
      </c>
      <c r="B1393" s="88">
        <v>45976</v>
      </c>
      <c r="C1393">
        <v>17.118756250000001</v>
      </c>
      <c r="D1393" t="s">
        <v>240</v>
      </c>
    </row>
    <row r="1394" spans="1:4" x14ac:dyDescent="0.35">
      <c r="A1394" t="s">
        <v>24</v>
      </c>
      <c r="B1394" s="88">
        <v>46068</v>
      </c>
      <c r="C1394">
        <v>17.118756250000001</v>
      </c>
      <c r="D1394" t="s">
        <v>240</v>
      </c>
    </row>
    <row r="1395" spans="1:4" x14ac:dyDescent="0.35">
      <c r="A1395" t="s">
        <v>24</v>
      </c>
      <c r="B1395" s="88">
        <v>46157</v>
      </c>
      <c r="C1395">
        <v>17.946971874999999</v>
      </c>
      <c r="D1395" t="s">
        <v>240</v>
      </c>
    </row>
    <row r="1396" spans="1:4" x14ac:dyDescent="0.35">
      <c r="A1396" t="s">
        <v>24</v>
      </c>
      <c r="B1396" s="88">
        <v>46249</v>
      </c>
      <c r="C1396">
        <v>17.946971874999999</v>
      </c>
      <c r="D1396" t="s">
        <v>240</v>
      </c>
    </row>
    <row r="1397" spans="1:4" x14ac:dyDescent="0.35">
      <c r="A1397" t="s">
        <v>35</v>
      </c>
      <c r="B1397" s="88">
        <v>43511</v>
      </c>
      <c r="C1397">
        <v>13.712801249999998</v>
      </c>
      <c r="D1397" t="s">
        <v>240</v>
      </c>
    </row>
    <row r="1398" spans="1:4" x14ac:dyDescent="0.35">
      <c r="A1398" t="s">
        <v>35</v>
      </c>
      <c r="B1398" s="88">
        <v>43600</v>
      </c>
      <c r="C1398">
        <v>14.11760125</v>
      </c>
      <c r="D1398" t="s">
        <v>240</v>
      </c>
    </row>
    <row r="1399" spans="1:4" x14ac:dyDescent="0.35">
      <c r="A1399" t="s">
        <v>35</v>
      </c>
      <c r="B1399" s="88">
        <v>43692</v>
      </c>
      <c r="C1399">
        <v>14.11760125</v>
      </c>
      <c r="D1399" t="s">
        <v>240</v>
      </c>
    </row>
    <row r="1400" spans="1:4" x14ac:dyDescent="0.35">
      <c r="A1400" t="s">
        <v>35</v>
      </c>
      <c r="B1400" s="88">
        <v>43784</v>
      </c>
      <c r="C1400">
        <v>14.11760125</v>
      </c>
      <c r="D1400" t="s">
        <v>240</v>
      </c>
    </row>
    <row r="1401" spans="1:4" x14ac:dyDescent="0.35">
      <c r="A1401" t="s">
        <v>35</v>
      </c>
      <c r="B1401" s="88">
        <v>43876</v>
      </c>
      <c r="C1401">
        <v>14.11760125</v>
      </c>
      <c r="D1401" t="s">
        <v>240</v>
      </c>
    </row>
    <row r="1402" spans="1:4" x14ac:dyDescent="0.35">
      <c r="A1402" t="s">
        <v>35</v>
      </c>
      <c r="B1402" s="88">
        <v>43966</v>
      </c>
      <c r="C1402">
        <v>13.195301249999998</v>
      </c>
      <c r="D1402" t="s">
        <v>240</v>
      </c>
    </row>
    <row r="1403" spans="1:4" x14ac:dyDescent="0.35">
      <c r="A1403" t="s">
        <v>35</v>
      </c>
      <c r="B1403" s="88">
        <v>44058</v>
      </c>
      <c r="C1403">
        <v>13.195301249999998</v>
      </c>
      <c r="D1403" t="s">
        <v>240</v>
      </c>
    </row>
    <row r="1404" spans="1:4" x14ac:dyDescent="0.35">
      <c r="A1404" t="s">
        <v>35</v>
      </c>
      <c r="B1404" s="88">
        <v>44150</v>
      </c>
      <c r="C1404">
        <v>13.195301249999998</v>
      </c>
      <c r="D1404" t="s">
        <v>240</v>
      </c>
    </row>
    <row r="1405" spans="1:4" x14ac:dyDescent="0.35">
      <c r="A1405" t="s">
        <v>35</v>
      </c>
      <c r="B1405" s="88">
        <v>44242</v>
      </c>
      <c r="C1405">
        <v>13.195301249999998</v>
      </c>
      <c r="D1405" t="s">
        <v>240</v>
      </c>
    </row>
    <row r="1406" spans="1:4" x14ac:dyDescent="0.35">
      <c r="A1406" t="s">
        <v>35</v>
      </c>
      <c r="B1406" s="88">
        <v>44331</v>
      </c>
      <c r="C1406">
        <v>14.284236250000001</v>
      </c>
      <c r="D1406" t="s">
        <v>240</v>
      </c>
    </row>
    <row r="1407" spans="1:4" x14ac:dyDescent="0.35">
      <c r="A1407" t="s">
        <v>35</v>
      </c>
      <c r="B1407" s="88">
        <v>44423</v>
      </c>
      <c r="C1407">
        <v>14.284236250000001</v>
      </c>
      <c r="D1407" t="s">
        <v>240</v>
      </c>
    </row>
    <row r="1408" spans="1:4" x14ac:dyDescent="0.35">
      <c r="A1408" t="s">
        <v>35</v>
      </c>
      <c r="B1408" s="88">
        <v>44515</v>
      </c>
      <c r="C1408">
        <v>14.284236250000001</v>
      </c>
      <c r="D1408" t="s">
        <v>240</v>
      </c>
    </row>
    <row r="1409" spans="1:4" x14ac:dyDescent="0.35">
      <c r="A1409" t="s">
        <v>35</v>
      </c>
      <c r="B1409" s="88">
        <v>44607</v>
      </c>
      <c r="C1409">
        <v>14.284236250000001</v>
      </c>
      <c r="D1409" t="s">
        <v>240</v>
      </c>
    </row>
    <row r="1410" spans="1:4" x14ac:dyDescent="0.35">
      <c r="A1410" t="s">
        <v>35</v>
      </c>
      <c r="B1410" s="88">
        <v>44696</v>
      </c>
      <c r="C1410">
        <v>16.3502975</v>
      </c>
      <c r="D1410" t="s">
        <v>240</v>
      </c>
    </row>
    <row r="1411" spans="1:4" x14ac:dyDescent="0.35">
      <c r="A1411" t="s">
        <v>35</v>
      </c>
      <c r="B1411" s="88">
        <v>44788</v>
      </c>
      <c r="C1411">
        <v>16.3502975</v>
      </c>
      <c r="D1411" t="s">
        <v>240</v>
      </c>
    </row>
    <row r="1412" spans="1:4" x14ac:dyDescent="0.35">
      <c r="A1412" t="s">
        <v>35</v>
      </c>
      <c r="B1412" s="88">
        <v>44880</v>
      </c>
      <c r="C1412">
        <v>16.3502975</v>
      </c>
      <c r="D1412" t="s">
        <v>240</v>
      </c>
    </row>
    <row r="1413" spans="1:4" x14ac:dyDescent="0.35">
      <c r="A1413" t="s">
        <v>35</v>
      </c>
      <c r="B1413" s="88">
        <v>44972</v>
      </c>
      <c r="C1413">
        <v>16.3502975</v>
      </c>
      <c r="D1413" t="s">
        <v>240</v>
      </c>
    </row>
    <row r="1414" spans="1:4" x14ac:dyDescent="0.35">
      <c r="A1414" t="s">
        <v>35</v>
      </c>
      <c r="B1414" s="88">
        <v>45061</v>
      </c>
      <c r="C1414">
        <v>18.925010937500002</v>
      </c>
      <c r="D1414" t="s">
        <v>240</v>
      </c>
    </row>
    <row r="1415" spans="1:4" x14ac:dyDescent="0.35">
      <c r="A1415" t="s">
        <v>35</v>
      </c>
      <c r="B1415" s="88">
        <v>45153</v>
      </c>
      <c r="C1415">
        <v>18.925010937500002</v>
      </c>
      <c r="D1415" t="s">
        <v>240</v>
      </c>
    </row>
    <row r="1416" spans="1:4" x14ac:dyDescent="0.35">
      <c r="A1416" t="s">
        <v>35</v>
      </c>
      <c r="B1416" s="88">
        <v>45245</v>
      </c>
      <c r="C1416">
        <v>18.925010937500002</v>
      </c>
      <c r="D1416" t="s">
        <v>240</v>
      </c>
    </row>
    <row r="1417" spans="1:4" x14ac:dyDescent="0.35">
      <c r="A1417" t="s">
        <v>35</v>
      </c>
      <c r="B1417" s="88">
        <v>45337</v>
      </c>
      <c r="C1417">
        <v>18.925010937500002</v>
      </c>
      <c r="D1417" t="s">
        <v>240</v>
      </c>
    </row>
    <row r="1418" spans="1:4" x14ac:dyDescent="0.35">
      <c r="A1418" t="s">
        <v>35</v>
      </c>
      <c r="B1418" s="88">
        <v>45427</v>
      </c>
      <c r="C1418">
        <v>20.511273924180301</v>
      </c>
      <c r="D1418" t="s">
        <v>240</v>
      </c>
    </row>
    <row r="1419" spans="1:4" x14ac:dyDescent="0.35">
      <c r="A1419" t="s">
        <v>35</v>
      </c>
      <c r="B1419" s="88">
        <v>45519</v>
      </c>
      <c r="C1419">
        <v>20.511273924180301</v>
      </c>
      <c r="D1419" t="s">
        <v>240</v>
      </c>
    </row>
    <row r="1420" spans="1:4" x14ac:dyDescent="0.35">
      <c r="A1420" t="s">
        <v>35</v>
      </c>
      <c r="B1420" s="88">
        <v>45611</v>
      </c>
      <c r="C1420">
        <v>20.511273924180301</v>
      </c>
      <c r="D1420" t="s">
        <v>240</v>
      </c>
    </row>
    <row r="1421" spans="1:4" x14ac:dyDescent="0.35">
      <c r="A1421" t="s">
        <v>35</v>
      </c>
      <c r="B1421" s="88">
        <v>45703</v>
      </c>
      <c r="C1421">
        <v>20.511273924180301</v>
      </c>
      <c r="D1421" t="s">
        <v>240</v>
      </c>
    </row>
    <row r="1422" spans="1:4" x14ac:dyDescent="0.35">
      <c r="A1422" t="s">
        <v>35</v>
      </c>
      <c r="B1422" s="88">
        <v>45792</v>
      </c>
      <c r="C1422">
        <v>21.8256924052254</v>
      </c>
      <c r="D1422" t="s">
        <v>240</v>
      </c>
    </row>
    <row r="1423" spans="1:4" x14ac:dyDescent="0.35">
      <c r="A1423" t="s">
        <v>35</v>
      </c>
      <c r="B1423" s="88">
        <v>45884</v>
      </c>
      <c r="C1423">
        <v>21.8256924052254</v>
      </c>
      <c r="D1423" t="s">
        <v>240</v>
      </c>
    </row>
    <row r="1424" spans="1:4" x14ac:dyDescent="0.35">
      <c r="A1424" t="s">
        <v>35</v>
      </c>
      <c r="B1424" s="88">
        <v>45976</v>
      </c>
      <c r="C1424">
        <v>21.8256924052254</v>
      </c>
      <c r="D1424" t="s">
        <v>240</v>
      </c>
    </row>
    <row r="1425" spans="1:4" x14ac:dyDescent="0.35">
      <c r="A1425" t="s">
        <v>35</v>
      </c>
      <c r="B1425" s="88">
        <v>46068</v>
      </c>
      <c r="C1425">
        <v>21.8256924052254</v>
      </c>
      <c r="D1425" t="s">
        <v>240</v>
      </c>
    </row>
    <row r="1426" spans="1:4" x14ac:dyDescent="0.35">
      <c r="A1426" t="s">
        <v>35</v>
      </c>
      <c r="B1426" s="88">
        <v>46157</v>
      </c>
      <c r="C1426">
        <v>24.733121874999998</v>
      </c>
      <c r="D1426" t="s">
        <v>240</v>
      </c>
    </row>
    <row r="1427" spans="1:4" x14ac:dyDescent="0.35">
      <c r="A1427" t="s">
        <v>35</v>
      </c>
      <c r="B1427" s="88">
        <v>46249</v>
      </c>
      <c r="C1427">
        <v>24.733121874999998</v>
      </c>
      <c r="D1427" t="s">
        <v>240</v>
      </c>
    </row>
    <row r="1428" spans="1:4" x14ac:dyDescent="0.35">
      <c r="A1428" t="s">
        <v>81</v>
      </c>
      <c r="B1428" s="88">
        <v>43511</v>
      </c>
      <c r="C1428">
        <v>8.6472812500000007</v>
      </c>
      <c r="D1428" t="s">
        <v>240</v>
      </c>
    </row>
    <row r="1429" spans="1:4" x14ac:dyDescent="0.35">
      <c r="A1429" t="s">
        <v>81</v>
      </c>
      <c r="B1429" s="88">
        <v>43600</v>
      </c>
      <c r="C1429">
        <v>8.6760312499999994</v>
      </c>
      <c r="D1429" t="s">
        <v>240</v>
      </c>
    </row>
    <row r="1430" spans="1:4" x14ac:dyDescent="0.35">
      <c r="A1430" t="s">
        <v>81</v>
      </c>
      <c r="B1430" s="88">
        <v>43692</v>
      </c>
      <c r="C1430">
        <v>8.6760312499999994</v>
      </c>
      <c r="D1430" t="s">
        <v>240</v>
      </c>
    </row>
    <row r="1431" spans="1:4" x14ac:dyDescent="0.35">
      <c r="A1431" t="s">
        <v>81</v>
      </c>
      <c r="B1431" s="88">
        <v>43784</v>
      </c>
      <c r="C1431">
        <v>8.6760312499999994</v>
      </c>
      <c r="D1431" t="s">
        <v>240</v>
      </c>
    </row>
    <row r="1432" spans="1:4" x14ac:dyDescent="0.35">
      <c r="A1432" t="s">
        <v>81</v>
      </c>
      <c r="B1432" s="88">
        <v>43876</v>
      </c>
      <c r="C1432">
        <v>8.6760312499999994</v>
      </c>
      <c r="D1432" t="s">
        <v>240</v>
      </c>
    </row>
    <row r="1433" spans="1:4" x14ac:dyDescent="0.35">
      <c r="A1433" t="s">
        <v>81</v>
      </c>
      <c r="B1433" s="88">
        <v>43966</v>
      </c>
      <c r="C1433">
        <v>8.6593203124999985</v>
      </c>
      <c r="D1433" t="s">
        <v>240</v>
      </c>
    </row>
    <row r="1434" spans="1:4" x14ac:dyDescent="0.35">
      <c r="A1434" t="s">
        <v>81</v>
      </c>
      <c r="B1434" s="88">
        <v>44058</v>
      </c>
      <c r="C1434">
        <v>8.6593203124999985</v>
      </c>
      <c r="D1434" t="s">
        <v>240</v>
      </c>
    </row>
    <row r="1435" spans="1:4" x14ac:dyDescent="0.35">
      <c r="A1435" t="s">
        <v>81</v>
      </c>
      <c r="B1435" s="88">
        <v>44150</v>
      </c>
      <c r="C1435">
        <v>8.6593203124999985</v>
      </c>
      <c r="D1435" t="s">
        <v>240</v>
      </c>
    </row>
    <row r="1436" spans="1:4" x14ac:dyDescent="0.35">
      <c r="A1436" t="s">
        <v>81</v>
      </c>
      <c r="B1436" s="88">
        <v>44242</v>
      </c>
      <c r="C1436">
        <v>8.6593203124999985</v>
      </c>
      <c r="D1436" t="s">
        <v>240</v>
      </c>
    </row>
    <row r="1437" spans="1:4" x14ac:dyDescent="0.35">
      <c r="A1437" t="s">
        <v>81</v>
      </c>
      <c r="B1437" s="88">
        <v>44331</v>
      </c>
      <c r="C1437">
        <v>9.3148203124999984</v>
      </c>
      <c r="D1437" t="s">
        <v>240</v>
      </c>
    </row>
    <row r="1438" spans="1:4" x14ac:dyDescent="0.35">
      <c r="A1438" t="s">
        <v>81</v>
      </c>
      <c r="B1438" s="88">
        <v>44423</v>
      </c>
      <c r="C1438">
        <v>9.3148203124999984</v>
      </c>
      <c r="D1438" t="s">
        <v>240</v>
      </c>
    </row>
    <row r="1439" spans="1:4" x14ac:dyDescent="0.35">
      <c r="A1439" t="s">
        <v>81</v>
      </c>
      <c r="B1439" s="88">
        <v>44515</v>
      </c>
      <c r="C1439">
        <v>9.3148203124999984</v>
      </c>
      <c r="D1439" t="s">
        <v>240</v>
      </c>
    </row>
    <row r="1440" spans="1:4" x14ac:dyDescent="0.35">
      <c r="A1440" t="s">
        <v>81</v>
      </c>
      <c r="B1440" s="88">
        <v>44607</v>
      </c>
      <c r="C1440">
        <v>9.3148203124999984</v>
      </c>
      <c r="D1440" t="s">
        <v>240</v>
      </c>
    </row>
    <row r="1441" spans="1:4" x14ac:dyDescent="0.35">
      <c r="A1441" t="s">
        <v>81</v>
      </c>
      <c r="B1441" s="88">
        <v>44696</v>
      </c>
      <c r="C1441">
        <v>10.660140624999999</v>
      </c>
      <c r="D1441" t="s">
        <v>240</v>
      </c>
    </row>
    <row r="1442" spans="1:4" x14ac:dyDescent="0.35">
      <c r="A1442" t="s">
        <v>81</v>
      </c>
      <c r="B1442" s="88">
        <v>44788</v>
      </c>
      <c r="C1442">
        <v>10.660140624999999</v>
      </c>
      <c r="D1442" t="s">
        <v>240</v>
      </c>
    </row>
    <row r="1443" spans="1:4" x14ac:dyDescent="0.35">
      <c r="A1443" t="s">
        <v>81</v>
      </c>
      <c r="B1443" s="88">
        <v>44880</v>
      </c>
      <c r="C1443">
        <v>10.660140624999999</v>
      </c>
      <c r="D1443" t="s">
        <v>240</v>
      </c>
    </row>
    <row r="1444" spans="1:4" x14ac:dyDescent="0.35">
      <c r="A1444" t="s">
        <v>81</v>
      </c>
      <c r="B1444" s="88">
        <v>44972</v>
      </c>
      <c r="C1444">
        <v>10.660140624999999</v>
      </c>
      <c r="D1444" t="s">
        <v>240</v>
      </c>
    </row>
    <row r="1445" spans="1:4" x14ac:dyDescent="0.35">
      <c r="A1445" t="s">
        <v>81</v>
      </c>
      <c r="B1445" s="88">
        <v>45061</v>
      </c>
      <c r="C1445">
        <v>10.712710937500001</v>
      </c>
      <c r="D1445" t="s">
        <v>240</v>
      </c>
    </row>
    <row r="1446" spans="1:4" x14ac:dyDescent="0.35">
      <c r="A1446" t="s">
        <v>81</v>
      </c>
      <c r="B1446" s="88">
        <v>45153</v>
      </c>
      <c r="C1446">
        <v>10.712710937500001</v>
      </c>
      <c r="D1446" t="s">
        <v>240</v>
      </c>
    </row>
    <row r="1447" spans="1:4" x14ac:dyDescent="0.35">
      <c r="A1447" t="s">
        <v>81</v>
      </c>
      <c r="B1447" s="88">
        <v>45245</v>
      </c>
      <c r="C1447">
        <v>10.712710937500001</v>
      </c>
      <c r="D1447" t="s">
        <v>240</v>
      </c>
    </row>
    <row r="1448" spans="1:4" x14ac:dyDescent="0.35">
      <c r="A1448" t="s">
        <v>81</v>
      </c>
      <c r="B1448" s="88">
        <v>45337</v>
      </c>
      <c r="C1448">
        <v>10.712710937500001</v>
      </c>
      <c r="D1448" t="s">
        <v>240</v>
      </c>
    </row>
    <row r="1449" spans="1:4" x14ac:dyDescent="0.35">
      <c r="A1449" t="s">
        <v>81</v>
      </c>
      <c r="B1449" s="88">
        <v>45427</v>
      </c>
      <c r="C1449">
        <v>11.9216739241803</v>
      </c>
      <c r="D1449" t="s">
        <v>240</v>
      </c>
    </row>
    <row r="1450" spans="1:4" x14ac:dyDescent="0.35">
      <c r="A1450" t="s">
        <v>81</v>
      </c>
      <c r="B1450" s="88">
        <v>45519</v>
      </c>
      <c r="C1450">
        <v>11.9216739241803</v>
      </c>
      <c r="D1450" t="s">
        <v>240</v>
      </c>
    </row>
    <row r="1451" spans="1:4" x14ac:dyDescent="0.35">
      <c r="A1451" t="s">
        <v>81</v>
      </c>
      <c r="B1451" s="88">
        <v>45611</v>
      </c>
      <c r="C1451">
        <v>11.9216739241803</v>
      </c>
      <c r="D1451" t="s">
        <v>240</v>
      </c>
    </row>
    <row r="1452" spans="1:4" x14ac:dyDescent="0.35">
      <c r="A1452" t="s">
        <v>81</v>
      </c>
      <c r="B1452" s="88">
        <v>45703</v>
      </c>
      <c r="C1452">
        <v>11.9216739241803</v>
      </c>
      <c r="D1452" t="s">
        <v>240</v>
      </c>
    </row>
    <row r="1453" spans="1:4" x14ac:dyDescent="0.35">
      <c r="A1453" t="s">
        <v>81</v>
      </c>
      <c r="B1453" s="88">
        <v>45792</v>
      </c>
      <c r="C1453">
        <v>13.957092405225399</v>
      </c>
      <c r="D1453" t="s">
        <v>240</v>
      </c>
    </row>
    <row r="1454" spans="1:4" x14ac:dyDescent="0.35">
      <c r="A1454" t="s">
        <v>81</v>
      </c>
      <c r="B1454" s="88">
        <v>45884</v>
      </c>
      <c r="C1454">
        <v>13.957092405225399</v>
      </c>
      <c r="D1454" t="s">
        <v>240</v>
      </c>
    </row>
    <row r="1455" spans="1:4" x14ac:dyDescent="0.35">
      <c r="A1455" t="s">
        <v>81</v>
      </c>
      <c r="B1455" s="88">
        <v>45976</v>
      </c>
      <c r="C1455">
        <v>13.957092405225399</v>
      </c>
      <c r="D1455" t="s">
        <v>240</v>
      </c>
    </row>
    <row r="1456" spans="1:4" x14ac:dyDescent="0.35">
      <c r="A1456" t="s">
        <v>81</v>
      </c>
      <c r="B1456" s="88">
        <v>46068</v>
      </c>
      <c r="C1456">
        <v>13.957092405225399</v>
      </c>
      <c r="D1456" t="s">
        <v>240</v>
      </c>
    </row>
    <row r="1457" spans="1:4" x14ac:dyDescent="0.35">
      <c r="A1457" t="s">
        <v>81</v>
      </c>
      <c r="B1457" s="88">
        <v>46157</v>
      </c>
      <c r="C1457">
        <v>16.795421874999999</v>
      </c>
      <c r="D1457" t="s">
        <v>240</v>
      </c>
    </row>
    <row r="1458" spans="1:4" x14ac:dyDescent="0.35">
      <c r="A1458" t="s">
        <v>81</v>
      </c>
      <c r="B1458" s="88">
        <v>46249</v>
      </c>
      <c r="C1458">
        <v>16.795421874999999</v>
      </c>
      <c r="D1458" t="s">
        <v>240</v>
      </c>
    </row>
    <row r="1459" spans="1:4" x14ac:dyDescent="0.35">
      <c r="A1459" t="s">
        <v>27</v>
      </c>
      <c r="B1459" s="88">
        <v>43511</v>
      </c>
      <c r="C1459">
        <v>10.236581249999999</v>
      </c>
      <c r="D1459" t="s">
        <v>240</v>
      </c>
    </row>
    <row r="1460" spans="1:4" x14ac:dyDescent="0.35">
      <c r="A1460" t="s">
        <v>27</v>
      </c>
      <c r="B1460" s="88">
        <v>43600</v>
      </c>
      <c r="C1460">
        <v>10.42035125</v>
      </c>
      <c r="D1460" t="s">
        <v>240</v>
      </c>
    </row>
    <row r="1461" spans="1:4" x14ac:dyDescent="0.35">
      <c r="A1461" t="s">
        <v>27</v>
      </c>
      <c r="B1461" s="88">
        <v>43692</v>
      </c>
      <c r="C1461">
        <v>10.42035125</v>
      </c>
      <c r="D1461" t="s">
        <v>240</v>
      </c>
    </row>
    <row r="1462" spans="1:4" x14ac:dyDescent="0.35">
      <c r="A1462" t="s">
        <v>27</v>
      </c>
      <c r="B1462" s="88">
        <v>43784</v>
      </c>
      <c r="C1462">
        <v>10.42035125</v>
      </c>
      <c r="D1462" t="s">
        <v>240</v>
      </c>
    </row>
    <row r="1463" spans="1:4" x14ac:dyDescent="0.35">
      <c r="A1463" t="s">
        <v>27</v>
      </c>
      <c r="B1463" s="88">
        <v>43876</v>
      </c>
      <c r="C1463">
        <v>10.42035125</v>
      </c>
      <c r="D1463" t="s">
        <v>240</v>
      </c>
    </row>
    <row r="1464" spans="1:4" x14ac:dyDescent="0.35">
      <c r="A1464" t="s">
        <v>27</v>
      </c>
      <c r="B1464" s="88">
        <v>43966</v>
      </c>
      <c r="C1464">
        <v>9.6329462499999998</v>
      </c>
      <c r="D1464" t="s">
        <v>240</v>
      </c>
    </row>
    <row r="1465" spans="1:4" x14ac:dyDescent="0.35">
      <c r="A1465" t="s">
        <v>27</v>
      </c>
      <c r="B1465" s="88">
        <v>44058</v>
      </c>
      <c r="C1465">
        <v>9.6329462499999998</v>
      </c>
      <c r="D1465" t="s">
        <v>240</v>
      </c>
    </row>
    <row r="1466" spans="1:4" x14ac:dyDescent="0.35">
      <c r="A1466" t="s">
        <v>27</v>
      </c>
      <c r="B1466" s="88">
        <v>44150</v>
      </c>
      <c r="C1466">
        <v>9.6329462499999998</v>
      </c>
      <c r="D1466" t="s">
        <v>240</v>
      </c>
    </row>
    <row r="1467" spans="1:4" x14ac:dyDescent="0.35">
      <c r="A1467" t="s">
        <v>27</v>
      </c>
      <c r="B1467" s="88">
        <v>44242</v>
      </c>
      <c r="C1467">
        <v>9.6329462499999998</v>
      </c>
      <c r="D1467" t="s">
        <v>240</v>
      </c>
    </row>
    <row r="1468" spans="1:4" x14ac:dyDescent="0.35">
      <c r="A1468" t="s">
        <v>27</v>
      </c>
      <c r="B1468" s="88">
        <v>44331</v>
      </c>
      <c r="C1468">
        <v>10.345026250000002</v>
      </c>
      <c r="D1468" t="s">
        <v>240</v>
      </c>
    </row>
    <row r="1469" spans="1:4" x14ac:dyDescent="0.35">
      <c r="A1469" t="s">
        <v>27</v>
      </c>
      <c r="B1469" s="88">
        <v>44423</v>
      </c>
      <c r="C1469">
        <v>10.345026250000002</v>
      </c>
      <c r="D1469" t="s">
        <v>240</v>
      </c>
    </row>
    <row r="1470" spans="1:4" x14ac:dyDescent="0.35">
      <c r="A1470" t="s">
        <v>27</v>
      </c>
      <c r="B1470" s="88">
        <v>44515</v>
      </c>
      <c r="C1470">
        <v>10.345026250000002</v>
      </c>
      <c r="D1470" t="s">
        <v>240</v>
      </c>
    </row>
    <row r="1471" spans="1:4" x14ac:dyDescent="0.35">
      <c r="A1471" t="s">
        <v>27</v>
      </c>
      <c r="B1471" s="88">
        <v>44607</v>
      </c>
      <c r="C1471">
        <v>10.345026250000002</v>
      </c>
      <c r="D1471" t="s">
        <v>240</v>
      </c>
    </row>
    <row r="1472" spans="1:4" x14ac:dyDescent="0.35">
      <c r="A1472" t="s">
        <v>27</v>
      </c>
      <c r="B1472" s="88">
        <v>44696</v>
      </c>
      <c r="C1472">
        <v>12.2188075</v>
      </c>
      <c r="D1472" t="s">
        <v>240</v>
      </c>
    </row>
    <row r="1473" spans="1:4" x14ac:dyDescent="0.35">
      <c r="A1473" t="s">
        <v>27</v>
      </c>
      <c r="B1473" s="88">
        <v>44788</v>
      </c>
      <c r="C1473">
        <v>12.2188075</v>
      </c>
      <c r="D1473" t="s">
        <v>240</v>
      </c>
    </row>
    <row r="1474" spans="1:4" x14ac:dyDescent="0.35">
      <c r="A1474" t="s">
        <v>27</v>
      </c>
      <c r="B1474" s="88">
        <v>44880</v>
      </c>
      <c r="C1474">
        <v>12.2188075</v>
      </c>
      <c r="D1474" t="s">
        <v>240</v>
      </c>
    </row>
    <row r="1475" spans="1:4" x14ac:dyDescent="0.35">
      <c r="A1475" t="s">
        <v>27</v>
      </c>
      <c r="B1475" s="88">
        <v>44972</v>
      </c>
      <c r="C1475">
        <v>12.2188075</v>
      </c>
      <c r="D1475" t="s">
        <v>240</v>
      </c>
    </row>
    <row r="1476" spans="1:4" x14ac:dyDescent="0.35">
      <c r="A1476" t="s">
        <v>27</v>
      </c>
      <c r="B1476" s="88">
        <v>45061</v>
      </c>
      <c r="C1476">
        <v>13.094510937500001</v>
      </c>
      <c r="D1476" t="s">
        <v>240</v>
      </c>
    </row>
    <row r="1477" spans="1:4" x14ac:dyDescent="0.35">
      <c r="A1477" t="s">
        <v>27</v>
      </c>
      <c r="B1477" s="88">
        <v>45153</v>
      </c>
      <c r="C1477">
        <v>13.094510937500001</v>
      </c>
      <c r="D1477" t="s">
        <v>240</v>
      </c>
    </row>
    <row r="1478" spans="1:4" x14ac:dyDescent="0.35">
      <c r="A1478" t="s">
        <v>27</v>
      </c>
      <c r="B1478" s="88">
        <v>45245</v>
      </c>
      <c r="C1478">
        <v>13.094510937500001</v>
      </c>
      <c r="D1478" t="s">
        <v>240</v>
      </c>
    </row>
    <row r="1479" spans="1:4" x14ac:dyDescent="0.35">
      <c r="A1479" t="s">
        <v>27</v>
      </c>
      <c r="B1479" s="88">
        <v>45337</v>
      </c>
      <c r="C1479">
        <v>13.094510937500001</v>
      </c>
      <c r="D1479" t="s">
        <v>240</v>
      </c>
    </row>
    <row r="1480" spans="1:4" x14ac:dyDescent="0.35">
      <c r="A1480" t="s">
        <v>27</v>
      </c>
      <c r="B1480" s="88">
        <v>45427</v>
      </c>
      <c r="C1480">
        <v>14.540473924180301</v>
      </c>
      <c r="D1480" t="s">
        <v>240</v>
      </c>
    </row>
    <row r="1481" spans="1:4" x14ac:dyDescent="0.35">
      <c r="A1481" t="s">
        <v>27</v>
      </c>
      <c r="B1481" s="88">
        <v>45519</v>
      </c>
      <c r="C1481">
        <v>14.540473924180301</v>
      </c>
      <c r="D1481" t="s">
        <v>240</v>
      </c>
    </row>
    <row r="1482" spans="1:4" x14ac:dyDescent="0.35">
      <c r="A1482" t="s">
        <v>27</v>
      </c>
      <c r="B1482" s="88">
        <v>45611</v>
      </c>
      <c r="C1482">
        <v>14.540473924180301</v>
      </c>
      <c r="D1482" t="s">
        <v>240</v>
      </c>
    </row>
    <row r="1483" spans="1:4" x14ac:dyDescent="0.35">
      <c r="A1483" t="s">
        <v>27</v>
      </c>
      <c r="B1483" s="88">
        <v>45703</v>
      </c>
      <c r="C1483">
        <v>14.540473924180301</v>
      </c>
      <c r="D1483" t="s">
        <v>240</v>
      </c>
    </row>
    <row r="1484" spans="1:4" x14ac:dyDescent="0.35">
      <c r="A1484" t="s">
        <v>27</v>
      </c>
      <c r="B1484" s="88">
        <v>45792</v>
      </c>
      <c r="C1484">
        <v>15.6501924052254</v>
      </c>
      <c r="D1484" t="s">
        <v>240</v>
      </c>
    </row>
    <row r="1485" spans="1:4" x14ac:dyDescent="0.35">
      <c r="A1485" t="s">
        <v>27</v>
      </c>
      <c r="B1485" s="88">
        <v>45884</v>
      </c>
      <c r="C1485">
        <v>15.6501924052254</v>
      </c>
      <c r="D1485" t="s">
        <v>240</v>
      </c>
    </row>
    <row r="1486" spans="1:4" x14ac:dyDescent="0.35">
      <c r="A1486" t="s">
        <v>27</v>
      </c>
      <c r="B1486" s="88">
        <v>45976</v>
      </c>
      <c r="C1486">
        <v>15.6501924052254</v>
      </c>
      <c r="D1486" t="s">
        <v>240</v>
      </c>
    </row>
    <row r="1487" spans="1:4" x14ac:dyDescent="0.35">
      <c r="A1487" t="s">
        <v>27</v>
      </c>
      <c r="B1487" s="88">
        <v>46068</v>
      </c>
      <c r="C1487">
        <v>15.6501924052254</v>
      </c>
      <c r="D1487" t="s">
        <v>240</v>
      </c>
    </row>
    <row r="1488" spans="1:4" x14ac:dyDescent="0.35">
      <c r="A1488" t="s">
        <v>27</v>
      </c>
      <c r="B1488" s="88">
        <v>46157</v>
      </c>
      <c r="C1488">
        <v>18.297721875000001</v>
      </c>
      <c r="D1488" t="s">
        <v>240</v>
      </c>
    </row>
    <row r="1489" spans="1:4" x14ac:dyDescent="0.35">
      <c r="A1489" t="s">
        <v>27</v>
      </c>
      <c r="B1489" s="88">
        <v>46249</v>
      </c>
      <c r="C1489">
        <v>18.297721875000001</v>
      </c>
      <c r="D1489" t="s">
        <v>240</v>
      </c>
    </row>
    <row r="1490" spans="1:4" x14ac:dyDescent="0.35">
      <c r="A1490" t="s">
        <v>26</v>
      </c>
      <c r="B1490" s="88">
        <v>43511</v>
      </c>
      <c r="C1490">
        <v>17.064670312499999</v>
      </c>
      <c r="D1490" t="s">
        <v>240</v>
      </c>
    </row>
    <row r="1491" spans="1:4" x14ac:dyDescent="0.35">
      <c r="A1491" t="s">
        <v>26</v>
      </c>
      <c r="B1491" s="88">
        <v>43600</v>
      </c>
      <c r="C1491">
        <v>16.986470312499996</v>
      </c>
      <c r="D1491" t="s">
        <v>240</v>
      </c>
    </row>
    <row r="1492" spans="1:4" x14ac:dyDescent="0.35">
      <c r="A1492" t="s">
        <v>26</v>
      </c>
      <c r="B1492" s="88">
        <v>43692</v>
      </c>
      <c r="C1492">
        <v>16.986470312499996</v>
      </c>
      <c r="D1492" t="s">
        <v>240</v>
      </c>
    </row>
    <row r="1493" spans="1:4" x14ac:dyDescent="0.35">
      <c r="A1493" t="s">
        <v>26</v>
      </c>
      <c r="B1493" s="88">
        <v>43784</v>
      </c>
      <c r="C1493">
        <v>16.986470312499996</v>
      </c>
      <c r="D1493" t="s">
        <v>240</v>
      </c>
    </row>
    <row r="1494" spans="1:4" x14ac:dyDescent="0.35">
      <c r="A1494" t="s">
        <v>26</v>
      </c>
      <c r="B1494" s="88">
        <v>43876</v>
      </c>
      <c r="C1494">
        <v>16.986470312499996</v>
      </c>
      <c r="D1494" t="s">
        <v>240</v>
      </c>
    </row>
    <row r="1495" spans="1:4" x14ac:dyDescent="0.35">
      <c r="A1495" t="s">
        <v>26</v>
      </c>
      <c r="B1495" s="88">
        <v>43966</v>
      </c>
      <c r="C1495">
        <v>16.9864703125</v>
      </c>
      <c r="D1495" t="s">
        <v>240</v>
      </c>
    </row>
    <row r="1496" spans="1:4" x14ac:dyDescent="0.35">
      <c r="A1496" t="s">
        <v>26</v>
      </c>
      <c r="B1496" s="88">
        <v>44058</v>
      </c>
      <c r="C1496">
        <v>16.9864703125</v>
      </c>
      <c r="D1496" t="s">
        <v>240</v>
      </c>
    </row>
    <row r="1497" spans="1:4" x14ac:dyDescent="0.35">
      <c r="A1497" t="s">
        <v>26</v>
      </c>
      <c r="B1497" s="88">
        <v>44150</v>
      </c>
      <c r="C1497">
        <v>16.9864703125</v>
      </c>
      <c r="D1497" t="s">
        <v>240</v>
      </c>
    </row>
    <row r="1498" spans="1:4" x14ac:dyDescent="0.35">
      <c r="A1498" t="s">
        <v>26</v>
      </c>
      <c r="B1498" s="88">
        <v>44242</v>
      </c>
      <c r="C1498">
        <v>16.9864703125</v>
      </c>
      <c r="D1498" t="s">
        <v>240</v>
      </c>
    </row>
    <row r="1499" spans="1:4" x14ac:dyDescent="0.35">
      <c r="A1499" t="s">
        <v>26</v>
      </c>
      <c r="B1499" s="88">
        <v>44331</v>
      </c>
      <c r="C1499">
        <v>16.586270312499998</v>
      </c>
      <c r="D1499" t="s">
        <v>240</v>
      </c>
    </row>
    <row r="1500" spans="1:4" x14ac:dyDescent="0.35">
      <c r="A1500" t="s">
        <v>26</v>
      </c>
      <c r="B1500" s="88">
        <v>44423</v>
      </c>
      <c r="C1500">
        <v>16.586270312499998</v>
      </c>
      <c r="D1500" t="s">
        <v>240</v>
      </c>
    </row>
    <row r="1501" spans="1:4" x14ac:dyDescent="0.35">
      <c r="A1501" t="s">
        <v>26</v>
      </c>
      <c r="B1501" s="88">
        <v>44515</v>
      </c>
      <c r="C1501">
        <v>16.586270312499998</v>
      </c>
      <c r="D1501" t="s">
        <v>240</v>
      </c>
    </row>
    <row r="1502" spans="1:4" x14ac:dyDescent="0.35">
      <c r="A1502" t="s">
        <v>26</v>
      </c>
      <c r="B1502" s="88">
        <v>44607</v>
      </c>
      <c r="C1502">
        <v>16.586270312499998</v>
      </c>
      <c r="D1502" t="s">
        <v>240</v>
      </c>
    </row>
    <row r="1503" spans="1:4" x14ac:dyDescent="0.35">
      <c r="A1503" t="s">
        <v>26</v>
      </c>
      <c r="B1503" s="88">
        <v>44696</v>
      </c>
      <c r="C1503">
        <v>16.396340624999997</v>
      </c>
      <c r="D1503" t="s">
        <v>240</v>
      </c>
    </row>
    <row r="1504" spans="1:4" x14ac:dyDescent="0.35">
      <c r="A1504" t="s">
        <v>26</v>
      </c>
      <c r="B1504" s="88">
        <v>44788</v>
      </c>
      <c r="C1504">
        <v>16.396340624999997</v>
      </c>
      <c r="D1504" t="s">
        <v>240</v>
      </c>
    </row>
    <row r="1505" spans="1:4" x14ac:dyDescent="0.35">
      <c r="A1505" t="s">
        <v>26</v>
      </c>
      <c r="B1505" s="88">
        <v>44880</v>
      </c>
      <c r="C1505">
        <v>16.396340624999997</v>
      </c>
      <c r="D1505" t="s">
        <v>240</v>
      </c>
    </row>
    <row r="1506" spans="1:4" x14ac:dyDescent="0.35">
      <c r="A1506" t="s">
        <v>26</v>
      </c>
      <c r="B1506" s="88">
        <v>44972</v>
      </c>
      <c r="C1506">
        <v>16.396340624999997</v>
      </c>
      <c r="D1506" t="s">
        <v>240</v>
      </c>
    </row>
    <row r="1507" spans="1:4" x14ac:dyDescent="0.35">
      <c r="A1507" t="s">
        <v>26</v>
      </c>
      <c r="B1507" s="88">
        <v>45061</v>
      </c>
      <c r="C1507">
        <v>16.3237109375</v>
      </c>
      <c r="D1507" t="s">
        <v>240</v>
      </c>
    </row>
    <row r="1508" spans="1:4" x14ac:dyDescent="0.35">
      <c r="A1508" t="s">
        <v>26</v>
      </c>
      <c r="B1508" s="88">
        <v>45153</v>
      </c>
      <c r="C1508">
        <v>16.3237109375</v>
      </c>
      <c r="D1508" t="s">
        <v>240</v>
      </c>
    </row>
    <row r="1509" spans="1:4" x14ac:dyDescent="0.35">
      <c r="A1509" t="s">
        <v>26</v>
      </c>
      <c r="B1509" s="88">
        <v>45245</v>
      </c>
      <c r="C1509">
        <v>16.3237109375</v>
      </c>
      <c r="D1509" t="s">
        <v>240</v>
      </c>
    </row>
    <row r="1510" spans="1:4" x14ac:dyDescent="0.35">
      <c r="A1510" t="s">
        <v>26</v>
      </c>
      <c r="B1510" s="88">
        <v>45337</v>
      </c>
      <c r="C1510">
        <v>16.3237109375</v>
      </c>
      <c r="D1510" t="s">
        <v>240</v>
      </c>
    </row>
    <row r="1511" spans="1:4" x14ac:dyDescent="0.35">
      <c r="A1511" t="s">
        <v>26</v>
      </c>
      <c r="B1511" s="88">
        <v>45427</v>
      </c>
      <c r="C1511">
        <v>17.711581249999998</v>
      </c>
      <c r="D1511" t="s">
        <v>240</v>
      </c>
    </row>
    <row r="1512" spans="1:4" x14ac:dyDescent="0.35">
      <c r="A1512" t="s">
        <v>26</v>
      </c>
      <c r="B1512" s="88">
        <v>45519</v>
      </c>
      <c r="C1512">
        <v>17.711581249999998</v>
      </c>
      <c r="D1512" t="s">
        <v>240</v>
      </c>
    </row>
    <row r="1513" spans="1:4" x14ac:dyDescent="0.35">
      <c r="A1513" t="s">
        <v>26</v>
      </c>
      <c r="B1513" s="88">
        <v>45611</v>
      </c>
      <c r="C1513">
        <v>17.711581249999998</v>
      </c>
      <c r="D1513" t="s">
        <v>240</v>
      </c>
    </row>
    <row r="1514" spans="1:4" x14ac:dyDescent="0.35">
      <c r="A1514" t="s">
        <v>26</v>
      </c>
      <c r="B1514" s="88">
        <v>45703</v>
      </c>
      <c r="C1514">
        <v>17.711581249999998</v>
      </c>
      <c r="D1514" t="s">
        <v>240</v>
      </c>
    </row>
    <row r="1515" spans="1:4" x14ac:dyDescent="0.35">
      <c r="A1515" t="s">
        <v>26</v>
      </c>
      <c r="B1515" s="88">
        <v>45792</v>
      </c>
      <c r="C1515">
        <v>18.563551562499999</v>
      </c>
      <c r="D1515" t="s">
        <v>240</v>
      </c>
    </row>
    <row r="1516" spans="1:4" x14ac:dyDescent="0.35">
      <c r="A1516" t="s">
        <v>26</v>
      </c>
      <c r="B1516" s="88">
        <v>45884</v>
      </c>
      <c r="C1516">
        <v>18.563551562499999</v>
      </c>
      <c r="D1516" t="s">
        <v>240</v>
      </c>
    </row>
    <row r="1517" spans="1:4" x14ac:dyDescent="0.35">
      <c r="A1517" t="s">
        <v>26</v>
      </c>
      <c r="B1517" s="88">
        <v>45976</v>
      </c>
      <c r="C1517">
        <v>18.563551562499999</v>
      </c>
      <c r="D1517" t="s">
        <v>240</v>
      </c>
    </row>
    <row r="1518" spans="1:4" x14ac:dyDescent="0.35">
      <c r="A1518" t="s">
        <v>26</v>
      </c>
      <c r="B1518" s="88">
        <v>46068</v>
      </c>
      <c r="C1518">
        <v>18.563551562499999</v>
      </c>
      <c r="D1518" t="s">
        <v>240</v>
      </c>
    </row>
    <row r="1519" spans="1:4" x14ac:dyDescent="0.35">
      <c r="A1519" t="s">
        <v>26</v>
      </c>
      <c r="B1519" s="88">
        <v>46157</v>
      </c>
      <c r="C1519">
        <v>18.210321875000002</v>
      </c>
      <c r="D1519" t="s">
        <v>240</v>
      </c>
    </row>
    <row r="1520" spans="1:4" x14ac:dyDescent="0.35">
      <c r="A1520" t="s">
        <v>26</v>
      </c>
      <c r="B1520" s="88">
        <v>46249</v>
      </c>
      <c r="C1520">
        <v>18.210321875000002</v>
      </c>
      <c r="D1520" t="s">
        <v>240</v>
      </c>
    </row>
    <row r="1521" spans="1:4" x14ac:dyDescent="0.35">
      <c r="A1521" t="s">
        <v>33</v>
      </c>
      <c r="B1521" s="88">
        <v>43511</v>
      </c>
      <c r="C1521">
        <v>19.9925703125</v>
      </c>
      <c r="D1521" t="s">
        <v>240</v>
      </c>
    </row>
    <row r="1522" spans="1:4" x14ac:dyDescent="0.35">
      <c r="A1522" t="s">
        <v>33</v>
      </c>
      <c r="B1522" s="88">
        <v>43600</v>
      </c>
      <c r="C1522">
        <v>19.992570312499996</v>
      </c>
      <c r="D1522" t="s">
        <v>240</v>
      </c>
    </row>
    <row r="1523" spans="1:4" x14ac:dyDescent="0.35">
      <c r="A1523" t="s">
        <v>33</v>
      </c>
      <c r="B1523" s="88">
        <v>43692</v>
      </c>
      <c r="C1523">
        <v>19.992570312499996</v>
      </c>
      <c r="D1523" t="s">
        <v>240</v>
      </c>
    </row>
    <row r="1524" spans="1:4" x14ac:dyDescent="0.35">
      <c r="A1524" t="s">
        <v>33</v>
      </c>
      <c r="B1524" s="88">
        <v>43784</v>
      </c>
      <c r="C1524">
        <v>19.992570312499996</v>
      </c>
      <c r="D1524" t="s">
        <v>240</v>
      </c>
    </row>
    <row r="1525" spans="1:4" x14ac:dyDescent="0.35">
      <c r="A1525" t="s">
        <v>33</v>
      </c>
      <c r="B1525" s="88">
        <v>43876</v>
      </c>
      <c r="C1525">
        <v>19.992570312499996</v>
      </c>
      <c r="D1525" t="s">
        <v>240</v>
      </c>
    </row>
    <row r="1526" spans="1:4" x14ac:dyDescent="0.35">
      <c r="A1526" t="s">
        <v>33</v>
      </c>
      <c r="B1526" s="88">
        <v>43966</v>
      </c>
      <c r="C1526">
        <v>19.992570312499996</v>
      </c>
      <c r="D1526" t="s">
        <v>240</v>
      </c>
    </row>
    <row r="1527" spans="1:4" x14ac:dyDescent="0.35">
      <c r="A1527" t="s">
        <v>33</v>
      </c>
      <c r="B1527" s="88">
        <v>44058</v>
      </c>
      <c r="C1527">
        <v>19.992570312499996</v>
      </c>
      <c r="D1527" t="s">
        <v>240</v>
      </c>
    </row>
    <row r="1528" spans="1:4" x14ac:dyDescent="0.35">
      <c r="A1528" t="s">
        <v>33</v>
      </c>
      <c r="B1528" s="88">
        <v>44150</v>
      </c>
      <c r="C1528">
        <v>19.992570312499996</v>
      </c>
      <c r="D1528" t="s">
        <v>240</v>
      </c>
    </row>
    <row r="1529" spans="1:4" x14ac:dyDescent="0.35">
      <c r="A1529" t="s">
        <v>33</v>
      </c>
      <c r="B1529" s="88">
        <v>44242</v>
      </c>
      <c r="C1529">
        <v>19.992570312499996</v>
      </c>
      <c r="D1529" t="s">
        <v>240</v>
      </c>
    </row>
    <row r="1530" spans="1:4" x14ac:dyDescent="0.35">
      <c r="A1530" t="s">
        <v>33</v>
      </c>
      <c r="B1530" s="88">
        <v>44331</v>
      </c>
      <c r="C1530">
        <v>18.497570312499999</v>
      </c>
      <c r="D1530" t="s">
        <v>240</v>
      </c>
    </row>
    <row r="1531" spans="1:4" x14ac:dyDescent="0.35">
      <c r="A1531" t="s">
        <v>33</v>
      </c>
      <c r="B1531" s="88">
        <v>44423</v>
      </c>
      <c r="C1531">
        <v>18.497570312499999</v>
      </c>
      <c r="D1531" t="s">
        <v>240</v>
      </c>
    </row>
    <row r="1532" spans="1:4" x14ac:dyDescent="0.35">
      <c r="A1532" t="s">
        <v>33</v>
      </c>
      <c r="B1532" s="88">
        <v>44515</v>
      </c>
      <c r="C1532">
        <v>18.497570312499999</v>
      </c>
      <c r="D1532" t="s">
        <v>240</v>
      </c>
    </row>
    <row r="1533" spans="1:4" x14ac:dyDescent="0.35">
      <c r="A1533" t="s">
        <v>33</v>
      </c>
      <c r="B1533" s="88">
        <v>44607</v>
      </c>
      <c r="C1533">
        <v>18.497570312499999</v>
      </c>
      <c r="D1533" t="s">
        <v>240</v>
      </c>
    </row>
    <row r="1534" spans="1:4" x14ac:dyDescent="0.35">
      <c r="A1534" t="s">
        <v>33</v>
      </c>
      <c r="B1534" s="88">
        <v>44696</v>
      </c>
      <c r="C1534">
        <v>18.480140624999997</v>
      </c>
      <c r="D1534" t="s">
        <v>240</v>
      </c>
    </row>
    <row r="1535" spans="1:4" x14ac:dyDescent="0.35">
      <c r="A1535" t="s">
        <v>33</v>
      </c>
      <c r="B1535" s="88">
        <v>44788</v>
      </c>
      <c r="C1535">
        <v>18.480140624999997</v>
      </c>
      <c r="D1535" t="s">
        <v>240</v>
      </c>
    </row>
    <row r="1536" spans="1:4" x14ac:dyDescent="0.35">
      <c r="A1536" t="s">
        <v>33</v>
      </c>
      <c r="B1536" s="88">
        <v>44880</v>
      </c>
      <c r="C1536">
        <v>18.480140624999997</v>
      </c>
      <c r="D1536" t="s">
        <v>240</v>
      </c>
    </row>
    <row r="1537" spans="1:4" x14ac:dyDescent="0.35">
      <c r="A1537" t="s">
        <v>33</v>
      </c>
      <c r="B1537" s="88">
        <v>44972</v>
      </c>
      <c r="C1537">
        <v>18.480140624999997</v>
      </c>
      <c r="D1537" t="s">
        <v>240</v>
      </c>
    </row>
    <row r="1538" spans="1:4" x14ac:dyDescent="0.35">
      <c r="A1538" t="s">
        <v>33</v>
      </c>
      <c r="B1538" s="88">
        <v>45061</v>
      </c>
      <c r="C1538">
        <v>19.727710937499999</v>
      </c>
      <c r="D1538" t="s">
        <v>240</v>
      </c>
    </row>
    <row r="1539" spans="1:4" x14ac:dyDescent="0.35">
      <c r="A1539" t="s">
        <v>33</v>
      </c>
      <c r="B1539" s="88">
        <v>45153</v>
      </c>
      <c r="C1539">
        <v>19.727710937499999</v>
      </c>
      <c r="D1539" t="s">
        <v>240</v>
      </c>
    </row>
    <row r="1540" spans="1:4" x14ac:dyDescent="0.35">
      <c r="A1540" t="s">
        <v>33</v>
      </c>
      <c r="B1540" s="88">
        <v>45245</v>
      </c>
      <c r="C1540">
        <v>19.727710937499999</v>
      </c>
      <c r="D1540" t="s">
        <v>240</v>
      </c>
    </row>
    <row r="1541" spans="1:4" x14ac:dyDescent="0.35">
      <c r="A1541" t="s">
        <v>33</v>
      </c>
      <c r="B1541" s="88">
        <v>45337</v>
      </c>
      <c r="C1541">
        <v>19.727710937499999</v>
      </c>
      <c r="D1541" t="s">
        <v>240</v>
      </c>
    </row>
    <row r="1542" spans="1:4" x14ac:dyDescent="0.35">
      <c r="A1542" t="s">
        <v>33</v>
      </c>
      <c r="B1542" s="88">
        <v>45427</v>
      </c>
      <c r="C1542">
        <v>20.285281250000001</v>
      </c>
      <c r="D1542" t="s">
        <v>240</v>
      </c>
    </row>
    <row r="1543" spans="1:4" x14ac:dyDescent="0.35">
      <c r="A1543" t="s">
        <v>33</v>
      </c>
      <c r="B1543" s="88">
        <v>45519</v>
      </c>
      <c r="C1543">
        <v>20.285281250000001</v>
      </c>
      <c r="D1543" t="s">
        <v>240</v>
      </c>
    </row>
    <row r="1544" spans="1:4" x14ac:dyDescent="0.35">
      <c r="A1544" t="s">
        <v>33</v>
      </c>
      <c r="B1544" s="88">
        <v>45611</v>
      </c>
      <c r="C1544">
        <v>20.285281250000001</v>
      </c>
      <c r="D1544" t="s">
        <v>240</v>
      </c>
    </row>
    <row r="1545" spans="1:4" x14ac:dyDescent="0.35">
      <c r="A1545" t="s">
        <v>33</v>
      </c>
      <c r="B1545" s="88">
        <v>45703</v>
      </c>
      <c r="C1545">
        <v>20.285281250000001</v>
      </c>
      <c r="D1545" t="s">
        <v>240</v>
      </c>
    </row>
    <row r="1546" spans="1:4" x14ac:dyDescent="0.35">
      <c r="A1546" t="s">
        <v>33</v>
      </c>
      <c r="B1546" s="88">
        <v>45792</v>
      </c>
      <c r="C1546">
        <v>23.142851562499999</v>
      </c>
      <c r="D1546" t="s">
        <v>240</v>
      </c>
    </row>
    <row r="1547" spans="1:4" x14ac:dyDescent="0.35">
      <c r="A1547" t="s">
        <v>33</v>
      </c>
      <c r="B1547" s="88">
        <v>45884</v>
      </c>
      <c r="C1547">
        <v>23.142851562499999</v>
      </c>
      <c r="D1547" t="s">
        <v>240</v>
      </c>
    </row>
    <row r="1548" spans="1:4" x14ac:dyDescent="0.35">
      <c r="A1548" t="s">
        <v>33</v>
      </c>
      <c r="B1548" s="88">
        <v>45976</v>
      </c>
      <c r="C1548">
        <v>23.142851562499999</v>
      </c>
      <c r="D1548" t="s">
        <v>240</v>
      </c>
    </row>
    <row r="1549" spans="1:4" x14ac:dyDescent="0.35">
      <c r="A1549" t="s">
        <v>33</v>
      </c>
      <c r="B1549" s="88">
        <v>46068</v>
      </c>
      <c r="C1549">
        <v>23.142851562499999</v>
      </c>
      <c r="D1549" t="s">
        <v>240</v>
      </c>
    </row>
    <row r="1550" spans="1:4" x14ac:dyDescent="0.35">
      <c r="A1550" t="s">
        <v>33</v>
      </c>
      <c r="B1550" s="88">
        <v>46157</v>
      </c>
      <c r="C1550">
        <v>24.275421874999999</v>
      </c>
      <c r="D1550" t="s">
        <v>240</v>
      </c>
    </row>
    <row r="1551" spans="1:4" x14ac:dyDescent="0.35">
      <c r="A1551" t="s">
        <v>33</v>
      </c>
      <c r="B1551" s="88">
        <v>46249</v>
      </c>
      <c r="C1551">
        <v>24.275421874999999</v>
      </c>
      <c r="D1551" t="s">
        <v>240</v>
      </c>
    </row>
    <row r="1552" spans="1:4" x14ac:dyDescent="0.35">
      <c r="A1552" t="s">
        <v>34</v>
      </c>
      <c r="B1552" s="88">
        <v>43511</v>
      </c>
      <c r="C1552">
        <v>12.657870312499998</v>
      </c>
      <c r="D1552" t="s">
        <v>240</v>
      </c>
    </row>
    <row r="1553" spans="1:4" x14ac:dyDescent="0.35">
      <c r="A1553" t="s">
        <v>34</v>
      </c>
      <c r="B1553" s="88">
        <v>43600</v>
      </c>
      <c r="C1553">
        <v>12.779770312499998</v>
      </c>
      <c r="D1553" t="s">
        <v>240</v>
      </c>
    </row>
    <row r="1554" spans="1:4" x14ac:dyDescent="0.35">
      <c r="A1554" t="s">
        <v>34</v>
      </c>
      <c r="B1554" s="88">
        <v>43692</v>
      </c>
      <c r="C1554">
        <v>12.779770312499998</v>
      </c>
      <c r="D1554" t="s">
        <v>240</v>
      </c>
    </row>
    <row r="1555" spans="1:4" x14ac:dyDescent="0.35">
      <c r="A1555" t="s">
        <v>34</v>
      </c>
      <c r="B1555" s="88">
        <v>43784</v>
      </c>
      <c r="C1555">
        <v>12.779770312499998</v>
      </c>
      <c r="D1555" t="s">
        <v>240</v>
      </c>
    </row>
    <row r="1556" spans="1:4" x14ac:dyDescent="0.35">
      <c r="A1556" t="s">
        <v>34</v>
      </c>
      <c r="B1556" s="88">
        <v>43876</v>
      </c>
      <c r="C1556">
        <v>12.779770312499998</v>
      </c>
      <c r="D1556" t="s">
        <v>240</v>
      </c>
    </row>
    <row r="1557" spans="1:4" x14ac:dyDescent="0.35">
      <c r="A1557" t="s">
        <v>34</v>
      </c>
      <c r="B1557" s="88">
        <v>43966</v>
      </c>
      <c r="C1557">
        <v>12.779770312500002</v>
      </c>
      <c r="D1557" t="s">
        <v>240</v>
      </c>
    </row>
    <row r="1558" spans="1:4" x14ac:dyDescent="0.35">
      <c r="A1558" t="s">
        <v>34</v>
      </c>
      <c r="B1558" s="88">
        <v>44058</v>
      </c>
      <c r="C1558">
        <v>12.779770312500002</v>
      </c>
      <c r="D1558" t="s">
        <v>240</v>
      </c>
    </row>
    <row r="1559" spans="1:4" x14ac:dyDescent="0.35">
      <c r="A1559" t="s">
        <v>34</v>
      </c>
      <c r="B1559" s="88">
        <v>44150</v>
      </c>
      <c r="C1559">
        <v>12.779770312500002</v>
      </c>
      <c r="D1559" t="s">
        <v>240</v>
      </c>
    </row>
    <row r="1560" spans="1:4" x14ac:dyDescent="0.35">
      <c r="A1560" t="s">
        <v>34</v>
      </c>
      <c r="B1560" s="88">
        <v>44242</v>
      </c>
      <c r="C1560">
        <v>12.779770312500002</v>
      </c>
      <c r="D1560" t="s">
        <v>240</v>
      </c>
    </row>
    <row r="1561" spans="1:4" x14ac:dyDescent="0.35">
      <c r="A1561" t="s">
        <v>34</v>
      </c>
      <c r="B1561" s="88">
        <v>44331</v>
      </c>
      <c r="C1561">
        <v>13.251270312500001</v>
      </c>
      <c r="D1561" t="s">
        <v>240</v>
      </c>
    </row>
    <row r="1562" spans="1:4" x14ac:dyDescent="0.35">
      <c r="A1562" t="s">
        <v>34</v>
      </c>
      <c r="B1562" s="88">
        <v>44423</v>
      </c>
      <c r="C1562">
        <v>13.251270312500001</v>
      </c>
      <c r="D1562" t="s">
        <v>240</v>
      </c>
    </row>
    <row r="1563" spans="1:4" x14ac:dyDescent="0.35">
      <c r="A1563" t="s">
        <v>34</v>
      </c>
      <c r="B1563" s="88">
        <v>44515</v>
      </c>
      <c r="C1563">
        <v>13.251270312500001</v>
      </c>
      <c r="D1563" t="s">
        <v>240</v>
      </c>
    </row>
    <row r="1564" spans="1:4" x14ac:dyDescent="0.35">
      <c r="A1564" t="s">
        <v>34</v>
      </c>
      <c r="B1564" s="88">
        <v>44607</v>
      </c>
      <c r="C1564">
        <v>13.251270312500001</v>
      </c>
      <c r="D1564" t="s">
        <v>240</v>
      </c>
    </row>
    <row r="1565" spans="1:4" x14ac:dyDescent="0.35">
      <c r="A1565" t="s">
        <v>34</v>
      </c>
      <c r="B1565" s="88">
        <v>44696</v>
      </c>
      <c r="C1565">
        <v>14.100940625</v>
      </c>
      <c r="D1565" t="s">
        <v>240</v>
      </c>
    </row>
    <row r="1566" spans="1:4" x14ac:dyDescent="0.35">
      <c r="A1566" t="s">
        <v>34</v>
      </c>
      <c r="B1566" s="88">
        <v>44788</v>
      </c>
      <c r="C1566">
        <v>14.100940625</v>
      </c>
      <c r="D1566" t="s">
        <v>240</v>
      </c>
    </row>
    <row r="1567" spans="1:4" x14ac:dyDescent="0.35">
      <c r="A1567" t="s">
        <v>34</v>
      </c>
      <c r="B1567" s="88">
        <v>44880</v>
      </c>
      <c r="C1567">
        <v>14.100940625</v>
      </c>
      <c r="D1567" t="s">
        <v>240</v>
      </c>
    </row>
    <row r="1568" spans="1:4" x14ac:dyDescent="0.35">
      <c r="A1568" t="s">
        <v>34</v>
      </c>
      <c r="B1568" s="88">
        <v>44972</v>
      </c>
      <c r="C1568">
        <v>14.100940625</v>
      </c>
      <c r="D1568" t="s">
        <v>240</v>
      </c>
    </row>
    <row r="1569" spans="1:4" x14ac:dyDescent="0.35">
      <c r="A1569" t="s">
        <v>34</v>
      </c>
      <c r="B1569" s="88">
        <v>45061</v>
      </c>
      <c r="C1569">
        <v>15.0955109375</v>
      </c>
      <c r="D1569" t="s">
        <v>240</v>
      </c>
    </row>
    <row r="1570" spans="1:4" x14ac:dyDescent="0.35">
      <c r="A1570" t="s">
        <v>34</v>
      </c>
      <c r="B1570" s="88">
        <v>45153</v>
      </c>
      <c r="C1570">
        <v>15.0955109375</v>
      </c>
      <c r="D1570" t="s">
        <v>240</v>
      </c>
    </row>
    <row r="1571" spans="1:4" x14ac:dyDescent="0.35">
      <c r="A1571" t="s">
        <v>34</v>
      </c>
      <c r="B1571" s="88">
        <v>45245</v>
      </c>
      <c r="C1571">
        <v>15.0955109375</v>
      </c>
      <c r="D1571" t="s">
        <v>240</v>
      </c>
    </row>
    <row r="1572" spans="1:4" x14ac:dyDescent="0.35">
      <c r="A1572" t="s">
        <v>34</v>
      </c>
      <c r="B1572" s="88">
        <v>45337</v>
      </c>
      <c r="C1572">
        <v>15.0955109375</v>
      </c>
      <c r="D1572" t="s">
        <v>240</v>
      </c>
    </row>
    <row r="1573" spans="1:4" x14ac:dyDescent="0.35">
      <c r="A1573" t="s">
        <v>34</v>
      </c>
      <c r="B1573" s="88">
        <v>45427</v>
      </c>
      <c r="C1573">
        <v>16.485681249999999</v>
      </c>
      <c r="D1573" t="s">
        <v>240</v>
      </c>
    </row>
    <row r="1574" spans="1:4" x14ac:dyDescent="0.35">
      <c r="A1574" t="s">
        <v>34</v>
      </c>
      <c r="B1574" s="88">
        <v>45519</v>
      </c>
      <c r="C1574">
        <v>16.485681249999999</v>
      </c>
      <c r="D1574" t="s">
        <v>240</v>
      </c>
    </row>
    <row r="1575" spans="1:4" x14ac:dyDescent="0.35">
      <c r="A1575" t="s">
        <v>34</v>
      </c>
      <c r="B1575" s="88">
        <v>45611</v>
      </c>
      <c r="C1575">
        <v>16.485681249999999</v>
      </c>
      <c r="D1575" t="s">
        <v>240</v>
      </c>
    </row>
    <row r="1576" spans="1:4" x14ac:dyDescent="0.35">
      <c r="A1576" t="s">
        <v>34</v>
      </c>
      <c r="B1576" s="88">
        <v>45703</v>
      </c>
      <c r="C1576">
        <v>16.485681249999999</v>
      </c>
      <c r="D1576" t="s">
        <v>240</v>
      </c>
    </row>
    <row r="1577" spans="1:4" x14ac:dyDescent="0.35">
      <c r="A1577" t="s">
        <v>34</v>
      </c>
      <c r="B1577" s="88">
        <v>45792</v>
      </c>
      <c r="C1577">
        <v>18.2277515625</v>
      </c>
      <c r="D1577" t="s">
        <v>240</v>
      </c>
    </row>
    <row r="1578" spans="1:4" x14ac:dyDescent="0.35">
      <c r="A1578" t="s">
        <v>34</v>
      </c>
      <c r="B1578" s="88">
        <v>45884</v>
      </c>
      <c r="C1578">
        <v>18.2277515625</v>
      </c>
      <c r="D1578" t="s">
        <v>240</v>
      </c>
    </row>
    <row r="1579" spans="1:4" x14ac:dyDescent="0.35">
      <c r="A1579" t="s">
        <v>34</v>
      </c>
      <c r="B1579" s="88">
        <v>45976</v>
      </c>
      <c r="C1579">
        <v>18.2277515625</v>
      </c>
      <c r="D1579" t="s">
        <v>240</v>
      </c>
    </row>
    <row r="1580" spans="1:4" x14ac:dyDescent="0.35">
      <c r="A1580" t="s">
        <v>34</v>
      </c>
      <c r="B1580" s="88">
        <v>46068</v>
      </c>
      <c r="C1580">
        <v>18.2277515625</v>
      </c>
      <c r="D1580" t="s">
        <v>240</v>
      </c>
    </row>
    <row r="1581" spans="1:4" x14ac:dyDescent="0.35">
      <c r="A1581" t="s">
        <v>34</v>
      </c>
      <c r="B1581" s="88">
        <v>46157</v>
      </c>
      <c r="C1581">
        <v>19.769721874999998</v>
      </c>
      <c r="D1581" t="s">
        <v>240</v>
      </c>
    </row>
    <row r="1582" spans="1:4" x14ac:dyDescent="0.35">
      <c r="A1582" t="s">
        <v>34</v>
      </c>
      <c r="B1582" s="88">
        <v>46249</v>
      </c>
      <c r="C1582">
        <v>19.769721874999998</v>
      </c>
      <c r="D1582" t="s">
        <v>240</v>
      </c>
    </row>
    <row r="1583" spans="1:4" x14ac:dyDescent="0.35">
      <c r="A1583" t="s">
        <v>29</v>
      </c>
      <c r="B1583" s="88">
        <v>43511</v>
      </c>
      <c r="C1583">
        <v>15.790470312499998</v>
      </c>
      <c r="D1583" t="s">
        <v>240</v>
      </c>
    </row>
    <row r="1584" spans="1:4" x14ac:dyDescent="0.35">
      <c r="A1584" t="s">
        <v>29</v>
      </c>
      <c r="B1584" s="88">
        <v>43600</v>
      </c>
      <c r="C1584">
        <v>16.031970312499997</v>
      </c>
      <c r="D1584" t="s">
        <v>240</v>
      </c>
    </row>
    <row r="1585" spans="1:4" x14ac:dyDescent="0.35">
      <c r="A1585" t="s">
        <v>29</v>
      </c>
      <c r="B1585" s="88">
        <v>43692</v>
      </c>
      <c r="C1585">
        <v>16.031970312499997</v>
      </c>
      <c r="D1585" t="s">
        <v>240</v>
      </c>
    </row>
    <row r="1586" spans="1:4" x14ac:dyDescent="0.35">
      <c r="A1586" t="s">
        <v>29</v>
      </c>
      <c r="B1586" s="88">
        <v>43784</v>
      </c>
      <c r="C1586">
        <v>16.031970312499997</v>
      </c>
      <c r="D1586" t="s">
        <v>240</v>
      </c>
    </row>
    <row r="1587" spans="1:4" x14ac:dyDescent="0.35">
      <c r="A1587" t="s">
        <v>29</v>
      </c>
      <c r="B1587" s="88">
        <v>43876</v>
      </c>
      <c r="C1587">
        <v>16.031970312499997</v>
      </c>
      <c r="D1587" t="s">
        <v>240</v>
      </c>
    </row>
    <row r="1588" spans="1:4" x14ac:dyDescent="0.35">
      <c r="A1588" t="s">
        <v>29</v>
      </c>
      <c r="B1588" s="88">
        <v>43966</v>
      </c>
      <c r="C1588">
        <v>14.6358703125</v>
      </c>
      <c r="D1588" t="s">
        <v>240</v>
      </c>
    </row>
    <row r="1589" spans="1:4" x14ac:dyDescent="0.35">
      <c r="A1589" t="s">
        <v>29</v>
      </c>
      <c r="B1589" s="88">
        <v>44058</v>
      </c>
      <c r="C1589">
        <v>14.6358703125</v>
      </c>
      <c r="D1589" t="s">
        <v>240</v>
      </c>
    </row>
    <row r="1590" spans="1:4" x14ac:dyDescent="0.35">
      <c r="A1590" t="s">
        <v>29</v>
      </c>
      <c r="B1590" s="88">
        <v>44150</v>
      </c>
      <c r="C1590">
        <v>14.6358703125</v>
      </c>
      <c r="D1590" t="s">
        <v>240</v>
      </c>
    </row>
    <row r="1591" spans="1:4" x14ac:dyDescent="0.35">
      <c r="A1591" t="s">
        <v>29</v>
      </c>
      <c r="B1591" s="88">
        <v>44242</v>
      </c>
      <c r="C1591">
        <v>14.6358703125</v>
      </c>
      <c r="D1591" t="s">
        <v>240</v>
      </c>
    </row>
    <row r="1592" spans="1:4" x14ac:dyDescent="0.35">
      <c r="A1592" t="s">
        <v>29</v>
      </c>
      <c r="B1592" s="88">
        <v>44331</v>
      </c>
      <c r="C1592">
        <v>14.2287703125</v>
      </c>
      <c r="D1592" t="s">
        <v>240</v>
      </c>
    </row>
    <row r="1593" spans="1:4" x14ac:dyDescent="0.35">
      <c r="A1593" t="s">
        <v>29</v>
      </c>
      <c r="B1593" s="88">
        <v>44423</v>
      </c>
      <c r="C1593">
        <v>14.2287703125</v>
      </c>
      <c r="D1593" t="s">
        <v>240</v>
      </c>
    </row>
    <row r="1594" spans="1:4" x14ac:dyDescent="0.35">
      <c r="A1594" t="s">
        <v>29</v>
      </c>
      <c r="B1594" s="88">
        <v>44515</v>
      </c>
      <c r="C1594">
        <v>14.2287703125</v>
      </c>
      <c r="D1594" t="s">
        <v>240</v>
      </c>
    </row>
    <row r="1595" spans="1:4" x14ac:dyDescent="0.35">
      <c r="A1595" t="s">
        <v>29</v>
      </c>
      <c r="B1595" s="88">
        <v>44607</v>
      </c>
      <c r="C1595">
        <v>14.2287703125</v>
      </c>
      <c r="D1595" t="s">
        <v>240</v>
      </c>
    </row>
    <row r="1596" spans="1:4" x14ac:dyDescent="0.35">
      <c r="A1596" t="s">
        <v>29</v>
      </c>
      <c r="B1596" s="88">
        <v>44696</v>
      </c>
      <c r="C1596">
        <v>14.310315015624999</v>
      </c>
      <c r="D1596" t="s">
        <v>240</v>
      </c>
    </row>
    <row r="1597" spans="1:4" x14ac:dyDescent="0.35">
      <c r="A1597" t="s">
        <v>29</v>
      </c>
      <c r="B1597" s="88">
        <v>44788</v>
      </c>
      <c r="C1597">
        <v>14.310315015624999</v>
      </c>
      <c r="D1597" t="s">
        <v>240</v>
      </c>
    </row>
    <row r="1598" spans="1:4" x14ac:dyDescent="0.35">
      <c r="A1598" t="s">
        <v>29</v>
      </c>
      <c r="B1598" s="88">
        <v>44880</v>
      </c>
      <c r="C1598">
        <v>14.310315015624999</v>
      </c>
      <c r="D1598" t="s">
        <v>240</v>
      </c>
    </row>
    <row r="1599" spans="1:4" x14ac:dyDescent="0.35">
      <c r="A1599" t="s">
        <v>29</v>
      </c>
      <c r="B1599" s="88">
        <v>44972</v>
      </c>
      <c r="C1599">
        <v>14.310315015624999</v>
      </c>
      <c r="D1599" t="s">
        <v>240</v>
      </c>
    </row>
    <row r="1600" spans="1:4" x14ac:dyDescent="0.35">
      <c r="A1600" t="s">
        <v>29</v>
      </c>
      <c r="B1600" s="88">
        <v>45061</v>
      </c>
      <c r="C1600">
        <v>14.5665109375</v>
      </c>
      <c r="D1600" t="s">
        <v>240</v>
      </c>
    </row>
    <row r="1601" spans="1:4" x14ac:dyDescent="0.35">
      <c r="A1601" t="s">
        <v>29</v>
      </c>
      <c r="B1601" s="88">
        <v>45153</v>
      </c>
      <c r="C1601">
        <v>14.5665109375</v>
      </c>
      <c r="D1601" t="s">
        <v>240</v>
      </c>
    </row>
    <row r="1602" spans="1:4" x14ac:dyDescent="0.35">
      <c r="A1602" t="s">
        <v>29</v>
      </c>
      <c r="B1602" s="88">
        <v>45245</v>
      </c>
      <c r="C1602">
        <v>14.5665109375</v>
      </c>
      <c r="D1602" t="s">
        <v>240</v>
      </c>
    </row>
    <row r="1603" spans="1:4" x14ac:dyDescent="0.35">
      <c r="A1603" t="s">
        <v>29</v>
      </c>
      <c r="B1603" s="88">
        <v>45337</v>
      </c>
      <c r="C1603">
        <v>14.5665109375</v>
      </c>
      <c r="D1603" t="s">
        <v>240</v>
      </c>
    </row>
    <row r="1604" spans="1:4" x14ac:dyDescent="0.35">
      <c r="A1604" t="s">
        <v>29</v>
      </c>
      <c r="B1604" s="88">
        <v>45427</v>
      </c>
      <c r="C1604">
        <v>15.931381249999999</v>
      </c>
      <c r="D1604" t="s">
        <v>240</v>
      </c>
    </row>
    <row r="1605" spans="1:4" x14ac:dyDescent="0.35">
      <c r="A1605" t="s">
        <v>29</v>
      </c>
      <c r="B1605" s="88">
        <v>45519</v>
      </c>
      <c r="C1605">
        <v>15.931381249999999</v>
      </c>
      <c r="D1605" t="s">
        <v>240</v>
      </c>
    </row>
    <row r="1606" spans="1:4" x14ac:dyDescent="0.35">
      <c r="A1606" t="s">
        <v>29</v>
      </c>
      <c r="B1606" s="88">
        <v>45611</v>
      </c>
      <c r="C1606">
        <v>15.931381249999999</v>
      </c>
      <c r="D1606" t="s">
        <v>240</v>
      </c>
    </row>
    <row r="1607" spans="1:4" x14ac:dyDescent="0.35">
      <c r="A1607" t="s">
        <v>29</v>
      </c>
      <c r="B1607" s="88">
        <v>45703</v>
      </c>
      <c r="C1607">
        <v>15.931381249999999</v>
      </c>
      <c r="D1607" t="s">
        <v>240</v>
      </c>
    </row>
    <row r="1608" spans="1:4" x14ac:dyDescent="0.35">
      <c r="A1608" t="s">
        <v>29</v>
      </c>
      <c r="B1608" s="88">
        <v>45792</v>
      </c>
      <c r="C1608">
        <v>18.830351562499999</v>
      </c>
      <c r="D1608" t="s">
        <v>240</v>
      </c>
    </row>
    <row r="1609" spans="1:4" x14ac:dyDescent="0.35">
      <c r="A1609" t="s">
        <v>29</v>
      </c>
      <c r="B1609" s="88">
        <v>45884</v>
      </c>
      <c r="C1609">
        <v>18.830351562499999</v>
      </c>
      <c r="D1609" t="s">
        <v>240</v>
      </c>
    </row>
    <row r="1610" spans="1:4" x14ac:dyDescent="0.35">
      <c r="A1610" t="s">
        <v>29</v>
      </c>
      <c r="B1610" s="88">
        <v>45976</v>
      </c>
      <c r="C1610">
        <v>18.830351562499999</v>
      </c>
      <c r="D1610" t="s">
        <v>240</v>
      </c>
    </row>
    <row r="1611" spans="1:4" x14ac:dyDescent="0.35">
      <c r="A1611" t="s">
        <v>29</v>
      </c>
      <c r="B1611" s="88">
        <v>46068</v>
      </c>
      <c r="C1611">
        <v>18.830351562499999</v>
      </c>
      <c r="D1611" t="s">
        <v>240</v>
      </c>
    </row>
    <row r="1612" spans="1:4" x14ac:dyDescent="0.35">
      <c r="A1612" t="s">
        <v>29</v>
      </c>
      <c r="B1612" s="88">
        <v>46157</v>
      </c>
      <c r="C1612">
        <v>20.894421874999999</v>
      </c>
      <c r="D1612" t="s">
        <v>240</v>
      </c>
    </row>
    <row r="1613" spans="1:4" x14ac:dyDescent="0.35">
      <c r="A1613" t="s">
        <v>29</v>
      </c>
      <c r="B1613" s="88">
        <v>46249</v>
      </c>
      <c r="C1613">
        <v>20.894421874999999</v>
      </c>
      <c r="D1613" t="s">
        <v>240</v>
      </c>
    </row>
    <row r="1614" spans="1:4" x14ac:dyDescent="0.35">
      <c r="A1614" t="s">
        <v>36</v>
      </c>
      <c r="B1614" s="88">
        <v>43511</v>
      </c>
      <c r="C1614">
        <v>12.101270312499999</v>
      </c>
      <c r="D1614" t="s">
        <v>240</v>
      </c>
    </row>
    <row r="1615" spans="1:4" x14ac:dyDescent="0.35">
      <c r="A1615" t="s">
        <v>36</v>
      </c>
      <c r="B1615" s="88">
        <v>43600</v>
      </c>
      <c r="C1615">
        <v>11.963270312499999</v>
      </c>
      <c r="D1615" t="s">
        <v>240</v>
      </c>
    </row>
    <row r="1616" spans="1:4" x14ac:dyDescent="0.35">
      <c r="A1616" t="s">
        <v>36</v>
      </c>
      <c r="B1616" s="88">
        <v>43692</v>
      </c>
      <c r="C1616">
        <v>11.963270312499999</v>
      </c>
      <c r="D1616" t="s">
        <v>240</v>
      </c>
    </row>
    <row r="1617" spans="1:4" x14ac:dyDescent="0.35">
      <c r="A1617" t="s">
        <v>36</v>
      </c>
      <c r="B1617" s="88">
        <v>43784</v>
      </c>
      <c r="C1617">
        <v>11.963270312499999</v>
      </c>
      <c r="D1617" t="s">
        <v>240</v>
      </c>
    </row>
    <row r="1618" spans="1:4" x14ac:dyDescent="0.35">
      <c r="A1618" t="s">
        <v>36</v>
      </c>
      <c r="B1618" s="88">
        <v>43876</v>
      </c>
      <c r="C1618">
        <v>11.963270312499999</v>
      </c>
      <c r="D1618" t="s">
        <v>240</v>
      </c>
    </row>
    <row r="1619" spans="1:4" x14ac:dyDescent="0.35">
      <c r="A1619" t="s">
        <v>36</v>
      </c>
      <c r="B1619" s="88">
        <v>43966</v>
      </c>
      <c r="C1619">
        <v>11.935670312499997</v>
      </c>
      <c r="D1619" t="s">
        <v>240</v>
      </c>
    </row>
    <row r="1620" spans="1:4" x14ac:dyDescent="0.35">
      <c r="A1620" t="s">
        <v>36</v>
      </c>
      <c r="B1620" s="88">
        <v>44058</v>
      </c>
      <c r="C1620">
        <v>11.935670312499997</v>
      </c>
      <c r="D1620" t="s">
        <v>240</v>
      </c>
    </row>
    <row r="1621" spans="1:4" x14ac:dyDescent="0.35">
      <c r="A1621" t="s">
        <v>36</v>
      </c>
      <c r="B1621" s="88">
        <v>44150</v>
      </c>
      <c r="C1621">
        <v>11.935670312499997</v>
      </c>
      <c r="D1621" t="s">
        <v>240</v>
      </c>
    </row>
    <row r="1622" spans="1:4" x14ac:dyDescent="0.35">
      <c r="A1622" t="s">
        <v>36</v>
      </c>
      <c r="B1622" s="88">
        <v>44242</v>
      </c>
      <c r="C1622">
        <v>11.935670312499997</v>
      </c>
      <c r="D1622" t="s">
        <v>240</v>
      </c>
    </row>
    <row r="1623" spans="1:4" x14ac:dyDescent="0.35">
      <c r="A1623" t="s">
        <v>36</v>
      </c>
      <c r="B1623" s="88">
        <v>44331</v>
      </c>
      <c r="C1623">
        <v>12.2783703125</v>
      </c>
      <c r="D1623" t="s">
        <v>240</v>
      </c>
    </row>
    <row r="1624" spans="1:4" x14ac:dyDescent="0.35">
      <c r="A1624" t="s">
        <v>36</v>
      </c>
      <c r="B1624" s="88">
        <v>44423</v>
      </c>
      <c r="C1624">
        <v>12.2783703125</v>
      </c>
      <c r="D1624" t="s">
        <v>240</v>
      </c>
    </row>
    <row r="1625" spans="1:4" x14ac:dyDescent="0.35">
      <c r="A1625" t="s">
        <v>36</v>
      </c>
      <c r="B1625" s="88">
        <v>44515</v>
      </c>
      <c r="C1625">
        <v>12.2783703125</v>
      </c>
      <c r="D1625" t="s">
        <v>240</v>
      </c>
    </row>
    <row r="1626" spans="1:4" x14ac:dyDescent="0.35">
      <c r="A1626" t="s">
        <v>36</v>
      </c>
      <c r="B1626" s="88">
        <v>44607</v>
      </c>
      <c r="C1626">
        <v>12.2783703125</v>
      </c>
      <c r="D1626" t="s">
        <v>240</v>
      </c>
    </row>
    <row r="1627" spans="1:4" x14ac:dyDescent="0.35">
      <c r="A1627" t="s">
        <v>36</v>
      </c>
      <c r="B1627" s="88">
        <v>44696</v>
      </c>
      <c r="C1627">
        <v>13.581140625</v>
      </c>
      <c r="D1627" t="s">
        <v>240</v>
      </c>
    </row>
    <row r="1628" spans="1:4" x14ac:dyDescent="0.35">
      <c r="A1628" t="s">
        <v>36</v>
      </c>
      <c r="B1628" s="88">
        <v>44788</v>
      </c>
      <c r="C1628">
        <v>13.581140625</v>
      </c>
      <c r="D1628" t="s">
        <v>240</v>
      </c>
    </row>
    <row r="1629" spans="1:4" x14ac:dyDescent="0.35">
      <c r="A1629" t="s">
        <v>36</v>
      </c>
      <c r="B1629" s="88">
        <v>44880</v>
      </c>
      <c r="C1629">
        <v>13.581140625</v>
      </c>
      <c r="D1629" t="s">
        <v>240</v>
      </c>
    </row>
    <row r="1630" spans="1:4" x14ac:dyDescent="0.35">
      <c r="A1630" t="s">
        <v>36</v>
      </c>
      <c r="B1630" s="88">
        <v>44972</v>
      </c>
      <c r="C1630">
        <v>13.581140625</v>
      </c>
      <c r="D1630" t="s">
        <v>240</v>
      </c>
    </row>
    <row r="1631" spans="1:4" x14ac:dyDescent="0.35">
      <c r="A1631" t="s">
        <v>36</v>
      </c>
      <c r="B1631" s="88">
        <v>45061</v>
      </c>
      <c r="C1631">
        <v>15.8867109375</v>
      </c>
      <c r="D1631" t="s">
        <v>240</v>
      </c>
    </row>
    <row r="1632" spans="1:4" x14ac:dyDescent="0.35">
      <c r="A1632" t="s">
        <v>36</v>
      </c>
      <c r="B1632" s="88">
        <v>45153</v>
      </c>
      <c r="C1632">
        <v>15.8867109375</v>
      </c>
      <c r="D1632" t="s">
        <v>240</v>
      </c>
    </row>
    <row r="1633" spans="1:4" x14ac:dyDescent="0.35">
      <c r="A1633" t="s">
        <v>36</v>
      </c>
      <c r="B1633" s="88">
        <v>45245</v>
      </c>
      <c r="C1633">
        <v>15.8867109375</v>
      </c>
      <c r="D1633" t="s">
        <v>240</v>
      </c>
    </row>
    <row r="1634" spans="1:4" x14ac:dyDescent="0.35">
      <c r="A1634" t="s">
        <v>36</v>
      </c>
      <c r="B1634" s="88">
        <v>45337</v>
      </c>
      <c r="C1634">
        <v>15.8867109375</v>
      </c>
      <c r="D1634" t="s">
        <v>240</v>
      </c>
    </row>
    <row r="1635" spans="1:4" x14ac:dyDescent="0.35">
      <c r="A1635" t="s">
        <v>36</v>
      </c>
      <c r="B1635" s="88">
        <v>45427</v>
      </c>
      <c r="C1635">
        <v>16.221181250000001</v>
      </c>
      <c r="D1635" t="s">
        <v>240</v>
      </c>
    </row>
    <row r="1636" spans="1:4" x14ac:dyDescent="0.35">
      <c r="A1636" t="s">
        <v>36</v>
      </c>
      <c r="B1636" s="88">
        <v>45519</v>
      </c>
      <c r="C1636">
        <v>16.221181250000001</v>
      </c>
      <c r="D1636" t="s">
        <v>240</v>
      </c>
    </row>
    <row r="1637" spans="1:4" x14ac:dyDescent="0.35">
      <c r="A1637" t="s">
        <v>36</v>
      </c>
      <c r="B1637" s="88">
        <v>45611</v>
      </c>
      <c r="C1637">
        <v>16.221181250000001</v>
      </c>
      <c r="D1637" t="s">
        <v>240</v>
      </c>
    </row>
    <row r="1638" spans="1:4" x14ac:dyDescent="0.35">
      <c r="A1638" t="s">
        <v>36</v>
      </c>
      <c r="B1638" s="88">
        <v>45703</v>
      </c>
      <c r="C1638">
        <v>16.221181250000001</v>
      </c>
      <c r="D1638" t="s">
        <v>240</v>
      </c>
    </row>
    <row r="1639" spans="1:4" x14ac:dyDescent="0.35">
      <c r="A1639" t="s">
        <v>36</v>
      </c>
      <c r="B1639" s="88">
        <v>45792</v>
      </c>
      <c r="C1639">
        <v>18.740651562499998</v>
      </c>
      <c r="D1639" t="s">
        <v>240</v>
      </c>
    </row>
    <row r="1640" spans="1:4" x14ac:dyDescent="0.35">
      <c r="A1640" t="s">
        <v>36</v>
      </c>
      <c r="B1640" s="88">
        <v>45884</v>
      </c>
      <c r="C1640">
        <v>18.740651562499998</v>
      </c>
      <c r="D1640" t="s">
        <v>240</v>
      </c>
    </row>
    <row r="1641" spans="1:4" x14ac:dyDescent="0.35">
      <c r="A1641" t="s">
        <v>36</v>
      </c>
      <c r="B1641" s="88">
        <v>45976</v>
      </c>
      <c r="C1641">
        <v>18.740651562499998</v>
      </c>
      <c r="D1641" t="s">
        <v>240</v>
      </c>
    </row>
    <row r="1642" spans="1:4" x14ac:dyDescent="0.35">
      <c r="A1642" t="s">
        <v>36</v>
      </c>
      <c r="B1642" s="88">
        <v>46068</v>
      </c>
      <c r="C1642">
        <v>18.740651562499998</v>
      </c>
      <c r="D1642" t="s">
        <v>240</v>
      </c>
    </row>
    <row r="1643" spans="1:4" x14ac:dyDescent="0.35">
      <c r="A1643" t="s">
        <v>36</v>
      </c>
      <c r="B1643" s="88">
        <v>46157</v>
      </c>
      <c r="C1643">
        <v>22.718321875000001</v>
      </c>
      <c r="D1643" t="s">
        <v>240</v>
      </c>
    </row>
    <row r="1644" spans="1:4" x14ac:dyDescent="0.35">
      <c r="A1644" t="s">
        <v>36</v>
      </c>
      <c r="B1644" s="88">
        <v>46249</v>
      </c>
      <c r="C1644">
        <v>22.718321875000001</v>
      </c>
      <c r="D1644" t="s">
        <v>240</v>
      </c>
    </row>
    <row r="1645" spans="1:4" x14ac:dyDescent="0.35">
      <c r="A1645" t="s">
        <v>30</v>
      </c>
      <c r="B1645" s="88">
        <v>43511</v>
      </c>
      <c r="C1645">
        <v>7.8807703124999993</v>
      </c>
      <c r="D1645" t="s">
        <v>240</v>
      </c>
    </row>
    <row r="1646" spans="1:4" x14ac:dyDescent="0.35">
      <c r="A1646" t="s">
        <v>30</v>
      </c>
      <c r="B1646" s="88">
        <v>43600</v>
      </c>
      <c r="C1646">
        <v>8.6167703124999981</v>
      </c>
      <c r="D1646" t="s">
        <v>240</v>
      </c>
    </row>
    <row r="1647" spans="1:4" x14ac:dyDescent="0.35">
      <c r="A1647" t="s">
        <v>30</v>
      </c>
      <c r="B1647" s="88">
        <v>43692</v>
      </c>
      <c r="C1647">
        <v>8.6167703124999981</v>
      </c>
      <c r="D1647" t="s">
        <v>240</v>
      </c>
    </row>
    <row r="1648" spans="1:4" x14ac:dyDescent="0.35">
      <c r="A1648" t="s">
        <v>30</v>
      </c>
      <c r="B1648" s="88">
        <v>43784</v>
      </c>
      <c r="C1648">
        <v>8.6167703124999981</v>
      </c>
      <c r="D1648" t="s">
        <v>240</v>
      </c>
    </row>
    <row r="1649" spans="1:4" x14ac:dyDescent="0.35">
      <c r="A1649" t="s">
        <v>30</v>
      </c>
      <c r="B1649" s="88">
        <v>43876</v>
      </c>
      <c r="C1649">
        <v>8.6167703124999981</v>
      </c>
      <c r="D1649" t="s">
        <v>240</v>
      </c>
    </row>
    <row r="1650" spans="1:4" x14ac:dyDescent="0.35">
      <c r="A1650" t="s">
        <v>30</v>
      </c>
      <c r="B1650" s="88">
        <v>43966</v>
      </c>
      <c r="C1650">
        <v>7.4460703124999981</v>
      </c>
      <c r="D1650" t="s">
        <v>240</v>
      </c>
    </row>
    <row r="1651" spans="1:4" x14ac:dyDescent="0.35">
      <c r="A1651" t="s">
        <v>30</v>
      </c>
      <c r="B1651" s="88">
        <v>44058</v>
      </c>
      <c r="C1651">
        <v>7.4460703124999981</v>
      </c>
      <c r="D1651" t="s">
        <v>240</v>
      </c>
    </row>
    <row r="1652" spans="1:4" x14ac:dyDescent="0.35">
      <c r="A1652" t="s">
        <v>30</v>
      </c>
      <c r="B1652" s="88">
        <v>44150</v>
      </c>
      <c r="C1652">
        <v>7.4460703124999981</v>
      </c>
      <c r="D1652" t="s">
        <v>240</v>
      </c>
    </row>
    <row r="1653" spans="1:4" x14ac:dyDescent="0.35">
      <c r="A1653" t="s">
        <v>30</v>
      </c>
      <c r="B1653" s="88">
        <v>44242</v>
      </c>
      <c r="C1653">
        <v>7.4460703124999981</v>
      </c>
      <c r="D1653" t="s">
        <v>240</v>
      </c>
    </row>
    <row r="1654" spans="1:4" x14ac:dyDescent="0.35">
      <c r="A1654" t="s">
        <v>30</v>
      </c>
      <c r="B1654" s="88">
        <v>44331</v>
      </c>
      <c r="C1654">
        <v>6.8779703124999996</v>
      </c>
      <c r="D1654" t="s">
        <v>240</v>
      </c>
    </row>
    <row r="1655" spans="1:4" x14ac:dyDescent="0.35">
      <c r="A1655" t="s">
        <v>30</v>
      </c>
      <c r="B1655" s="88">
        <v>44423</v>
      </c>
      <c r="C1655">
        <v>6.8779703124999996</v>
      </c>
      <c r="D1655" t="s">
        <v>240</v>
      </c>
    </row>
    <row r="1656" spans="1:4" x14ac:dyDescent="0.35">
      <c r="A1656" t="s">
        <v>30</v>
      </c>
      <c r="B1656" s="88">
        <v>44515</v>
      </c>
      <c r="C1656">
        <v>6.8779703124999996</v>
      </c>
      <c r="D1656" t="s">
        <v>240</v>
      </c>
    </row>
    <row r="1657" spans="1:4" x14ac:dyDescent="0.35">
      <c r="A1657" t="s">
        <v>30</v>
      </c>
      <c r="B1657" s="88">
        <v>44607</v>
      </c>
      <c r="C1657">
        <v>6.8779703124999996</v>
      </c>
      <c r="D1657" t="s">
        <v>240</v>
      </c>
    </row>
    <row r="1658" spans="1:4" x14ac:dyDescent="0.35">
      <c r="A1658" t="s">
        <v>30</v>
      </c>
      <c r="B1658" s="88">
        <v>44696</v>
      </c>
      <c r="C1658">
        <v>6.9732406249999981</v>
      </c>
      <c r="D1658" t="s">
        <v>240</v>
      </c>
    </row>
    <row r="1659" spans="1:4" x14ac:dyDescent="0.35">
      <c r="A1659" t="s">
        <v>30</v>
      </c>
      <c r="B1659" s="88">
        <v>44788</v>
      </c>
      <c r="C1659">
        <v>6.9732406249999981</v>
      </c>
      <c r="D1659" t="s">
        <v>240</v>
      </c>
    </row>
    <row r="1660" spans="1:4" x14ac:dyDescent="0.35">
      <c r="A1660" t="s">
        <v>30</v>
      </c>
      <c r="B1660" s="88">
        <v>44880</v>
      </c>
      <c r="C1660">
        <v>6.9732406249999981</v>
      </c>
      <c r="D1660" t="s">
        <v>240</v>
      </c>
    </row>
    <row r="1661" spans="1:4" x14ac:dyDescent="0.35">
      <c r="A1661" t="s">
        <v>30</v>
      </c>
      <c r="B1661" s="88">
        <v>44972</v>
      </c>
      <c r="C1661">
        <v>6.9732406249999981</v>
      </c>
      <c r="D1661" t="s">
        <v>240</v>
      </c>
    </row>
    <row r="1662" spans="1:4" x14ac:dyDescent="0.35">
      <c r="A1662" t="s">
        <v>30</v>
      </c>
      <c r="B1662" s="88">
        <v>45061</v>
      </c>
      <c r="C1662">
        <v>8.0437109375000002</v>
      </c>
      <c r="D1662" t="s">
        <v>240</v>
      </c>
    </row>
    <row r="1663" spans="1:4" x14ac:dyDescent="0.35">
      <c r="A1663" t="s">
        <v>30</v>
      </c>
      <c r="B1663" s="88">
        <v>45153</v>
      </c>
      <c r="C1663">
        <v>8.0437109375000002</v>
      </c>
      <c r="D1663" t="s">
        <v>240</v>
      </c>
    </row>
    <row r="1664" spans="1:4" x14ac:dyDescent="0.35">
      <c r="A1664" t="s">
        <v>30</v>
      </c>
      <c r="B1664" s="88">
        <v>45245</v>
      </c>
      <c r="C1664">
        <v>8.0437109375000002</v>
      </c>
      <c r="D1664" t="s">
        <v>240</v>
      </c>
    </row>
    <row r="1665" spans="1:4" x14ac:dyDescent="0.35">
      <c r="A1665" t="s">
        <v>30</v>
      </c>
      <c r="B1665" s="88">
        <v>45337</v>
      </c>
      <c r="C1665">
        <v>8.0437109375000002</v>
      </c>
      <c r="D1665" t="s">
        <v>240</v>
      </c>
    </row>
    <row r="1666" spans="1:4" x14ac:dyDescent="0.35">
      <c r="A1666" t="s">
        <v>30</v>
      </c>
      <c r="B1666" s="88">
        <v>45427</v>
      </c>
      <c r="C1666">
        <v>8.70018125</v>
      </c>
      <c r="D1666" t="s">
        <v>240</v>
      </c>
    </row>
    <row r="1667" spans="1:4" x14ac:dyDescent="0.35">
      <c r="A1667" t="s">
        <v>30</v>
      </c>
      <c r="B1667" s="88">
        <v>45519</v>
      </c>
      <c r="C1667">
        <v>8.70018125</v>
      </c>
      <c r="D1667" t="s">
        <v>240</v>
      </c>
    </row>
    <row r="1668" spans="1:4" x14ac:dyDescent="0.35">
      <c r="A1668" t="s">
        <v>30</v>
      </c>
      <c r="B1668" s="88">
        <v>45611</v>
      </c>
      <c r="C1668">
        <v>8.70018125</v>
      </c>
      <c r="D1668" t="s">
        <v>240</v>
      </c>
    </row>
    <row r="1669" spans="1:4" x14ac:dyDescent="0.35">
      <c r="A1669" t="s">
        <v>30</v>
      </c>
      <c r="B1669" s="88">
        <v>45703</v>
      </c>
      <c r="C1669">
        <v>8.70018125</v>
      </c>
      <c r="D1669" t="s">
        <v>240</v>
      </c>
    </row>
    <row r="1670" spans="1:4" x14ac:dyDescent="0.35">
      <c r="A1670" t="s">
        <v>30</v>
      </c>
      <c r="B1670" s="88">
        <v>45792</v>
      </c>
      <c r="C1670">
        <v>10.6308515625</v>
      </c>
      <c r="D1670" t="s">
        <v>240</v>
      </c>
    </row>
    <row r="1671" spans="1:4" x14ac:dyDescent="0.35">
      <c r="A1671" t="s">
        <v>30</v>
      </c>
      <c r="B1671" s="88">
        <v>45884</v>
      </c>
      <c r="C1671">
        <v>10.6308515625</v>
      </c>
      <c r="D1671" t="s">
        <v>240</v>
      </c>
    </row>
    <row r="1672" spans="1:4" x14ac:dyDescent="0.35">
      <c r="A1672" t="s">
        <v>30</v>
      </c>
      <c r="B1672" s="88">
        <v>45976</v>
      </c>
      <c r="C1672">
        <v>10.6308515625</v>
      </c>
      <c r="D1672" t="s">
        <v>240</v>
      </c>
    </row>
    <row r="1673" spans="1:4" x14ac:dyDescent="0.35">
      <c r="A1673" t="s">
        <v>30</v>
      </c>
      <c r="B1673" s="88">
        <v>46068</v>
      </c>
      <c r="C1673">
        <v>10.6308515625</v>
      </c>
      <c r="D1673" t="s">
        <v>240</v>
      </c>
    </row>
    <row r="1674" spans="1:4" x14ac:dyDescent="0.35">
      <c r="A1674" t="s">
        <v>30</v>
      </c>
      <c r="B1674" s="88">
        <v>46157</v>
      </c>
      <c r="C1674">
        <v>12.288557875</v>
      </c>
      <c r="D1674" t="s">
        <v>240</v>
      </c>
    </row>
    <row r="1675" spans="1:4" x14ac:dyDescent="0.35">
      <c r="A1675" t="s">
        <v>30</v>
      </c>
      <c r="B1675" s="88">
        <v>46249</v>
      </c>
      <c r="C1675">
        <v>12.288557875</v>
      </c>
      <c r="D1675" t="s">
        <v>240</v>
      </c>
    </row>
    <row r="1676" spans="1:4" x14ac:dyDescent="0.35">
      <c r="A1676" t="s">
        <v>32</v>
      </c>
      <c r="B1676" s="88">
        <v>43511</v>
      </c>
      <c r="C1676">
        <v>10.599264602948125</v>
      </c>
      <c r="D1676" t="s">
        <v>240</v>
      </c>
    </row>
    <row r="1677" spans="1:4" x14ac:dyDescent="0.35">
      <c r="A1677" t="s">
        <v>32</v>
      </c>
      <c r="B1677" s="88">
        <v>43600</v>
      </c>
      <c r="C1677">
        <v>10.702605429128193</v>
      </c>
      <c r="D1677" t="s">
        <v>240</v>
      </c>
    </row>
    <row r="1678" spans="1:4" x14ac:dyDescent="0.35">
      <c r="A1678" t="s">
        <v>32</v>
      </c>
      <c r="B1678" s="88">
        <v>43692</v>
      </c>
      <c r="C1678">
        <v>10.702605429128193</v>
      </c>
      <c r="D1678" t="s">
        <v>240</v>
      </c>
    </row>
    <row r="1679" spans="1:4" x14ac:dyDescent="0.35">
      <c r="A1679" t="s">
        <v>32</v>
      </c>
      <c r="B1679" s="88">
        <v>43784</v>
      </c>
      <c r="C1679">
        <v>10.702605429128193</v>
      </c>
      <c r="D1679" t="s">
        <v>240</v>
      </c>
    </row>
    <row r="1680" spans="1:4" x14ac:dyDescent="0.35">
      <c r="A1680" t="s">
        <v>32</v>
      </c>
      <c r="B1680" s="88">
        <v>43876</v>
      </c>
      <c r="C1680">
        <v>10.702605429128193</v>
      </c>
      <c r="D1680" t="s">
        <v>240</v>
      </c>
    </row>
    <row r="1681" spans="1:4" x14ac:dyDescent="0.35">
      <c r="A1681" t="s">
        <v>32</v>
      </c>
      <c r="B1681" s="88">
        <v>43966</v>
      </c>
      <c r="C1681">
        <v>10.123841212989678</v>
      </c>
      <c r="D1681" t="s">
        <v>240</v>
      </c>
    </row>
    <row r="1682" spans="1:4" x14ac:dyDescent="0.35">
      <c r="A1682" t="s">
        <v>32</v>
      </c>
      <c r="B1682" s="88">
        <v>44058</v>
      </c>
      <c r="C1682">
        <v>10.123841212989678</v>
      </c>
      <c r="D1682" t="s">
        <v>240</v>
      </c>
    </row>
    <row r="1683" spans="1:4" x14ac:dyDescent="0.35">
      <c r="A1683" t="s">
        <v>32</v>
      </c>
      <c r="B1683" s="88">
        <v>44150</v>
      </c>
      <c r="C1683">
        <v>10.123841212989678</v>
      </c>
      <c r="D1683" t="s">
        <v>240</v>
      </c>
    </row>
    <row r="1684" spans="1:4" x14ac:dyDescent="0.35">
      <c r="A1684" t="s">
        <v>32</v>
      </c>
      <c r="B1684" s="88">
        <v>44242</v>
      </c>
      <c r="C1684">
        <v>10.123841212989678</v>
      </c>
      <c r="D1684" t="s">
        <v>240</v>
      </c>
    </row>
    <row r="1685" spans="1:4" x14ac:dyDescent="0.35">
      <c r="A1685" t="s">
        <v>32</v>
      </c>
      <c r="B1685" s="88">
        <v>44331</v>
      </c>
      <c r="C1685">
        <v>9.1233585593097182</v>
      </c>
      <c r="D1685" t="s">
        <v>240</v>
      </c>
    </row>
    <row r="1686" spans="1:4" x14ac:dyDescent="0.35">
      <c r="A1686" t="s">
        <v>32</v>
      </c>
      <c r="B1686" s="88">
        <v>44423</v>
      </c>
      <c r="C1686">
        <v>9.1233585593097182</v>
      </c>
      <c r="D1686" t="s">
        <v>240</v>
      </c>
    </row>
    <row r="1687" spans="1:4" x14ac:dyDescent="0.35">
      <c r="A1687" t="s">
        <v>32</v>
      </c>
      <c r="B1687" s="88">
        <v>44515</v>
      </c>
      <c r="C1687">
        <v>9.1233585593097182</v>
      </c>
      <c r="D1687" t="s">
        <v>240</v>
      </c>
    </row>
    <row r="1688" spans="1:4" x14ac:dyDescent="0.35">
      <c r="A1688" t="s">
        <v>32</v>
      </c>
      <c r="B1688" s="88">
        <v>44607</v>
      </c>
      <c r="C1688">
        <v>9.1233585593097182</v>
      </c>
      <c r="D1688" t="s">
        <v>240</v>
      </c>
    </row>
    <row r="1689" spans="1:4" x14ac:dyDescent="0.35">
      <c r="A1689" t="s">
        <v>32</v>
      </c>
      <c r="B1689" s="88">
        <v>44696</v>
      </c>
      <c r="C1689">
        <v>9.8038381266294934</v>
      </c>
      <c r="D1689" t="s">
        <v>240</v>
      </c>
    </row>
    <row r="1690" spans="1:4" x14ac:dyDescent="0.35">
      <c r="A1690" t="s">
        <v>32</v>
      </c>
      <c r="B1690" s="88">
        <v>44788</v>
      </c>
      <c r="C1690">
        <v>9.8038381266294934</v>
      </c>
      <c r="D1690" t="s">
        <v>240</v>
      </c>
    </row>
    <row r="1691" spans="1:4" x14ac:dyDescent="0.35">
      <c r="A1691" t="s">
        <v>32</v>
      </c>
      <c r="B1691" s="88">
        <v>44880</v>
      </c>
      <c r="C1691">
        <v>9.8038381266294934</v>
      </c>
      <c r="D1691" t="s">
        <v>240</v>
      </c>
    </row>
    <row r="1692" spans="1:4" x14ac:dyDescent="0.35">
      <c r="A1692" t="s">
        <v>32</v>
      </c>
      <c r="B1692" s="88">
        <v>44972</v>
      </c>
      <c r="C1692">
        <v>9.8038381266294934</v>
      </c>
      <c r="D1692" t="s">
        <v>240</v>
      </c>
    </row>
    <row r="1693" spans="1:4" x14ac:dyDescent="0.35">
      <c r="A1693" t="s">
        <v>32</v>
      </c>
      <c r="B1693" s="88">
        <v>45061</v>
      </c>
      <c r="C1693">
        <v>9.3922076650000008</v>
      </c>
      <c r="D1693" t="s">
        <v>240</v>
      </c>
    </row>
    <row r="1694" spans="1:4" x14ac:dyDescent="0.35">
      <c r="A1694" t="s">
        <v>32</v>
      </c>
      <c r="B1694" s="88">
        <v>45153</v>
      </c>
      <c r="C1694">
        <v>9.3922076650000008</v>
      </c>
      <c r="D1694" t="s">
        <v>240</v>
      </c>
    </row>
    <row r="1695" spans="1:4" x14ac:dyDescent="0.35">
      <c r="A1695" t="s">
        <v>32</v>
      </c>
      <c r="B1695" s="88">
        <v>45245</v>
      </c>
      <c r="C1695">
        <v>9.3922076650000008</v>
      </c>
      <c r="D1695" t="s">
        <v>240</v>
      </c>
    </row>
    <row r="1696" spans="1:4" x14ac:dyDescent="0.35">
      <c r="A1696" t="s">
        <v>32</v>
      </c>
      <c r="B1696" s="88">
        <v>45337</v>
      </c>
      <c r="C1696">
        <v>9.3922076650000008</v>
      </c>
      <c r="D1696" t="s">
        <v>240</v>
      </c>
    </row>
    <row r="1697" spans="1:4" x14ac:dyDescent="0.35">
      <c r="A1697" t="s">
        <v>32</v>
      </c>
      <c r="B1697" s="88">
        <v>45427</v>
      </c>
      <c r="C1697">
        <v>10.038900436</v>
      </c>
      <c r="D1697" t="s">
        <v>240</v>
      </c>
    </row>
    <row r="1698" spans="1:4" x14ac:dyDescent="0.35">
      <c r="A1698" t="s">
        <v>32</v>
      </c>
      <c r="B1698" s="88">
        <v>45519</v>
      </c>
      <c r="C1698">
        <v>10.038900436</v>
      </c>
      <c r="D1698" t="s">
        <v>240</v>
      </c>
    </row>
    <row r="1699" spans="1:4" x14ac:dyDescent="0.35">
      <c r="A1699" t="s">
        <v>32</v>
      </c>
      <c r="B1699" s="88">
        <v>45611</v>
      </c>
      <c r="C1699">
        <v>10.038900436</v>
      </c>
      <c r="D1699" t="s">
        <v>240</v>
      </c>
    </row>
    <row r="1700" spans="1:4" x14ac:dyDescent="0.35">
      <c r="A1700" t="s">
        <v>32</v>
      </c>
      <c r="B1700" s="88">
        <v>45703</v>
      </c>
      <c r="C1700">
        <v>10.038900436</v>
      </c>
      <c r="D1700" t="s">
        <v>240</v>
      </c>
    </row>
    <row r="1701" spans="1:4" x14ac:dyDescent="0.35">
      <c r="A1701" t="s">
        <v>32</v>
      </c>
      <c r="B1701" s="88">
        <v>45792</v>
      </c>
      <c r="C1701">
        <v>12.3040622065063</v>
      </c>
      <c r="D1701" t="s">
        <v>240</v>
      </c>
    </row>
    <row r="1702" spans="1:4" x14ac:dyDescent="0.35">
      <c r="A1702" t="s">
        <v>32</v>
      </c>
      <c r="B1702" s="88">
        <v>45884</v>
      </c>
      <c r="C1702">
        <v>12.3040622065063</v>
      </c>
      <c r="D1702" t="s">
        <v>240</v>
      </c>
    </row>
    <row r="1703" spans="1:4" x14ac:dyDescent="0.35">
      <c r="A1703" t="s">
        <v>32</v>
      </c>
      <c r="B1703" s="88">
        <v>45976</v>
      </c>
      <c r="C1703">
        <v>12.3040622065063</v>
      </c>
      <c r="D1703" t="s">
        <v>240</v>
      </c>
    </row>
    <row r="1704" spans="1:4" x14ac:dyDescent="0.35">
      <c r="A1704" t="s">
        <v>32</v>
      </c>
      <c r="B1704" s="88">
        <v>46068</v>
      </c>
      <c r="C1704">
        <v>12.3040622065063</v>
      </c>
      <c r="D1704" t="s">
        <v>240</v>
      </c>
    </row>
    <row r="1705" spans="1:4" x14ac:dyDescent="0.35">
      <c r="A1705" t="s">
        <v>32</v>
      </c>
      <c r="B1705" s="88">
        <v>46157</v>
      </c>
      <c r="C1705">
        <v>13.5515700025018</v>
      </c>
      <c r="D1705" t="s">
        <v>240</v>
      </c>
    </row>
    <row r="1706" spans="1:4" x14ac:dyDescent="0.35">
      <c r="A1706" t="s">
        <v>32</v>
      </c>
      <c r="B1706" s="88">
        <v>46249</v>
      </c>
      <c r="C1706">
        <v>13.5515700025018</v>
      </c>
      <c r="D1706" t="s">
        <v>240</v>
      </c>
    </row>
    <row r="1707" spans="1:4" x14ac:dyDescent="0.35">
      <c r="A1707" t="s">
        <v>38</v>
      </c>
      <c r="B1707" s="88">
        <v>43511</v>
      </c>
      <c r="C1707">
        <v>12.354270312499999</v>
      </c>
      <c r="D1707" t="s">
        <v>240</v>
      </c>
    </row>
    <row r="1708" spans="1:4" x14ac:dyDescent="0.35">
      <c r="A1708" t="s">
        <v>38</v>
      </c>
      <c r="B1708" s="88">
        <v>43600</v>
      </c>
      <c r="C1708">
        <v>12.579670312499998</v>
      </c>
      <c r="D1708" t="s">
        <v>240</v>
      </c>
    </row>
    <row r="1709" spans="1:4" x14ac:dyDescent="0.35">
      <c r="A1709" t="s">
        <v>38</v>
      </c>
      <c r="B1709" s="88">
        <v>43692</v>
      </c>
      <c r="C1709">
        <v>12.579670312499998</v>
      </c>
      <c r="D1709" t="s">
        <v>240</v>
      </c>
    </row>
    <row r="1710" spans="1:4" x14ac:dyDescent="0.35">
      <c r="A1710" t="s">
        <v>38</v>
      </c>
      <c r="B1710" s="88">
        <v>43784</v>
      </c>
      <c r="C1710">
        <v>12.579670312499998</v>
      </c>
      <c r="D1710" t="s">
        <v>240</v>
      </c>
    </row>
    <row r="1711" spans="1:4" x14ac:dyDescent="0.35">
      <c r="A1711" t="s">
        <v>38</v>
      </c>
      <c r="B1711" s="88">
        <v>43876</v>
      </c>
      <c r="C1711">
        <v>12.579670312499998</v>
      </c>
      <c r="D1711" t="s">
        <v>240</v>
      </c>
    </row>
    <row r="1712" spans="1:4" x14ac:dyDescent="0.35">
      <c r="A1712" t="s">
        <v>38</v>
      </c>
      <c r="B1712" s="88">
        <v>43966</v>
      </c>
      <c r="C1712">
        <v>11.664270312499999</v>
      </c>
      <c r="D1712" t="s">
        <v>240</v>
      </c>
    </row>
    <row r="1713" spans="1:4" x14ac:dyDescent="0.35">
      <c r="A1713" t="s">
        <v>38</v>
      </c>
      <c r="B1713" s="88">
        <v>44058</v>
      </c>
      <c r="C1713">
        <v>11.664270312499999</v>
      </c>
      <c r="D1713" t="s">
        <v>240</v>
      </c>
    </row>
    <row r="1714" spans="1:4" x14ac:dyDescent="0.35">
      <c r="A1714" t="s">
        <v>38</v>
      </c>
      <c r="B1714" s="88">
        <v>44150</v>
      </c>
      <c r="C1714">
        <v>11.664270312499999</v>
      </c>
      <c r="D1714" t="s">
        <v>240</v>
      </c>
    </row>
    <row r="1715" spans="1:4" x14ac:dyDescent="0.35">
      <c r="A1715" t="s">
        <v>38</v>
      </c>
      <c r="B1715" s="88">
        <v>44242</v>
      </c>
      <c r="C1715">
        <v>11.664270312499999</v>
      </c>
      <c r="D1715" t="s">
        <v>240</v>
      </c>
    </row>
    <row r="1716" spans="1:4" x14ac:dyDescent="0.35">
      <c r="A1716" t="s">
        <v>38</v>
      </c>
      <c r="B1716" s="88">
        <v>44331</v>
      </c>
      <c r="C1716">
        <v>12.511820312499999</v>
      </c>
      <c r="D1716" t="s">
        <v>240</v>
      </c>
    </row>
    <row r="1717" spans="1:4" x14ac:dyDescent="0.35">
      <c r="A1717" t="s">
        <v>38</v>
      </c>
      <c r="B1717" s="88">
        <v>44423</v>
      </c>
      <c r="C1717">
        <v>12.511820312499999</v>
      </c>
      <c r="D1717" t="s">
        <v>240</v>
      </c>
    </row>
    <row r="1718" spans="1:4" x14ac:dyDescent="0.35">
      <c r="A1718" t="s">
        <v>38</v>
      </c>
      <c r="B1718" s="88">
        <v>44515</v>
      </c>
      <c r="C1718">
        <v>12.511820312499999</v>
      </c>
      <c r="D1718" t="s">
        <v>240</v>
      </c>
    </row>
    <row r="1719" spans="1:4" x14ac:dyDescent="0.35">
      <c r="A1719" t="s">
        <v>38</v>
      </c>
      <c r="B1719" s="88">
        <v>44607</v>
      </c>
      <c r="C1719">
        <v>12.511820312499999</v>
      </c>
      <c r="D1719" t="s">
        <v>240</v>
      </c>
    </row>
    <row r="1720" spans="1:4" x14ac:dyDescent="0.35">
      <c r="A1720" t="s">
        <v>38</v>
      </c>
      <c r="B1720" s="88">
        <v>44696</v>
      </c>
      <c r="C1720">
        <v>11.882590625000001</v>
      </c>
      <c r="D1720" t="s">
        <v>240</v>
      </c>
    </row>
    <row r="1721" spans="1:4" x14ac:dyDescent="0.35">
      <c r="A1721" t="s">
        <v>38</v>
      </c>
      <c r="B1721" s="88">
        <v>44788</v>
      </c>
      <c r="C1721">
        <v>11.882590625000001</v>
      </c>
      <c r="D1721" t="s">
        <v>240</v>
      </c>
    </row>
    <row r="1722" spans="1:4" x14ac:dyDescent="0.35">
      <c r="A1722" t="s">
        <v>38</v>
      </c>
      <c r="B1722" s="88">
        <v>44880</v>
      </c>
      <c r="C1722">
        <v>11.882590625000001</v>
      </c>
      <c r="D1722" t="s">
        <v>240</v>
      </c>
    </row>
    <row r="1723" spans="1:4" x14ac:dyDescent="0.35">
      <c r="A1723" t="s">
        <v>38</v>
      </c>
      <c r="B1723" s="88">
        <v>44972</v>
      </c>
      <c r="C1723">
        <v>11.882590625000001</v>
      </c>
      <c r="D1723" t="s">
        <v>240</v>
      </c>
    </row>
    <row r="1724" spans="1:4" x14ac:dyDescent="0.35">
      <c r="A1724" t="s">
        <v>38</v>
      </c>
      <c r="B1724" s="88">
        <v>45061</v>
      </c>
      <c r="C1724">
        <v>12.5551609375</v>
      </c>
      <c r="D1724" t="s">
        <v>240</v>
      </c>
    </row>
    <row r="1725" spans="1:4" x14ac:dyDescent="0.35">
      <c r="A1725" t="s">
        <v>38</v>
      </c>
      <c r="B1725" s="88">
        <v>45153</v>
      </c>
      <c r="C1725">
        <v>12.5551609375</v>
      </c>
      <c r="D1725" t="s">
        <v>240</v>
      </c>
    </row>
    <row r="1726" spans="1:4" x14ac:dyDescent="0.35">
      <c r="A1726" t="s">
        <v>38</v>
      </c>
      <c r="B1726" s="88">
        <v>45245</v>
      </c>
      <c r="C1726">
        <v>12.5551609375</v>
      </c>
      <c r="D1726" t="s">
        <v>240</v>
      </c>
    </row>
    <row r="1727" spans="1:4" x14ac:dyDescent="0.35">
      <c r="A1727" t="s">
        <v>38</v>
      </c>
      <c r="B1727" s="88">
        <v>45337</v>
      </c>
      <c r="C1727">
        <v>12.5551609375</v>
      </c>
      <c r="D1727" t="s">
        <v>240</v>
      </c>
    </row>
    <row r="1728" spans="1:4" x14ac:dyDescent="0.35">
      <c r="A1728" t="s">
        <v>38</v>
      </c>
      <c r="B1728" s="88">
        <v>45427</v>
      </c>
      <c r="C1728">
        <v>13.018431250000001</v>
      </c>
      <c r="D1728" t="s">
        <v>240</v>
      </c>
    </row>
    <row r="1729" spans="1:4" x14ac:dyDescent="0.35">
      <c r="A1729" t="s">
        <v>38</v>
      </c>
      <c r="B1729" s="88">
        <v>45519</v>
      </c>
      <c r="C1729">
        <v>13.018431250000001</v>
      </c>
      <c r="D1729" t="s">
        <v>240</v>
      </c>
    </row>
    <row r="1730" spans="1:4" x14ac:dyDescent="0.35">
      <c r="A1730" t="s">
        <v>38</v>
      </c>
      <c r="B1730" s="88">
        <v>45611</v>
      </c>
      <c r="C1730">
        <v>13.018431250000001</v>
      </c>
      <c r="D1730" t="s">
        <v>240</v>
      </c>
    </row>
    <row r="1731" spans="1:4" x14ac:dyDescent="0.35">
      <c r="A1731" t="s">
        <v>38</v>
      </c>
      <c r="B1731" s="88">
        <v>45703</v>
      </c>
      <c r="C1731">
        <v>13.018431250000001</v>
      </c>
      <c r="D1731" t="s">
        <v>240</v>
      </c>
    </row>
    <row r="1732" spans="1:4" x14ac:dyDescent="0.35">
      <c r="A1732" t="s">
        <v>38</v>
      </c>
      <c r="B1732" s="88">
        <v>45792</v>
      </c>
      <c r="C1732">
        <v>16.1980015625</v>
      </c>
      <c r="D1732" t="s">
        <v>240</v>
      </c>
    </row>
    <row r="1733" spans="1:4" x14ac:dyDescent="0.35">
      <c r="A1733" t="s">
        <v>38</v>
      </c>
      <c r="B1733" s="88">
        <v>45884</v>
      </c>
      <c r="C1733">
        <v>16.1980015625</v>
      </c>
      <c r="D1733" t="s">
        <v>240</v>
      </c>
    </row>
    <row r="1734" spans="1:4" x14ac:dyDescent="0.35">
      <c r="A1734" t="s">
        <v>38</v>
      </c>
      <c r="B1734" s="88">
        <v>45976</v>
      </c>
      <c r="C1734">
        <v>16.1980015625</v>
      </c>
      <c r="D1734" t="s">
        <v>240</v>
      </c>
    </row>
    <row r="1735" spans="1:4" x14ac:dyDescent="0.35">
      <c r="A1735" t="s">
        <v>38</v>
      </c>
      <c r="B1735" s="88">
        <v>46068</v>
      </c>
      <c r="C1735">
        <v>16.1980015625</v>
      </c>
      <c r="D1735" t="s">
        <v>240</v>
      </c>
    </row>
    <row r="1736" spans="1:4" x14ac:dyDescent="0.35">
      <c r="A1736" t="s">
        <v>38</v>
      </c>
      <c r="B1736" s="88">
        <v>46157</v>
      </c>
      <c r="C1736">
        <v>17.191120574999999</v>
      </c>
      <c r="D1736" t="s">
        <v>240</v>
      </c>
    </row>
    <row r="1737" spans="1:4" x14ac:dyDescent="0.35">
      <c r="A1737" t="s">
        <v>38</v>
      </c>
      <c r="B1737" s="88">
        <v>46249</v>
      </c>
      <c r="C1737">
        <v>17.191120574999999</v>
      </c>
      <c r="D1737" t="s">
        <v>240</v>
      </c>
    </row>
    <row r="1738" spans="1:4" x14ac:dyDescent="0.35">
      <c r="A1738" t="s">
        <v>39</v>
      </c>
      <c r="B1738" s="88">
        <v>43511</v>
      </c>
      <c r="C1738">
        <v>12.637170312499999</v>
      </c>
      <c r="D1738" t="s">
        <v>240</v>
      </c>
    </row>
    <row r="1739" spans="1:4" x14ac:dyDescent="0.35">
      <c r="A1739" t="s">
        <v>39</v>
      </c>
      <c r="B1739" s="88">
        <v>43600</v>
      </c>
      <c r="C1739">
        <v>12.866020312499998</v>
      </c>
      <c r="D1739" t="s">
        <v>240</v>
      </c>
    </row>
    <row r="1740" spans="1:4" x14ac:dyDescent="0.35">
      <c r="A1740" t="s">
        <v>39</v>
      </c>
      <c r="B1740" s="88">
        <v>43692</v>
      </c>
      <c r="C1740">
        <v>12.866020312499998</v>
      </c>
      <c r="D1740" t="s">
        <v>240</v>
      </c>
    </row>
    <row r="1741" spans="1:4" x14ac:dyDescent="0.35">
      <c r="A1741" t="s">
        <v>39</v>
      </c>
      <c r="B1741" s="88">
        <v>43784</v>
      </c>
      <c r="C1741">
        <v>12.866020312499998</v>
      </c>
      <c r="D1741" t="s">
        <v>240</v>
      </c>
    </row>
    <row r="1742" spans="1:4" x14ac:dyDescent="0.35">
      <c r="A1742" t="s">
        <v>39</v>
      </c>
      <c r="B1742" s="88">
        <v>43876</v>
      </c>
      <c r="C1742">
        <v>12.866020312499998</v>
      </c>
      <c r="D1742" t="s">
        <v>240</v>
      </c>
    </row>
    <row r="1743" spans="1:4" x14ac:dyDescent="0.35">
      <c r="A1743" t="s">
        <v>39</v>
      </c>
      <c r="B1743" s="88">
        <v>43966</v>
      </c>
      <c r="C1743">
        <v>11.444620312499998</v>
      </c>
      <c r="D1743" t="s">
        <v>240</v>
      </c>
    </row>
    <row r="1744" spans="1:4" x14ac:dyDescent="0.35">
      <c r="A1744" t="s">
        <v>39</v>
      </c>
      <c r="B1744" s="88">
        <v>44058</v>
      </c>
      <c r="C1744">
        <v>11.444620312499998</v>
      </c>
      <c r="D1744" t="s">
        <v>240</v>
      </c>
    </row>
    <row r="1745" spans="1:4" x14ac:dyDescent="0.35">
      <c r="A1745" t="s">
        <v>39</v>
      </c>
      <c r="B1745" s="88">
        <v>44150</v>
      </c>
      <c r="C1745">
        <v>11.444620312499998</v>
      </c>
      <c r="D1745" t="s">
        <v>240</v>
      </c>
    </row>
    <row r="1746" spans="1:4" x14ac:dyDescent="0.35">
      <c r="A1746" t="s">
        <v>39</v>
      </c>
      <c r="B1746" s="88">
        <v>44242</v>
      </c>
      <c r="C1746">
        <v>11.444620312499998</v>
      </c>
      <c r="D1746" t="s">
        <v>240</v>
      </c>
    </row>
    <row r="1747" spans="1:4" x14ac:dyDescent="0.35">
      <c r="A1747" t="s">
        <v>39</v>
      </c>
      <c r="B1747" s="88">
        <v>44331</v>
      </c>
      <c r="C1747">
        <v>12.057570312500001</v>
      </c>
      <c r="D1747" t="s">
        <v>240</v>
      </c>
    </row>
    <row r="1748" spans="1:4" x14ac:dyDescent="0.35">
      <c r="A1748" t="s">
        <v>39</v>
      </c>
      <c r="B1748" s="88">
        <v>44423</v>
      </c>
      <c r="C1748">
        <v>12.057570312500001</v>
      </c>
      <c r="D1748" t="s">
        <v>240</v>
      </c>
    </row>
    <row r="1749" spans="1:4" x14ac:dyDescent="0.35">
      <c r="A1749" t="s">
        <v>39</v>
      </c>
      <c r="B1749" s="88">
        <v>44515</v>
      </c>
      <c r="C1749">
        <v>12.057570312500001</v>
      </c>
      <c r="D1749" t="s">
        <v>240</v>
      </c>
    </row>
    <row r="1750" spans="1:4" x14ac:dyDescent="0.35">
      <c r="A1750" t="s">
        <v>39</v>
      </c>
      <c r="B1750" s="88">
        <v>44607</v>
      </c>
      <c r="C1750">
        <v>12.057570312500001</v>
      </c>
      <c r="D1750" t="s">
        <v>240</v>
      </c>
    </row>
    <row r="1751" spans="1:4" x14ac:dyDescent="0.35">
      <c r="A1751" t="s">
        <v>39</v>
      </c>
      <c r="B1751" s="88">
        <v>44696</v>
      </c>
      <c r="C1751">
        <v>13.351140624999998</v>
      </c>
      <c r="D1751" t="s">
        <v>240</v>
      </c>
    </row>
    <row r="1752" spans="1:4" x14ac:dyDescent="0.35">
      <c r="A1752" t="s">
        <v>39</v>
      </c>
      <c r="B1752" s="88">
        <v>44788</v>
      </c>
      <c r="C1752">
        <v>13.351140624999998</v>
      </c>
      <c r="D1752" t="s">
        <v>240</v>
      </c>
    </row>
    <row r="1753" spans="1:4" x14ac:dyDescent="0.35">
      <c r="A1753" t="s">
        <v>39</v>
      </c>
      <c r="B1753" s="88">
        <v>44880</v>
      </c>
      <c r="C1753">
        <v>13.351140624999998</v>
      </c>
      <c r="D1753" t="s">
        <v>240</v>
      </c>
    </row>
    <row r="1754" spans="1:4" x14ac:dyDescent="0.35">
      <c r="A1754" t="s">
        <v>39</v>
      </c>
      <c r="B1754" s="88">
        <v>44972</v>
      </c>
      <c r="C1754">
        <v>13.351140624999998</v>
      </c>
      <c r="D1754" t="s">
        <v>240</v>
      </c>
    </row>
    <row r="1755" spans="1:4" x14ac:dyDescent="0.35">
      <c r="A1755" t="s">
        <v>39</v>
      </c>
      <c r="B1755" s="88">
        <v>45061</v>
      </c>
      <c r="C1755">
        <v>14.943710937500001</v>
      </c>
      <c r="D1755" t="s">
        <v>240</v>
      </c>
    </row>
    <row r="1756" spans="1:4" x14ac:dyDescent="0.35">
      <c r="A1756" t="s">
        <v>39</v>
      </c>
      <c r="B1756" s="88">
        <v>45153</v>
      </c>
      <c r="C1756">
        <v>14.943710937500001</v>
      </c>
      <c r="D1756" t="s">
        <v>240</v>
      </c>
    </row>
    <row r="1757" spans="1:4" x14ac:dyDescent="0.35">
      <c r="A1757" t="s">
        <v>39</v>
      </c>
      <c r="B1757" s="88">
        <v>45245</v>
      </c>
      <c r="C1757">
        <v>14.943710937500001</v>
      </c>
      <c r="D1757" t="s">
        <v>240</v>
      </c>
    </row>
    <row r="1758" spans="1:4" x14ac:dyDescent="0.35">
      <c r="A1758" t="s">
        <v>39</v>
      </c>
      <c r="B1758" s="88">
        <v>45337</v>
      </c>
      <c r="C1758">
        <v>14.943710937500001</v>
      </c>
      <c r="D1758" t="s">
        <v>240</v>
      </c>
    </row>
    <row r="1759" spans="1:4" x14ac:dyDescent="0.35">
      <c r="A1759" t="s">
        <v>39</v>
      </c>
      <c r="B1759" s="88">
        <v>45427</v>
      </c>
      <c r="C1759">
        <v>16.77778125</v>
      </c>
      <c r="D1759" t="s">
        <v>240</v>
      </c>
    </row>
    <row r="1760" spans="1:4" x14ac:dyDescent="0.35">
      <c r="A1760" t="s">
        <v>39</v>
      </c>
      <c r="B1760" s="88">
        <v>45519</v>
      </c>
      <c r="C1760">
        <v>16.77778125</v>
      </c>
      <c r="D1760" t="s">
        <v>240</v>
      </c>
    </row>
    <row r="1761" spans="1:4" x14ac:dyDescent="0.35">
      <c r="A1761" t="s">
        <v>39</v>
      </c>
      <c r="B1761" s="88">
        <v>45611</v>
      </c>
      <c r="C1761">
        <v>16.77778125</v>
      </c>
      <c r="D1761" t="s">
        <v>240</v>
      </c>
    </row>
    <row r="1762" spans="1:4" x14ac:dyDescent="0.35">
      <c r="A1762" t="s">
        <v>39</v>
      </c>
      <c r="B1762" s="88">
        <v>45703</v>
      </c>
      <c r="C1762">
        <v>16.77778125</v>
      </c>
      <c r="D1762" t="s">
        <v>240</v>
      </c>
    </row>
    <row r="1763" spans="1:4" x14ac:dyDescent="0.35">
      <c r="A1763" t="s">
        <v>39</v>
      </c>
      <c r="B1763" s="88">
        <v>45792</v>
      </c>
      <c r="C1763">
        <v>20.256351562500001</v>
      </c>
      <c r="D1763" t="s">
        <v>240</v>
      </c>
    </row>
    <row r="1764" spans="1:4" x14ac:dyDescent="0.35">
      <c r="A1764" t="s">
        <v>39</v>
      </c>
      <c r="B1764" s="88">
        <v>45884</v>
      </c>
      <c r="C1764">
        <v>20.256351562500001</v>
      </c>
      <c r="D1764" t="s">
        <v>240</v>
      </c>
    </row>
    <row r="1765" spans="1:4" x14ac:dyDescent="0.35">
      <c r="A1765" t="s">
        <v>39</v>
      </c>
      <c r="B1765" s="88">
        <v>45976</v>
      </c>
      <c r="C1765">
        <v>20.256351562500001</v>
      </c>
      <c r="D1765" t="s">
        <v>240</v>
      </c>
    </row>
    <row r="1766" spans="1:4" x14ac:dyDescent="0.35">
      <c r="A1766" t="s">
        <v>39</v>
      </c>
      <c r="B1766" s="88">
        <v>46068</v>
      </c>
      <c r="C1766">
        <v>20.256351562500001</v>
      </c>
      <c r="D1766" t="s">
        <v>240</v>
      </c>
    </row>
    <row r="1767" spans="1:4" x14ac:dyDescent="0.35">
      <c r="A1767" t="s">
        <v>39</v>
      </c>
      <c r="B1767" s="88">
        <v>46157</v>
      </c>
      <c r="C1767">
        <v>20.295271875000001</v>
      </c>
      <c r="D1767" t="s">
        <v>240</v>
      </c>
    </row>
    <row r="1768" spans="1:4" x14ac:dyDescent="0.35">
      <c r="A1768" t="s">
        <v>39</v>
      </c>
      <c r="B1768" s="88">
        <v>46249</v>
      </c>
      <c r="C1768">
        <v>20.295271875000001</v>
      </c>
      <c r="D1768" t="s">
        <v>240</v>
      </c>
    </row>
    <row r="1769" spans="1:4" x14ac:dyDescent="0.35">
      <c r="A1769" t="s">
        <v>42</v>
      </c>
      <c r="B1769" s="88">
        <v>43511</v>
      </c>
      <c r="C1769">
        <v>10.321070312499998</v>
      </c>
      <c r="D1769" t="s">
        <v>240</v>
      </c>
    </row>
    <row r="1770" spans="1:4" x14ac:dyDescent="0.35">
      <c r="A1770" t="s">
        <v>42</v>
      </c>
      <c r="B1770" s="88">
        <v>43600</v>
      </c>
      <c r="C1770">
        <v>10.549920312499999</v>
      </c>
      <c r="D1770" t="s">
        <v>240</v>
      </c>
    </row>
    <row r="1771" spans="1:4" x14ac:dyDescent="0.35">
      <c r="A1771" t="s">
        <v>42</v>
      </c>
      <c r="B1771" s="88">
        <v>43692</v>
      </c>
      <c r="C1771">
        <v>10.549920312499999</v>
      </c>
      <c r="D1771" t="s">
        <v>240</v>
      </c>
    </row>
    <row r="1772" spans="1:4" x14ac:dyDescent="0.35">
      <c r="A1772" t="s">
        <v>42</v>
      </c>
      <c r="B1772" s="88">
        <v>43784</v>
      </c>
      <c r="C1772">
        <v>10.549920312499999</v>
      </c>
      <c r="D1772" t="s">
        <v>240</v>
      </c>
    </row>
    <row r="1773" spans="1:4" x14ac:dyDescent="0.35">
      <c r="A1773" t="s">
        <v>42</v>
      </c>
      <c r="B1773" s="88">
        <v>43876</v>
      </c>
      <c r="C1773">
        <v>10.549920312499999</v>
      </c>
      <c r="D1773" t="s">
        <v>240</v>
      </c>
    </row>
    <row r="1774" spans="1:4" x14ac:dyDescent="0.35">
      <c r="A1774" t="s">
        <v>42</v>
      </c>
      <c r="B1774" s="88">
        <v>43966</v>
      </c>
      <c r="C1774">
        <v>11.444620312499998</v>
      </c>
      <c r="D1774" t="s">
        <v>240</v>
      </c>
    </row>
    <row r="1775" spans="1:4" x14ac:dyDescent="0.35">
      <c r="A1775" t="s">
        <v>42</v>
      </c>
      <c r="B1775" s="88">
        <v>44058</v>
      </c>
      <c r="C1775">
        <v>11.444620312499998</v>
      </c>
      <c r="D1775" t="s">
        <v>240</v>
      </c>
    </row>
    <row r="1776" spans="1:4" x14ac:dyDescent="0.35">
      <c r="A1776" t="s">
        <v>42</v>
      </c>
      <c r="B1776" s="88">
        <v>44150</v>
      </c>
      <c r="C1776">
        <v>11.444620312499998</v>
      </c>
      <c r="D1776" t="s">
        <v>240</v>
      </c>
    </row>
    <row r="1777" spans="1:4" x14ac:dyDescent="0.35">
      <c r="A1777" t="s">
        <v>42</v>
      </c>
      <c r="B1777" s="88">
        <v>44242</v>
      </c>
      <c r="C1777">
        <v>11.444620312499998</v>
      </c>
      <c r="D1777" t="s">
        <v>240</v>
      </c>
    </row>
    <row r="1778" spans="1:4" x14ac:dyDescent="0.35">
      <c r="A1778" t="s">
        <v>42</v>
      </c>
      <c r="B1778" s="88">
        <v>44331</v>
      </c>
      <c r="C1778">
        <v>12.057570312500001</v>
      </c>
      <c r="D1778" t="s">
        <v>240</v>
      </c>
    </row>
    <row r="1779" spans="1:4" x14ac:dyDescent="0.35">
      <c r="A1779" t="s">
        <v>42</v>
      </c>
      <c r="B1779" s="88">
        <v>44423</v>
      </c>
      <c r="C1779">
        <v>12.057570312500001</v>
      </c>
      <c r="D1779" t="s">
        <v>240</v>
      </c>
    </row>
    <row r="1780" spans="1:4" x14ac:dyDescent="0.35">
      <c r="A1780" t="s">
        <v>42</v>
      </c>
      <c r="B1780" s="88">
        <v>44515</v>
      </c>
      <c r="C1780">
        <v>12.057570312500001</v>
      </c>
      <c r="D1780" t="s">
        <v>240</v>
      </c>
    </row>
    <row r="1781" spans="1:4" x14ac:dyDescent="0.35">
      <c r="A1781" t="s">
        <v>42</v>
      </c>
      <c r="B1781" s="88">
        <v>44607</v>
      </c>
      <c r="C1781">
        <v>12.057570312500001</v>
      </c>
      <c r="D1781" t="s">
        <v>240</v>
      </c>
    </row>
    <row r="1782" spans="1:4" x14ac:dyDescent="0.35">
      <c r="A1782" t="s">
        <v>42</v>
      </c>
      <c r="B1782" s="88">
        <v>44696</v>
      </c>
      <c r="C1782">
        <v>13.351140624999998</v>
      </c>
      <c r="D1782" t="s">
        <v>240</v>
      </c>
    </row>
    <row r="1783" spans="1:4" x14ac:dyDescent="0.35">
      <c r="A1783" t="s">
        <v>42</v>
      </c>
      <c r="B1783" s="88">
        <v>44788</v>
      </c>
      <c r="C1783">
        <v>13.351140624999998</v>
      </c>
      <c r="D1783" t="s">
        <v>240</v>
      </c>
    </row>
    <row r="1784" spans="1:4" x14ac:dyDescent="0.35">
      <c r="A1784" t="s">
        <v>42</v>
      </c>
      <c r="B1784" s="88">
        <v>44880</v>
      </c>
      <c r="C1784">
        <v>13.351140624999998</v>
      </c>
      <c r="D1784" t="s">
        <v>240</v>
      </c>
    </row>
    <row r="1785" spans="1:4" x14ac:dyDescent="0.35">
      <c r="A1785" t="s">
        <v>42</v>
      </c>
      <c r="B1785" s="88">
        <v>44972</v>
      </c>
      <c r="C1785">
        <v>13.351140624999998</v>
      </c>
      <c r="D1785" t="s">
        <v>240</v>
      </c>
    </row>
    <row r="1786" spans="1:4" x14ac:dyDescent="0.35">
      <c r="A1786" t="s">
        <v>42</v>
      </c>
      <c r="B1786" s="88">
        <v>45061</v>
      </c>
      <c r="C1786">
        <v>14.943710937500001</v>
      </c>
      <c r="D1786" t="s">
        <v>240</v>
      </c>
    </row>
    <row r="1787" spans="1:4" x14ac:dyDescent="0.35">
      <c r="A1787" t="s">
        <v>42</v>
      </c>
      <c r="B1787" s="88">
        <v>45153</v>
      </c>
      <c r="C1787">
        <v>14.943710937500001</v>
      </c>
      <c r="D1787" t="s">
        <v>240</v>
      </c>
    </row>
    <row r="1788" spans="1:4" x14ac:dyDescent="0.35">
      <c r="A1788" t="s">
        <v>42</v>
      </c>
      <c r="B1788" s="88">
        <v>45245</v>
      </c>
      <c r="C1788">
        <v>14.943710937500001</v>
      </c>
      <c r="D1788" t="s">
        <v>240</v>
      </c>
    </row>
    <row r="1789" spans="1:4" x14ac:dyDescent="0.35">
      <c r="A1789" t="s">
        <v>42</v>
      </c>
      <c r="B1789" s="88">
        <v>45337</v>
      </c>
      <c r="C1789">
        <v>14.943710937500001</v>
      </c>
      <c r="D1789" t="s">
        <v>240</v>
      </c>
    </row>
    <row r="1790" spans="1:4" x14ac:dyDescent="0.35">
      <c r="A1790" t="s">
        <v>42</v>
      </c>
      <c r="B1790" s="88">
        <v>45427</v>
      </c>
      <c r="C1790">
        <v>16.77778125</v>
      </c>
      <c r="D1790" t="s">
        <v>240</v>
      </c>
    </row>
    <row r="1791" spans="1:4" x14ac:dyDescent="0.35">
      <c r="A1791" t="s">
        <v>42</v>
      </c>
      <c r="B1791" s="88">
        <v>45519</v>
      </c>
      <c r="C1791">
        <v>16.77778125</v>
      </c>
      <c r="D1791" t="s">
        <v>240</v>
      </c>
    </row>
    <row r="1792" spans="1:4" x14ac:dyDescent="0.35">
      <c r="A1792" t="s">
        <v>42</v>
      </c>
      <c r="B1792" s="88">
        <v>45611</v>
      </c>
      <c r="C1792">
        <v>16.77778125</v>
      </c>
      <c r="D1792" t="s">
        <v>240</v>
      </c>
    </row>
    <row r="1793" spans="1:4" x14ac:dyDescent="0.35">
      <c r="A1793" t="s">
        <v>42</v>
      </c>
      <c r="B1793" s="88">
        <v>45703</v>
      </c>
      <c r="C1793">
        <v>16.77778125</v>
      </c>
      <c r="D1793" t="s">
        <v>240</v>
      </c>
    </row>
    <row r="1794" spans="1:4" x14ac:dyDescent="0.35">
      <c r="A1794" t="s">
        <v>42</v>
      </c>
      <c r="B1794" s="88">
        <v>45792</v>
      </c>
      <c r="C1794">
        <v>20.256351562500001</v>
      </c>
      <c r="D1794" t="s">
        <v>240</v>
      </c>
    </row>
    <row r="1795" spans="1:4" x14ac:dyDescent="0.35">
      <c r="A1795" t="s">
        <v>42</v>
      </c>
      <c r="B1795" s="88">
        <v>45884</v>
      </c>
      <c r="C1795">
        <v>20.256351562500001</v>
      </c>
      <c r="D1795" t="s">
        <v>240</v>
      </c>
    </row>
    <row r="1796" spans="1:4" x14ac:dyDescent="0.35">
      <c r="A1796" t="s">
        <v>42</v>
      </c>
      <c r="B1796" s="88">
        <v>45976</v>
      </c>
      <c r="C1796">
        <v>20.256351562500001</v>
      </c>
      <c r="D1796" t="s">
        <v>240</v>
      </c>
    </row>
    <row r="1797" spans="1:4" x14ac:dyDescent="0.35">
      <c r="A1797" t="s">
        <v>42</v>
      </c>
      <c r="B1797" s="88">
        <v>46068</v>
      </c>
      <c r="C1797">
        <v>20.256351562500001</v>
      </c>
      <c r="D1797" t="s">
        <v>240</v>
      </c>
    </row>
    <row r="1798" spans="1:4" x14ac:dyDescent="0.35">
      <c r="A1798" t="s">
        <v>42</v>
      </c>
      <c r="B1798" s="88">
        <v>46157</v>
      </c>
      <c r="C1798">
        <v>20.295271875000001</v>
      </c>
      <c r="D1798" t="s">
        <v>240</v>
      </c>
    </row>
    <row r="1799" spans="1:4" x14ac:dyDescent="0.35">
      <c r="A1799" t="s">
        <v>42</v>
      </c>
      <c r="B1799" s="88">
        <v>46249</v>
      </c>
      <c r="C1799">
        <v>20.295271875000001</v>
      </c>
      <c r="D1799" t="s">
        <v>240</v>
      </c>
    </row>
    <row r="1800" spans="1:4" x14ac:dyDescent="0.35">
      <c r="A1800" t="s">
        <v>239</v>
      </c>
      <c r="B1800" s="88">
        <v>43511</v>
      </c>
      <c r="C1800">
        <v>14.674970312500001</v>
      </c>
      <c r="D1800" t="s">
        <v>240</v>
      </c>
    </row>
    <row r="1801" spans="1:4" x14ac:dyDescent="0.35">
      <c r="A1801" t="s">
        <v>239</v>
      </c>
      <c r="B1801" s="88">
        <v>43600</v>
      </c>
      <c r="C1801">
        <v>14.801470312499998</v>
      </c>
      <c r="D1801" t="s">
        <v>240</v>
      </c>
    </row>
    <row r="1802" spans="1:4" x14ac:dyDescent="0.35">
      <c r="A1802" t="s">
        <v>239</v>
      </c>
      <c r="B1802" s="88">
        <v>43692</v>
      </c>
      <c r="C1802">
        <v>14.801470312499998</v>
      </c>
      <c r="D1802" t="s">
        <v>240</v>
      </c>
    </row>
    <row r="1803" spans="1:4" x14ac:dyDescent="0.35">
      <c r="A1803" t="s">
        <v>239</v>
      </c>
      <c r="B1803" s="88">
        <v>43784</v>
      </c>
      <c r="C1803">
        <v>14.801470312499998</v>
      </c>
      <c r="D1803" t="s">
        <v>240</v>
      </c>
    </row>
    <row r="1804" spans="1:4" x14ac:dyDescent="0.35">
      <c r="A1804" t="s">
        <v>239</v>
      </c>
      <c r="B1804" s="88">
        <v>43876</v>
      </c>
      <c r="C1804">
        <v>14.801470312499998</v>
      </c>
      <c r="D1804" t="s">
        <v>240</v>
      </c>
    </row>
    <row r="1805" spans="1:4" x14ac:dyDescent="0.35">
      <c r="A1805" t="s">
        <v>239</v>
      </c>
      <c r="B1805" s="88">
        <v>43966</v>
      </c>
      <c r="C1805">
        <v>14.697970312500001</v>
      </c>
      <c r="D1805" t="s">
        <v>240</v>
      </c>
    </row>
    <row r="1806" spans="1:4" x14ac:dyDescent="0.35">
      <c r="A1806" t="s">
        <v>239</v>
      </c>
      <c r="B1806" s="88">
        <v>44058</v>
      </c>
      <c r="C1806">
        <v>14.697970312500001</v>
      </c>
      <c r="D1806" t="s">
        <v>240</v>
      </c>
    </row>
    <row r="1807" spans="1:4" x14ac:dyDescent="0.35">
      <c r="A1807" t="s">
        <v>239</v>
      </c>
      <c r="B1807" s="88">
        <v>44150</v>
      </c>
      <c r="C1807">
        <v>14.697970312500001</v>
      </c>
      <c r="D1807" t="s">
        <v>240</v>
      </c>
    </row>
    <row r="1808" spans="1:4" x14ac:dyDescent="0.35">
      <c r="A1808" t="s">
        <v>239</v>
      </c>
      <c r="B1808" s="88">
        <v>44242</v>
      </c>
      <c r="C1808">
        <v>14.697970312500001</v>
      </c>
      <c r="D1808" t="s">
        <v>240</v>
      </c>
    </row>
    <row r="1809" spans="1:4" x14ac:dyDescent="0.35">
      <c r="A1809" t="s">
        <v>239</v>
      </c>
      <c r="B1809" s="88">
        <v>44331</v>
      </c>
      <c r="C1809">
        <v>14.760070312500002</v>
      </c>
      <c r="D1809" t="s">
        <v>240</v>
      </c>
    </row>
    <row r="1810" spans="1:4" x14ac:dyDescent="0.35">
      <c r="A1810" t="s">
        <v>239</v>
      </c>
      <c r="B1810" s="88">
        <v>44423</v>
      </c>
      <c r="C1810">
        <v>14.760070312500002</v>
      </c>
      <c r="D1810" t="s">
        <v>240</v>
      </c>
    </row>
    <row r="1811" spans="1:4" x14ac:dyDescent="0.35">
      <c r="A1811" t="s">
        <v>239</v>
      </c>
      <c r="B1811" s="88">
        <v>44515</v>
      </c>
      <c r="C1811">
        <v>14.760070312500002</v>
      </c>
      <c r="D1811" t="s">
        <v>240</v>
      </c>
    </row>
    <row r="1812" spans="1:4" x14ac:dyDescent="0.35">
      <c r="A1812" t="s">
        <v>239</v>
      </c>
      <c r="B1812" s="88">
        <v>44607</v>
      </c>
      <c r="C1812">
        <v>14.760070312500002</v>
      </c>
      <c r="D1812" t="s">
        <v>240</v>
      </c>
    </row>
    <row r="1813" spans="1:4" x14ac:dyDescent="0.35">
      <c r="A1813" t="s">
        <v>239</v>
      </c>
      <c r="B1813" s="88">
        <v>44696</v>
      </c>
      <c r="C1813">
        <v>15.034740624999998</v>
      </c>
      <c r="D1813" t="s">
        <v>240</v>
      </c>
    </row>
    <row r="1814" spans="1:4" x14ac:dyDescent="0.35">
      <c r="A1814" t="s">
        <v>239</v>
      </c>
      <c r="B1814" s="88">
        <v>44788</v>
      </c>
      <c r="C1814">
        <v>15.034740624999998</v>
      </c>
      <c r="D1814" t="s">
        <v>240</v>
      </c>
    </row>
    <row r="1815" spans="1:4" x14ac:dyDescent="0.35">
      <c r="A1815" t="s">
        <v>239</v>
      </c>
      <c r="B1815" s="88">
        <v>44880</v>
      </c>
      <c r="C1815">
        <v>15.034740624999998</v>
      </c>
      <c r="D1815" t="s">
        <v>240</v>
      </c>
    </row>
    <row r="1816" spans="1:4" x14ac:dyDescent="0.35">
      <c r="A1816" t="s">
        <v>239</v>
      </c>
      <c r="B1816" s="88">
        <v>44972</v>
      </c>
      <c r="C1816">
        <v>15.034740624999998</v>
      </c>
      <c r="D1816" t="s">
        <v>240</v>
      </c>
    </row>
    <row r="1817" spans="1:4" x14ac:dyDescent="0.35">
      <c r="A1817" t="s">
        <v>239</v>
      </c>
      <c r="B1817" s="88">
        <v>45061</v>
      </c>
      <c r="C1817">
        <v>15.6682109375</v>
      </c>
      <c r="D1817" t="s">
        <v>240</v>
      </c>
    </row>
    <row r="1818" spans="1:4" x14ac:dyDescent="0.35">
      <c r="A1818" t="s">
        <v>239</v>
      </c>
      <c r="B1818" s="88">
        <v>45153</v>
      </c>
      <c r="C1818">
        <v>15.6682109375</v>
      </c>
      <c r="D1818" t="s">
        <v>240</v>
      </c>
    </row>
    <row r="1819" spans="1:4" x14ac:dyDescent="0.35">
      <c r="A1819" t="s">
        <v>239</v>
      </c>
      <c r="B1819" s="88">
        <v>45245</v>
      </c>
      <c r="C1819">
        <v>15.6682109375</v>
      </c>
      <c r="D1819" t="s">
        <v>240</v>
      </c>
    </row>
    <row r="1820" spans="1:4" x14ac:dyDescent="0.35">
      <c r="A1820" t="s">
        <v>239</v>
      </c>
      <c r="B1820" s="88">
        <v>45337</v>
      </c>
      <c r="C1820">
        <v>15.6682109375</v>
      </c>
      <c r="D1820" t="s">
        <v>240</v>
      </c>
    </row>
    <row r="1821" spans="1:4" x14ac:dyDescent="0.35">
      <c r="A1821" t="s">
        <v>239</v>
      </c>
      <c r="B1821" s="88">
        <v>45427</v>
      </c>
      <c r="C1821">
        <v>16.522481249999998</v>
      </c>
      <c r="D1821" t="s">
        <v>240</v>
      </c>
    </row>
    <row r="1822" spans="1:4" x14ac:dyDescent="0.35">
      <c r="A1822" t="s">
        <v>239</v>
      </c>
      <c r="B1822" s="88">
        <v>45519</v>
      </c>
      <c r="C1822">
        <v>16.522481249999998</v>
      </c>
      <c r="D1822" t="s">
        <v>240</v>
      </c>
    </row>
    <row r="1823" spans="1:4" x14ac:dyDescent="0.35">
      <c r="A1823" t="s">
        <v>239</v>
      </c>
      <c r="B1823" s="88">
        <v>45611</v>
      </c>
      <c r="C1823">
        <v>16.522481249999998</v>
      </c>
      <c r="D1823" t="s">
        <v>240</v>
      </c>
    </row>
    <row r="1824" spans="1:4" x14ac:dyDescent="0.35">
      <c r="A1824" t="s">
        <v>239</v>
      </c>
      <c r="B1824" s="88">
        <v>45703</v>
      </c>
      <c r="C1824">
        <v>16.522481249999998</v>
      </c>
      <c r="D1824" t="s">
        <v>240</v>
      </c>
    </row>
    <row r="1825" spans="1:4" x14ac:dyDescent="0.35">
      <c r="A1825" t="s">
        <v>239</v>
      </c>
      <c r="B1825" s="88">
        <v>45792</v>
      </c>
      <c r="C1825">
        <v>18.041451562500001</v>
      </c>
      <c r="D1825" t="s">
        <v>240</v>
      </c>
    </row>
    <row r="1826" spans="1:4" x14ac:dyDescent="0.35">
      <c r="A1826" t="s">
        <v>239</v>
      </c>
      <c r="B1826" s="88">
        <v>45884</v>
      </c>
      <c r="C1826">
        <v>18.041451562500001</v>
      </c>
      <c r="D1826" t="s">
        <v>240</v>
      </c>
    </row>
    <row r="1827" spans="1:4" x14ac:dyDescent="0.35">
      <c r="A1827" t="s">
        <v>239</v>
      </c>
      <c r="B1827" s="88">
        <v>45976</v>
      </c>
      <c r="C1827">
        <v>18.041451562500001</v>
      </c>
      <c r="D1827" t="s">
        <v>240</v>
      </c>
    </row>
    <row r="1828" spans="1:4" x14ac:dyDescent="0.35">
      <c r="A1828" t="s">
        <v>239</v>
      </c>
      <c r="B1828" s="88">
        <v>46068</v>
      </c>
      <c r="C1828">
        <v>18.041451562500001</v>
      </c>
      <c r="D1828" t="s">
        <v>240</v>
      </c>
    </row>
    <row r="1829" spans="1:4" x14ac:dyDescent="0.35">
      <c r="A1829" t="s">
        <v>239</v>
      </c>
      <c r="B1829" s="88">
        <v>46157</v>
      </c>
      <c r="C1829">
        <v>19.029121875000001</v>
      </c>
      <c r="D1829" t="s">
        <v>240</v>
      </c>
    </row>
    <row r="1830" spans="1:4" x14ac:dyDescent="0.35">
      <c r="A1830" t="s">
        <v>239</v>
      </c>
      <c r="B1830" s="88">
        <v>46249</v>
      </c>
      <c r="C1830">
        <v>19.029121875000001</v>
      </c>
      <c r="D1830" t="s">
        <v>240</v>
      </c>
    </row>
    <row r="1831" spans="1:4" x14ac:dyDescent="0.35">
      <c r="A1831" t="s">
        <v>46</v>
      </c>
      <c r="B1831" s="88">
        <v>43511</v>
      </c>
      <c r="C1831">
        <v>9.5712703124999994</v>
      </c>
      <c r="D1831" t="s">
        <v>240</v>
      </c>
    </row>
    <row r="1832" spans="1:4" x14ac:dyDescent="0.35">
      <c r="A1832" t="s">
        <v>46</v>
      </c>
      <c r="B1832" s="88">
        <v>43600</v>
      </c>
      <c r="C1832">
        <v>9.2906703124999996</v>
      </c>
      <c r="D1832" t="s">
        <v>240</v>
      </c>
    </row>
    <row r="1833" spans="1:4" x14ac:dyDescent="0.35">
      <c r="A1833" t="s">
        <v>46</v>
      </c>
      <c r="B1833" s="88">
        <v>43692</v>
      </c>
      <c r="C1833">
        <v>9.2906703124999996</v>
      </c>
      <c r="D1833" t="s">
        <v>240</v>
      </c>
    </row>
    <row r="1834" spans="1:4" x14ac:dyDescent="0.35">
      <c r="A1834" t="s">
        <v>46</v>
      </c>
      <c r="B1834" s="88">
        <v>43784</v>
      </c>
      <c r="C1834">
        <v>9.2906703124999996</v>
      </c>
      <c r="D1834" t="s">
        <v>240</v>
      </c>
    </row>
    <row r="1835" spans="1:4" x14ac:dyDescent="0.35">
      <c r="A1835" t="s">
        <v>46</v>
      </c>
      <c r="B1835" s="88">
        <v>43876</v>
      </c>
      <c r="C1835">
        <v>9.2906703124999996</v>
      </c>
      <c r="D1835" t="s">
        <v>240</v>
      </c>
    </row>
    <row r="1836" spans="1:4" x14ac:dyDescent="0.35">
      <c r="A1836" t="s">
        <v>46</v>
      </c>
      <c r="B1836" s="88">
        <v>43966</v>
      </c>
      <c r="C1836">
        <v>8.7547703124999998</v>
      </c>
      <c r="D1836" t="s">
        <v>240</v>
      </c>
    </row>
    <row r="1837" spans="1:4" x14ac:dyDescent="0.35">
      <c r="A1837" t="s">
        <v>46</v>
      </c>
      <c r="B1837" s="88">
        <v>44058</v>
      </c>
      <c r="C1837">
        <v>8.7547703124999998</v>
      </c>
      <c r="D1837" t="s">
        <v>240</v>
      </c>
    </row>
    <row r="1838" spans="1:4" x14ac:dyDescent="0.35">
      <c r="A1838" t="s">
        <v>46</v>
      </c>
      <c r="B1838" s="88">
        <v>44150</v>
      </c>
      <c r="C1838">
        <v>8.7547703124999998</v>
      </c>
      <c r="D1838" t="s">
        <v>240</v>
      </c>
    </row>
    <row r="1839" spans="1:4" x14ac:dyDescent="0.35">
      <c r="A1839" t="s">
        <v>46</v>
      </c>
      <c r="B1839" s="88">
        <v>44242</v>
      </c>
      <c r="C1839">
        <v>8.7547703124999998</v>
      </c>
      <c r="D1839" t="s">
        <v>240</v>
      </c>
    </row>
    <row r="1840" spans="1:4" x14ac:dyDescent="0.35">
      <c r="A1840" t="s">
        <v>46</v>
      </c>
      <c r="B1840" s="88">
        <v>44331</v>
      </c>
      <c r="C1840">
        <v>8.5477703124999991</v>
      </c>
      <c r="D1840" t="s">
        <v>240</v>
      </c>
    </row>
    <row r="1841" spans="1:4" x14ac:dyDescent="0.35">
      <c r="A1841" t="s">
        <v>46</v>
      </c>
      <c r="B1841" s="88">
        <v>44423</v>
      </c>
      <c r="C1841">
        <v>8.5477703124999991</v>
      </c>
      <c r="D1841" t="s">
        <v>240</v>
      </c>
    </row>
    <row r="1842" spans="1:4" x14ac:dyDescent="0.35">
      <c r="A1842" t="s">
        <v>46</v>
      </c>
      <c r="B1842" s="88">
        <v>44515</v>
      </c>
      <c r="C1842">
        <v>8.5477703124999991</v>
      </c>
      <c r="D1842" t="s">
        <v>240</v>
      </c>
    </row>
    <row r="1843" spans="1:4" x14ac:dyDescent="0.35">
      <c r="A1843" t="s">
        <v>46</v>
      </c>
      <c r="B1843" s="88">
        <v>44607</v>
      </c>
      <c r="C1843">
        <v>8.5477703124999991</v>
      </c>
      <c r="D1843" t="s">
        <v>240</v>
      </c>
    </row>
    <row r="1844" spans="1:4" x14ac:dyDescent="0.35">
      <c r="A1844" t="s">
        <v>46</v>
      </c>
      <c r="B1844" s="88">
        <v>44696</v>
      </c>
      <c r="C1844">
        <v>8.1876406250000002</v>
      </c>
      <c r="D1844" t="s">
        <v>240</v>
      </c>
    </row>
    <row r="1845" spans="1:4" x14ac:dyDescent="0.35">
      <c r="A1845" t="s">
        <v>46</v>
      </c>
      <c r="B1845" s="88">
        <v>44788</v>
      </c>
      <c r="C1845">
        <v>8.1876406250000002</v>
      </c>
      <c r="D1845" t="s">
        <v>240</v>
      </c>
    </row>
    <row r="1846" spans="1:4" x14ac:dyDescent="0.35">
      <c r="A1846" t="s">
        <v>46</v>
      </c>
      <c r="B1846" s="88">
        <v>44880</v>
      </c>
      <c r="C1846">
        <v>8.1876406250000002</v>
      </c>
      <c r="D1846" t="s">
        <v>240</v>
      </c>
    </row>
    <row r="1847" spans="1:4" x14ac:dyDescent="0.35">
      <c r="A1847" t="s">
        <v>46</v>
      </c>
      <c r="B1847" s="88">
        <v>44972</v>
      </c>
      <c r="C1847">
        <v>8.1876406250000002</v>
      </c>
      <c r="D1847" t="s">
        <v>240</v>
      </c>
    </row>
    <row r="1848" spans="1:4" x14ac:dyDescent="0.35">
      <c r="A1848" t="s">
        <v>46</v>
      </c>
      <c r="B1848" s="88">
        <v>45061</v>
      </c>
      <c r="C1848">
        <v>7.8137109374999998</v>
      </c>
      <c r="D1848" t="s">
        <v>240</v>
      </c>
    </row>
    <row r="1849" spans="1:4" x14ac:dyDescent="0.35">
      <c r="A1849" t="s">
        <v>46</v>
      </c>
      <c r="B1849" s="88">
        <v>45153</v>
      </c>
      <c r="C1849">
        <v>7.8137109374999998</v>
      </c>
      <c r="D1849" t="s">
        <v>240</v>
      </c>
    </row>
    <row r="1850" spans="1:4" x14ac:dyDescent="0.35">
      <c r="A1850" t="s">
        <v>46</v>
      </c>
      <c r="B1850" s="88">
        <v>45245</v>
      </c>
      <c r="C1850">
        <v>7.8137109374999998</v>
      </c>
      <c r="D1850" t="s">
        <v>240</v>
      </c>
    </row>
    <row r="1851" spans="1:4" x14ac:dyDescent="0.35">
      <c r="A1851" t="s">
        <v>46</v>
      </c>
      <c r="B1851" s="88">
        <v>45337</v>
      </c>
      <c r="C1851">
        <v>7.8137109374999998</v>
      </c>
      <c r="D1851" t="s">
        <v>240</v>
      </c>
    </row>
    <row r="1852" spans="1:4" x14ac:dyDescent="0.35">
      <c r="A1852" t="s">
        <v>46</v>
      </c>
      <c r="B1852" s="88">
        <v>45427</v>
      </c>
      <c r="C1852">
        <v>8.4862812499999993</v>
      </c>
      <c r="D1852" t="s">
        <v>240</v>
      </c>
    </row>
    <row r="1853" spans="1:4" x14ac:dyDescent="0.35">
      <c r="A1853" t="s">
        <v>46</v>
      </c>
      <c r="B1853" s="88">
        <v>45519</v>
      </c>
      <c r="C1853">
        <v>8.4862812499999993</v>
      </c>
      <c r="D1853" t="s">
        <v>240</v>
      </c>
    </row>
    <row r="1854" spans="1:4" x14ac:dyDescent="0.35">
      <c r="A1854" t="s">
        <v>46</v>
      </c>
      <c r="B1854" s="88">
        <v>45611</v>
      </c>
      <c r="C1854">
        <v>8.4862812499999993</v>
      </c>
      <c r="D1854" t="s">
        <v>240</v>
      </c>
    </row>
    <row r="1855" spans="1:4" x14ac:dyDescent="0.35">
      <c r="A1855" t="s">
        <v>46</v>
      </c>
      <c r="B1855" s="88">
        <v>45703</v>
      </c>
      <c r="C1855">
        <v>8.4862812499999993</v>
      </c>
      <c r="D1855" t="s">
        <v>240</v>
      </c>
    </row>
    <row r="1856" spans="1:4" x14ac:dyDescent="0.35">
      <c r="A1856" t="s">
        <v>46</v>
      </c>
      <c r="B1856" s="88">
        <v>45792</v>
      </c>
      <c r="C1856">
        <v>10.517139562500001</v>
      </c>
      <c r="D1856" t="s">
        <v>240</v>
      </c>
    </row>
    <row r="1857" spans="1:4" x14ac:dyDescent="0.35">
      <c r="A1857" t="s">
        <v>46</v>
      </c>
      <c r="B1857" s="88">
        <v>45884</v>
      </c>
      <c r="C1857">
        <v>10.517139562500001</v>
      </c>
      <c r="D1857" t="s">
        <v>240</v>
      </c>
    </row>
    <row r="1858" spans="1:4" x14ac:dyDescent="0.35">
      <c r="A1858" t="s">
        <v>46</v>
      </c>
      <c r="B1858" s="88">
        <v>45976</v>
      </c>
      <c r="C1858">
        <v>10.517139562500001</v>
      </c>
      <c r="D1858" t="s">
        <v>240</v>
      </c>
    </row>
    <row r="1859" spans="1:4" x14ac:dyDescent="0.35">
      <c r="A1859" t="s">
        <v>46</v>
      </c>
      <c r="B1859" s="88">
        <v>46068</v>
      </c>
      <c r="C1859">
        <v>10.517139562500001</v>
      </c>
      <c r="D1859" t="s">
        <v>240</v>
      </c>
    </row>
    <row r="1860" spans="1:4" x14ac:dyDescent="0.35">
      <c r="A1860" t="s">
        <v>46</v>
      </c>
      <c r="B1860" s="88">
        <v>46157</v>
      </c>
      <c r="C1860">
        <v>11.459821874999999</v>
      </c>
      <c r="D1860" t="s">
        <v>240</v>
      </c>
    </row>
    <row r="1861" spans="1:4" x14ac:dyDescent="0.35">
      <c r="A1861" t="s">
        <v>46</v>
      </c>
      <c r="B1861" s="88">
        <v>46249</v>
      </c>
      <c r="C1861">
        <v>11.459821874999999</v>
      </c>
      <c r="D1861" t="s">
        <v>240</v>
      </c>
    </row>
    <row r="1862" spans="1:4" x14ac:dyDescent="0.35">
      <c r="A1862" t="s">
        <v>47</v>
      </c>
      <c r="B1862" s="88">
        <v>43511</v>
      </c>
      <c r="C1862">
        <v>9.2147703125000007</v>
      </c>
      <c r="D1862" t="s">
        <v>240</v>
      </c>
    </row>
    <row r="1863" spans="1:4" x14ac:dyDescent="0.35">
      <c r="A1863" t="s">
        <v>47</v>
      </c>
      <c r="B1863" s="88">
        <v>43600</v>
      </c>
      <c r="C1863">
        <v>8.5385703124999974</v>
      </c>
      <c r="D1863" t="s">
        <v>240</v>
      </c>
    </row>
    <row r="1864" spans="1:4" x14ac:dyDescent="0.35">
      <c r="A1864" t="s">
        <v>47</v>
      </c>
      <c r="B1864" s="88">
        <v>43692</v>
      </c>
      <c r="C1864">
        <v>8.5385703124999974</v>
      </c>
      <c r="D1864" t="s">
        <v>240</v>
      </c>
    </row>
    <row r="1865" spans="1:4" x14ac:dyDescent="0.35">
      <c r="A1865" t="s">
        <v>47</v>
      </c>
      <c r="B1865" s="88">
        <v>43784</v>
      </c>
      <c r="C1865">
        <v>8.5385703124999974</v>
      </c>
      <c r="D1865" t="s">
        <v>240</v>
      </c>
    </row>
    <row r="1866" spans="1:4" x14ac:dyDescent="0.35">
      <c r="A1866" t="s">
        <v>47</v>
      </c>
      <c r="B1866" s="88">
        <v>43876</v>
      </c>
      <c r="C1866">
        <v>8.5385703124999974</v>
      </c>
      <c r="D1866" t="s">
        <v>240</v>
      </c>
    </row>
    <row r="1867" spans="1:4" x14ac:dyDescent="0.35">
      <c r="A1867" t="s">
        <v>47</v>
      </c>
      <c r="B1867" s="88">
        <v>43966</v>
      </c>
      <c r="C1867">
        <v>9.0054703125</v>
      </c>
      <c r="D1867" t="s">
        <v>240</v>
      </c>
    </row>
    <row r="1868" spans="1:4" x14ac:dyDescent="0.35">
      <c r="A1868" t="s">
        <v>47</v>
      </c>
      <c r="B1868" s="88">
        <v>44058</v>
      </c>
      <c r="C1868">
        <v>9.0054703125</v>
      </c>
      <c r="D1868" t="s">
        <v>240</v>
      </c>
    </row>
    <row r="1869" spans="1:4" x14ac:dyDescent="0.35">
      <c r="A1869" t="s">
        <v>47</v>
      </c>
      <c r="B1869" s="88">
        <v>44150</v>
      </c>
      <c r="C1869">
        <v>9.0054703125</v>
      </c>
      <c r="D1869" t="s">
        <v>240</v>
      </c>
    </row>
    <row r="1870" spans="1:4" x14ac:dyDescent="0.35">
      <c r="A1870" t="s">
        <v>47</v>
      </c>
      <c r="B1870" s="88">
        <v>44242</v>
      </c>
      <c r="C1870">
        <v>9.0054703125</v>
      </c>
      <c r="D1870" t="s">
        <v>240</v>
      </c>
    </row>
    <row r="1871" spans="1:4" x14ac:dyDescent="0.35">
      <c r="A1871" t="s">
        <v>47</v>
      </c>
      <c r="B1871" s="88">
        <v>44331</v>
      </c>
      <c r="C1871">
        <v>9.5091703124999984</v>
      </c>
      <c r="D1871" t="s">
        <v>240</v>
      </c>
    </row>
    <row r="1872" spans="1:4" x14ac:dyDescent="0.35">
      <c r="A1872" t="s">
        <v>47</v>
      </c>
      <c r="B1872" s="88">
        <v>44423</v>
      </c>
      <c r="C1872">
        <v>9.5091703124999984</v>
      </c>
      <c r="D1872" t="s">
        <v>240</v>
      </c>
    </row>
    <row r="1873" spans="1:4" x14ac:dyDescent="0.35">
      <c r="A1873" t="s">
        <v>47</v>
      </c>
      <c r="B1873" s="88">
        <v>44515</v>
      </c>
      <c r="C1873">
        <v>9.5091703124999984</v>
      </c>
      <c r="D1873" t="s">
        <v>240</v>
      </c>
    </row>
    <row r="1874" spans="1:4" x14ac:dyDescent="0.35">
      <c r="A1874" t="s">
        <v>47</v>
      </c>
      <c r="B1874" s="88">
        <v>44607</v>
      </c>
      <c r="C1874">
        <v>9.5091703124999984</v>
      </c>
      <c r="D1874" t="s">
        <v>240</v>
      </c>
    </row>
    <row r="1875" spans="1:4" x14ac:dyDescent="0.35">
      <c r="A1875" t="s">
        <v>47</v>
      </c>
      <c r="B1875" s="88">
        <v>44696</v>
      </c>
      <c r="C1875">
        <v>9.7286406250000006</v>
      </c>
      <c r="D1875" t="s">
        <v>240</v>
      </c>
    </row>
    <row r="1876" spans="1:4" x14ac:dyDescent="0.35">
      <c r="A1876" t="s">
        <v>47</v>
      </c>
      <c r="B1876" s="88">
        <v>44788</v>
      </c>
      <c r="C1876">
        <v>9.7286406250000006</v>
      </c>
      <c r="D1876" t="s">
        <v>240</v>
      </c>
    </row>
    <row r="1877" spans="1:4" x14ac:dyDescent="0.35">
      <c r="A1877" t="s">
        <v>47</v>
      </c>
      <c r="B1877" s="88">
        <v>44880</v>
      </c>
      <c r="C1877">
        <v>9.7286406250000006</v>
      </c>
      <c r="D1877" t="s">
        <v>240</v>
      </c>
    </row>
    <row r="1878" spans="1:4" x14ac:dyDescent="0.35">
      <c r="A1878" t="s">
        <v>47</v>
      </c>
      <c r="B1878" s="88">
        <v>44972</v>
      </c>
      <c r="C1878">
        <v>9.7286406250000006</v>
      </c>
      <c r="D1878" t="s">
        <v>240</v>
      </c>
    </row>
    <row r="1879" spans="1:4" x14ac:dyDescent="0.35">
      <c r="A1879" t="s">
        <v>47</v>
      </c>
      <c r="B1879" s="88">
        <v>45061</v>
      </c>
      <c r="C1879">
        <v>9.7779109374999997</v>
      </c>
      <c r="D1879" t="s">
        <v>240</v>
      </c>
    </row>
    <row r="1880" spans="1:4" x14ac:dyDescent="0.35">
      <c r="A1880" t="s">
        <v>47</v>
      </c>
      <c r="B1880" s="88">
        <v>45153</v>
      </c>
      <c r="C1880">
        <v>9.7779109374999997</v>
      </c>
      <c r="D1880" t="s">
        <v>240</v>
      </c>
    </row>
    <row r="1881" spans="1:4" x14ac:dyDescent="0.35">
      <c r="A1881" t="s">
        <v>47</v>
      </c>
      <c r="B1881" s="88">
        <v>45245</v>
      </c>
      <c r="C1881">
        <v>9.7779109374999997</v>
      </c>
      <c r="D1881" t="s">
        <v>240</v>
      </c>
    </row>
    <row r="1882" spans="1:4" x14ac:dyDescent="0.35">
      <c r="A1882" t="s">
        <v>47</v>
      </c>
      <c r="B1882" s="88">
        <v>45337</v>
      </c>
      <c r="C1882">
        <v>9.7779109374999997</v>
      </c>
      <c r="D1882" t="s">
        <v>240</v>
      </c>
    </row>
    <row r="1883" spans="1:4" x14ac:dyDescent="0.35">
      <c r="A1883" t="s">
        <v>47</v>
      </c>
      <c r="B1883" s="88">
        <v>45427</v>
      </c>
      <c r="C1883">
        <v>10.271224999999999</v>
      </c>
      <c r="D1883" t="s">
        <v>240</v>
      </c>
    </row>
    <row r="1884" spans="1:4" x14ac:dyDescent="0.35">
      <c r="A1884" t="s">
        <v>47</v>
      </c>
      <c r="B1884" s="88">
        <v>45519</v>
      </c>
      <c r="C1884">
        <v>10.271224999999999</v>
      </c>
      <c r="D1884" t="s">
        <v>240</v>
      </c>
    </row>
    <row r="1885" spans="1:4" x14ac:dyDescent="0.35">
      <c r="A1885" t="s">
        <v>47</v>
      </c>
      <c r="B1885" s="88">
        <v>45611</v>
      </c>
      <c r="C1885">
        <v>10.271224999999999</v>
      </c>
      <c r="D1885" t="s">
        <v>240</v>
      </c>
    </row>
    <row r="1886" spans="1:4" x14ac:dyDescent="0.35">
      <c r="A1886" t="s">
        <v>47</v>
      </c>
      <c r="B1886" s="88">
        <v>45703</v>
      </c>
      <c r="C1886">
        <v>10.271224999999999</v>
      </c>
      <c r="D1886" t="s">
        <v>240</v>
      </c>
    </row>
    <row r="1887" spans="1:4" x14ac:dyDescent="0.35">
      <c r="A1887" t="s">
        <v>47</v>
      </c>
      <c r="B1887" s="88">
        <v>45792</v>
      </c>
      <c r="C1887">
        <v>10.89265625</v>
      </c>
      <c r="D1887" t="s">
        <v>240</v>
      </c>
    </row>
    <row r="1888" spans="1:4" x14ac:dyDescent="0.35">
      <c r="A1888" t="s">
        <v>47</v>
      </c>
      <c r="B1888" s="88">
        <v>45884</v>
      </c>
      <c r="C1888">
        <v>10.89265625</v>
      </c>
      <c r="D1888" t="s">
        <v>240</v>
      </c>
    </row>
    <row r="1889" spans="1:4" x14ac:dyDescent="0.35">
      <c r="A1889" t="s">
        <v>47</v>
      </c>
      <c r="B1889" s="88">
        <v>45976</v>
      </c>
      <c r="C1889">
        <v>10.89265625</v>
      </c>
      <c r="D1889" t="s">
        <v>240</v>
      </c>
    </row>
    <row r="1890" spans="1:4" x14ac:dyDescent="0.35">
      <c r="A1890" t="s">
        <v>47</v>
      </c>
      <c r="B1890" s="88">
        <v>46068</v>
      </c>
      <c r="C1890">
        <v>10.89265625</v>
      </c>
      <c r="D1890" t="s">
        <v>240</v>
      </c>
    </row>
    <row r="1891" spans="1:4" x14ac:dyDescent="0.35">
      <c r="A1891" t="s">
        <v>47</v>
      </c>
      <c r="B1891" s="88">
        <v>46157</v>
      </c>
      <c r="C1891">
        <v>11.886687500000001</v>
      </c>
      <c r="D1891" t="s">
        <v>240</v>
      </c>
    </row>
    <row r="1892" spans="1:4" x14ac:dyDescent="0.35">
      <c r="A1892" t="s">
        <v>47</v>
      </c>
      <c r="B1892" s="88">
        <v>46249</v>
      </c>
      <c r="C1892">
        <v>11.886687500000001</v>
      </c>
      <c r="D1892" t="s">
        <v>240</v>
      </c>
    </row>
    <row r="1893" spans="1:4" x14ac:dyDescent="0.35">
      <c r="A1893" t="s">
        <v>48</v>
      </c>
      <c r="B1893" s="88">
        <v>43511</v>
      </c>
      <c r="C1893">
        <v>9.897561249999999</v>
      </c>
      <c r="D1893" t="s">
        <v>240</v>
      </c>
    </row>
    <row r="1894" spans="1:4" x14ac:dyDescent="0.35">
      <c r="A1894" t="s">
        <v>48</v>
      </c>
      <c r="B1894" s="88">
        <v>43600</v>
      </c>
      <c r="C1894">
        <v>10.134905078125</v>
      </c>
      <c r="D1894" t="s">
        <v>240</v>
      </c>
    </row>
    <row r="1895" spans="1:4" x14ac:dyDescent="0.35">
      <c r="A1895" t="s">
        <v>48</v>
      </c>
      <c r="B1895" s="88">
        <v>43692</v>
      </c>
      <c r="C1895">
        <v>10.134905078125</v>
      </c>
      <c r="D1895" t="s">
        <v>240</v>
      </c>
    </row>
    <row r="1896" spans="1:4" x14ac:dyDescent="0.35">
      <c r="A1896" t="s">
        <v>48</v>
      </c>
      <c r="B1896" s="88">
        <v>43784</v>
      </c>
      <c r="C1896">
        <v>10.134905078125</v>
      </c>
      <c r="D1896" t="s">
        <v>240</v>
      </c>
    </row>
    <row r="1897" spans="1:4" x14ac:dyDescent="0.35">
      <c r="A1897" t="s">
        <v>48</v>
      </c>
      <c r="B1897" s="88">
        <v>43876</v>
      </c>
      <c r="C1897">
        <v>10.134905078125</v>
      </c>
      <c r="D1897" t="s">
        <v>240</v>
      </c>
    </row>
    <row r="1898" spans="1:4" x14ac:dyDescent="0.35">
      <c r="A1898" t="s">
        <v>48</v>
      </c>
      <c r="B1898" s="88">
        <v>43966</v>
      </c>
      <c r="C1898">
        <v>10.462520312499997</v>
      </c>
      <c r="D1898" t="s">
        <v>240</v>
      </c>
    </row>
    <row r="1899" spans="1:4" x14ac:dyDescent="0.35">
      <c r="A1899" t="s">
        <v>48</v>
      </c>
      <c r="B1899" s="88">
        <v>44058</v>
      </c>
      <c r="C1899">
        <v>10.462520312499997</v>
      </c>
      <c r="D1899" t="s">
        <v>240</v>
      </c>
    </row>
    <row r="1900" spans="1:4" x14ac:dyDescent="0.35">
      <c r="A1900" t="s">
        <v>48</v>
      </c>
      <c r="B1900" s="88">
        <v>44150</v>
      </c>
      <c r="C1900">
        <v>10.462520312499997</v>
      </c>
      <c r="D1900" t="s">
        <v>240</v>
      </c>
    </row>
    <row r="1901" spans="1:4" x14ac:dyDescent="0.35">
      <c r="A1901" t="s">
        <v>48</v>
      </c>
      <c r="B1901" s="88">
        <v>44242</v>
      </c>
      <c r="C1901">
        <v>10.462520312499997</v>
      </c>
      <c r="D1901" t="s">
        <v>240</v>
      </c>
    </row>
    <row r="1902" spans="1:4" x14ac:dyDescent="0.35">
      <c r="A1902" t="s">
        <v>48</v>
      </c>
      <c r="B1902" s="88">
        <v>44331</v>
      </c>
      <c r="C1902">
        <v>10.7842903125</v>
      </c>
      <c r="D1902" t="s">
        <v>240</v>
      </c>
    </row>
    <row r="1903" spans="1:4" x14ac:dyDescent="0.35">
      <c r="A1903" t="s">
        <v>48</v>
      </c>
      <c r="B1903" s="88">
        <v>44423</v>
      </c>
      <c r="C1903">
        <v>10.7842903125</v>
      </c>
      <c r="D1903" t="s">
        <v>240</v>
      </c>
    </row>
    <row r="1904" spans="1:4" x14ac:dyDescent="0.35">
      <c r="A1904" t="s">
        <v>48</v>
      </c>
      <c r="B1904" s="88">
        <v>44515</v>
      </c>
      <c r="C1904">
        <v>10.7842903125</v>
      </c>
      <c r="D1904" t="s">
        <v>240</v>
      </c>
    </row>
    <row r="1905" spans="1:4" x14ac:dyDescent="0.35">
      <c r="A1905" t="s">
        <v>48</v>
      </c>
      <c r="B1905" s="88">
        <v>44607</v>
      </c>
      <c r="C1905">
        <v>10.7842903125</v>
      </c>
      <c r="D1905" t="s">
        <v>240</v>
      </c>
    </row>
    <row r="1906" spans="1:4" x14ac:dyDescent="0.35">
      <c r="A1906" t="s">
        <v>48</v>
      </c>
      <c r="B1906" s="88">
        <v>44696</v>
      </c>
      <c r="C1906">
        <v>11.887305625</v>
      </c>
      <c r="D1906" t="s">
        <v>240</v>
      </c>
    </row>
    <row r="1907" spans="1:4" x14ac:dyDescent="0.35">
      <c r="A1907" t="s">
        <v>48</v>
      </c>
      <c r="B1907" s="88">
        <v>44788</v>
      </c>
      <c r="C1907">
        <v>11.887305625</v>
      </c>
      <c r="D1907" t="s">
        <v>240</v>
      </c>
    </row>
    <row r="1908" spans="1:4" x14ac:dyDescent="0.35">
      <c r="A1908" t="s">
        <v>48</v>
      </c>
      <c r="B1908" s="88">
        <v>44880</v>
      </c>
      <c r="C1908">
        <v>11.887305625</v>
      </c>
      <c r="D1908" t="s">
        <v>240</v>
      </c>
    </row>
    <row r="1909" spans="1:4" x14ac:dyDescent="0.35">
      <c r="A1909" t="s">
        <v>48</v>
      </c>
      <c r="B1909" s="88">
        <v>44972</v>
      </c>
      <c r="C1909">
        <v>11.887305625</v>
      </c>
      <c r="D1909" t="s">
        <v>240</v>
      </c>
    </row>
    <row r="1910" spans="1:4" x14ac:dyDescent="0.35">
      <c r="A1910" t="s">
        <v>48</v>
      </c>
      <c r="B1910" s="88">
        <v>45061</v>
      </c>
      <c r="C1910">
        <v>12.501455937499999</v>
      </c>
      <c r="D1910" t="s">
        <v>240</v>
      </c>
    </row>
    <row r="1911" spans="1:4" x14ac:dyDescent="0.35">
      <c r="A1911" t="s">
        <v>48</v>
      </c>
      <c r="B1911" s="88">
        <v>45153</v>
      </c>
      <c r="C1911">
        <v>12.501455937499999</v>
      </c>
      <c r="D1911" t="s">
        <v>240</v>
      </c>
    </row>
    <row r="1912" spans="1:4" x14ac:dyDescent="0.35">
      <c r="A1912" t="s">
        <v>48</v>
      </c>
      <c r="B1912" s="88">
        <v>45245</v>
      </c>
      <c r="C1912">
        <v>12.501455937499999</v>
      </c>
      <c r="D1912" t="s">
        <v>240</v>
      </c>
    </row>
    <row r="1913" spans="1:4" x14ac:dyDescent="0.35">
      <c r="A1913" t="s">
        <v>48</v>
      </c>
      <c r="B1913" s="88">
        <v>45337</v>
      </c>
      <c r="C1913">
        <v>12.501455937499999</v>
      </c>
      <c r="D1913" t="s">
        <v>240</v>
      </c>
    </row>
    <row r="1914" spans="1:4" x14ac:dyDescent="0.35">
      <c r="A1914" t="s">
        <v>48</v>
      </c>
      <c r="B1914" s="88">
        <v>45427</v>
      </c>
      <c r="C1914">
        <v>14.392681250000001</v>
      </c>
      <c r="D1914" t="s">
        <v>240</v>
      </c>
    </row>
    <row r="1915" spans="1:4" x14ac:dyDescent="0.35">
      <c r="A1915" t="s">
        <v>48</v>
      </c>
      <c r="B1915" s="88">
        <v>45519</v>
      </c>
      <c r="C1915">
        <v>14.392681250000001</v>
      </c>
      <c r="D1915" t="s">
        <v>240</v>
      </c>
    </row>
    <row r="1916" spans="1:4" x14ac:dyDescent="0.35">
      <c r="A1916" t="s">
        <v>48</v>
      </c>
      <c r="B1916" s="88">
        <v>45611</v>
      </c>
      <c r="C1916">
        <v>14.392681250000001</v>
      </c>
      <c r="D1916" t="s">
        <v>240</v>
      </c>
    </row>
    <row r="1917" spans="1:4" x14ac:dyDescent="0.35">
      <c r="A1917" t="s">
        <v>48</v>
      </c>
      <c r="B1917" s="88">
        <v>45703</v>
      </c>
      <c r="C1917">
        <v>14.392681250000001</v>
      </c>
      <c r="D1917" t="s">
        <v>240</v>
      </c>
    </row>
    <row r="1918" spans="1:4" x14ac:dyDescent="0.35">
      <c r="A1918" t="s">
        <v>48</v>
      </c>
      <c r="B1918" s="88">
        <v>45792</v>
      </c>
      <c r="C1918">
        <v>17.549711562500001</v>
      </c>
      <c r="D1918" t="s">
        <v>240</v>
      </c>
    </row>
    <row r="1919" spans="1:4" x14ac:dyDescent="0.35">
      <c r="A1919" t="s">
        <v>48</v>
      </c>
      <c r="B1919" s="88">
        <v>45884</v>
      </c>
      <c r="C1919">
        <v>17.549711562500001</v>
      </c>
      <c r="D1919" t="s">
        <v>240</v>
      </c>
    </row>
    <row r="1920" spans="1:4" x14ac:dyDescent="0.35">
      <c r="A1920" t="s">
        <v>48</v>
      </c>
      <c r="B1920" s="88">
        <v>45976</v>
      </c>
      <c r="C1920">
        <v>17.549711562500001</v>
      </c>
      <c r="D1920" t="s">
        <v>240</v>
      </c>
    </row>
    <row r="1921" spans="1:4" x14ac:dyDescent="0.35">
      <c r="A1921" t="s">
        <v>48</v>
      </c>
      <c r="B1921" s="88">
        <v>46068</v>
      </c>
      <c r="C1921">
        <v>17.549711562500001</v>
      </c>
      <c r="D1921" t="s">
        <v>240</v>
      </c>
    </row>
    <row r="1922" spans="1:4" x14ac:dyDescent="0.35">
      <c r="A1922" t="s">
        <v>48</v>
      </c>
      <c r="B1922" s="88">
        <v>46157</v>
      </c>
      <c r="C1922">
        <v>19.170801874999999</v>
      </c>
      <c r="D1922" t="s">
        <v>240</v>
      </c>
    </row>
    <row r="1923" spans="1:4" x14ac:dyDescent="0.35">
      <c r="A1923" t="s">
        <v>48</v>
      </c>
      <c r="B1923" s="88">
        <v>46249</v>
      </c>
      <c r="C1923">
        <v>19.170801874999999</v>
      </c>
      <c r="D1923" t="s">
        <v>240</v>
      </c>
    </row>
    <row r="1924" spans="1:4" x14ac:dyDescent="0.35">
      <c r="A1924" t="s">
        <v>49</v>
      </c>
      <c r="B1924" s="88">
        <v>43511</v>
      </c>
      <c r="C1924">
        <v>12.057570312499999</v>
      </c>
      <c r="D1924" t="s">
        <v>240</v>
      </c>
    </row>
    <row r="1925" spans="1:4" x14ac:dyDescent="0.35">
      <c r="A1925" t="s">
        <v>49</v>
      </c>
      <c r="B1925" s="88">
        <v>43600</v>
      </c>
      <c r="C1925">
        <v>12.057570312499999</v>
      </c>
      <c r="D1925" t="s">
        <v>240</v>
      </c>
    </row>
    <row r="1926" spans="1:4" x14ac:dyDescent="0.35">
      <c r="A1926" t="s">
        <v>49</v>
      </c>
      <c r="B1926" s="88">
        <v>43692</v>
      </c>
      <c r="C1926">
        <v>12.057570312499999</v>
      </c>
      <c r="D1926" t="s">
        <v>240</v>
      </c>
    </row>
    <row r="1927" spans="1:4" x14ac:dyDescent="0.35">
      <c r="A1927" t="s">
        <v>49</v>
      </c>
      <c r="B1927" s="88">
        <v>43784</v>
      </c>
      <c r="C1927">
        <v>12.057570312499999</v>
      </c>
      <c r="D1927" t="s">
        <v>240</v>
      </c>
    </row>
    <row r="1928" spans="1:4" x14ac:dyDescent="0.35">
      <c r="A1928" t="s">
        <v>49</v>
      </c>
      <c r="B1928" s="88">
        <v>43876</v>
      </c>
      <c r="C1928">
        <v>12.057570312499999</v>
      </c>
      <c r="D1928" t="s">
        <v>240</v>
      </c>
    </row>
    <row r="1929" spans="1:4" x14ac:dyDescent="0.35">
      <c r="A1929" t="s">
        <v>49</v>
      </c>
      <c r="B1929" s="88">
        <v>43966</v>
      </c>
      <c r="C1929">
        <v>12.057570312499998</v>
      </c>
      <c r="D1929" t="s">
        <v>240</v>
      </c>
    </row>
    <row r="1930" spans="1:4" x14ac:dyDescent="0.35">
      <c r="A1930" t="s">
        <v>49</v>
      </c>
      <c r="B1930" s="88">
        <v>44058</v>
      </c>
      <c r="C1930">
        <v>12.057570312499998</v>
      </c>
      <c r="D1930" t="s">
        <v>240</v>
      </c>
    </row>
    <row r="1931" spans="1:4" x14ac:dyDescent="0.35">
      <c r="A1931" t="s">
        <v>49</v>
      </c>
      <c r="B1931" s="88">
        <v>44150</v>
      </c>
      <c r="C1931">
        <v>12.057570312499998</v>
      </c>
      <c r="D1931" t="s">
        <v>240</v>
      </c>
    </row>
    <row r="1932" spans="1:4" x14ac:dyDescent="0.35">
      <c r="A1932" t="s">
        <v>49</v>
      </c>
      <c r="B1932" s="88">
        <v>44242</v>
      </c>
      <c r="C1932">
        <v>12.057570312499998</v>
      </c>
      <c r="D1932" t="s">
        <v>240</v>
      </c>
    </row>
    <row r="1933" spans="1:4" x14ac:dyDescent="0.35">
      <c r="A1933" t="s">
        <v>49</v>
      </c>
      <c r="B1933" s="88">
        <v>44331</v>
      </c>
      <c r="C1933">
        <v>12.025370312499998</v>
      </c>
      <c r="D1933" t="s">
        <v>240</v>
      </c>
    </row>
    <row r="1934" spans="1:4" x14ac:dyDescent="0.35">
      <c r="A1934" t="s">
        <v>49</v>
      </c>
      <c r="B1934" s="88">
        <v>44423</v>
      </c>
      <c r="C1934">
        <v>12.025370312499998</v>
      </c>
      <c r="D1934" t="s">
        <v>240</v>
      </c>
    </row>
    <row r="1935" spans="1:4" x14ac:dyDescent="0.35">
      <c r="A1935" t="s">
        <v>49</v>
      </c>
      <c r="B1935" s="88">
        <v>44515</v>
      </c>
      <c r="C1935">
        <v>12.025370312499998</v>
      </c>
      <c r="D1935" t="s">
        <v>240</v>
      </c>
    </row>
    <row r="1936" spans="1:4" x14ac:dyDescent="0.35">
      <c r="A1936" t="s">
        <v>49</v>
      </c>
      <c r="B1936" s="88">
        <v>44607</v>
      </c>
      <c r="C1936">
        <v>12.025370312499998</v>
      </c>
      <c r="D1936" t="s">
        <v>240</v>
      </c>
    </row>
    <row r="1937" spans="1:4" x14ac:dyDescent="0.35">
      <c r="A1937" t="s">
        <v>49</v>
      </c>
      <c r="B1937" s="88">
        <v>44696</v>
      </c>
      <c r="C1937">
        <v>12.369565671875</v>
      </c>
      <c r="D1937" t="s">
        <v>240</v>
      </c>
    </row>
    <row r="1938" spans="1:4" x14ac:dyDescent="0.35">
      <c r="A1938" t="s">
        <v>49</v>
      </c>
      <c r="B1938" s="88">
        <v>44788</v>
      </c>
      <c r="C1938">
        <v>12.369565671875</v>
      </c>
      <c r="D1938" t="s">
        <v>240</v>
      </c>
    </row>
    <row r="1939" spans="1:4" x14ac:dyDescent="0.35">
      <c r="A1939" t="s">
        <v>49</v>
      </c>
      <c r="B1939" s="88">
        <v>44880</v>
      </c>
      <c r="C1939">
        <v>12.369565671875</v>
      </c>
      <c r="D1939" t="s">
        <v>240</v>
      </c>
    </row>
    <row r="1940" spans="1:4" x14ac:dyDescent="0.35">
      <c r="A1940" t="s">
        <v>49</v>
      </c>
      <c r="B1940" s="88">
        <v>44972</v>
      </c>
      <c r="C1940">
        <v>12.369565671875</v>
      </c>
      <c r="D1940" t="s">
        <v>240</v>
      </c>
    </row>
    <row r="1941" spans="1:4" x14ac:dyDescent="0.35">
      <c r="A1941" t="s">
        <v>49</v>
      </c>
      <c r="B1941" s="88">
        <v>45061</v>
      </c>
      <c r="C1941">
        <v>13.083010937499999</v>
      </c>
      <c r="D1941" t="s">
        <v>240</v>
      </c>
    </row>
    <row r="1942" spans="1:4" x14ac:dyDescent="0.35">
      <c r="A1942" t="s">
        <v>49</v>
      </c>
      <c r="B1942" s="88">
        <v>45153</v>
      </c>
      <c r="C1942">
        <v>13.083010937499999</v>
      </c>
      <c r="D1942" t="s">
        <v>240</v>
      </c>
    </row>
    <row r="1943" spans="1:4" x14ac:dyDescent="0.35">
      <c r="A1943" t="s">
        <v>49</v>
      </c>
      <c r="B1943" s="88">
        <v>45245</v>
      </c>
      <c r="C1943">
        <v>13.083010937499999</v>
      </c>
      <c r="D1943" t="s">
        <v>240</v>
      </c>
    </row>
    <row r="1944" spans="1:4" x14ac:dyDescent="0.35">
      <c r="A1944" t="s">
        <v>49</v>
      </c>
      <c r="B1944" s="88">
        <v>45337</v>
      </c>
      <c r="C1944">
        <v>13.083010937499999</v>
      </c>
      <c r="D1944" t="s">
        <v>240</v>
      </c>
    </row>
    <row r="1945" spans="1:4" x14ac:dyDescent="0.35">
      <c r="A1945" t="s">
        <v>49</v>
      </c>
      <c r="B1945" s="88">
        <v>45427</v>
      </c>
      <c r="C1945">
        <v>14.47778125</v>
      </c>
      <c r="D1945" t="s">
        <v>240</v>
      </c>
    </row>
    <row r="1946" spans="1:4" x14ac:dyDescent="0.35">
      <c r="A1946" t="s">
        <v>49</v>
      </c>
      <c r="B1946" s="88">
        <v>45519</v>
      </c>
      <c r="C1946">
        <v>14.47778125</v>
      </c>
      <c r="D1946" t="s">
        <v>240</v>
      </c>
    </row>
    <row r="1947" spans="1:4" x14ac:dyDescent="0.35">
      <c r="A1947" t="s">
        <v>49</v>
      </c>
      <c r="B1947" s="88">
        <v>45611</v>
      </c>
      <c r="C1947">
        <v>14.47778125</v>
      </c>
      <c r="D1947" t="s">
        <v>240</v>
      </c>
    </row>
    <row r="1948" spans="1:4" x14ac:dyDescent="0.35">
      <c r="A1948" t="s">
        <v>49</v>
      </c>
      <c r="B1948" s="88">
        <v>45703</v>
      </c>
      <c r="C1948">
        <v>14.47778125</v>
      </c>
      <c r="D1948" t="s">
        <v>240</v>
      </c>
    </row>
    <row r="1949" spans="1:4" x14ac:dyDescent="0.35">
      <c r="A1949" t="s">
        <v>49</v>
      </c>
      <c r="B1949" s="88">
        <v>45792</v>
      </c>
      <c r="C1949">
        <v>16.569451562499999</v>
      </c>
      <c r="D1949" t="s">
        <v>240</v>
      </c>
    </row>
    <row r="1950" spans="1:4" x14ac:dyDescent="0.35">
      <c r="A1950" t="s">
        <v>49</v>
      </c>
      <c r="B1950" s="88">
        <v>45884</v>
      </c>
      <c r="C1950">
        <v>16.569451562499999</v>
      </c>
      <c r="D1950" t="s">
        <v>240</v>
      </c>
    </row>
    <row r="1951" spans="1:4" x14ac:dyDescent="0.35">
      <c r="A1951" t="s">
        <v>49</v>
      </c>
      <c r="B1951" s="88">
        <v>45976</v>
      </c>
      <c r="C1951">
        <v>16.569451562499999</v>
      </c>
      <c r="D1951" t="s">
        <v>240</v>
      </c>
    </row>
    <row r="1952" spans="1:4" x14ac:dyDescent="0.35">
      <c r="A1952" t="s">
        <v>49</v>
      </c>
      <c r="B1952" s="88">
        <v>46068</v>
      </c>
      <c r="C1952">
        <v>16.569451562499999</v>
      </c>
      <c r="D1952" t="s">
        <v>240</v>
      </c>
    </row>
    <row r="1953" spans="1:4" x14ac:dyDescent="0.35">
      <c r="A1953" t="s">
        <v>49</v>
      </c>
      <c r="B1953" s="88">
        <v>46157</v>
      </c>
      <c r="C1953">
        <v>17.925121874999999</v>
      </c>
      <c r="D1953" t="s">
        <v>240</v>
      </c>
    </row>
    <row r="1954" spans="1:4" x14ac:dyDescent="0.35">
      <c r="A1954" t="s">
        <v>49</v>
      </c>
      <c r="B1954" s="88">
        <v>46249</v>
      </c>
      <c r="C1954">
        <v>17.925121874999999</v>
      </c>
      <c r="D1954" t="s">
        <v>240</v>
      </c>
    </row>
    <row r="1955" spans="1:4" x14ac:dyDescent="0.35">
      <c r="A1955" t="s">
        <v>66</v>
      </c>
      <c r="B1955" s="88">
        <v>43511</v>
      </c>
      <c r="C1955">
        <v>11.518710047482186</v>
      </c>
      <c r="D1955" t="s">
        <v>240</v>
      </c>
    </row>
    <row r="1956" spans="1:4" x14ac:dyDescent="0.35">
      <c r="A1956" t="s">
        <v>66</v>
      </c>
      <c r="B1956" s="88">
        <v>43600</v>
      </c>
      <c r="C1956">
        <v>10.78358330552375</v>
      </c>
      <c r="D1956" t="s">
        <v>240</v>
      </c>
    </row>
    <row r="1957" spans="1:4" x14ac:dyDescent="0.35">
      <c r="A1957" t="s">
        <v>66</v>
      </c>
      <c r="B1957" s="88">
        <v>43692</v>
      </c>
      <c r="C1957">
        <v>10.78358330552375</v>
      </c>
      <c r="D1957" t="s">
        <v>240</v>
      </c>
    </row>
    <row r="1958" spans="1:4" x14ac:dyDescent="0.35">
      <c r="A1958" t="s">
        <v>66</v>
      </c>
      <c r="B1958" s="88">
        <v>43784</v>
      </c>
      <c r="C1958">
        <v>10.78358330552375</v>
      </c>
      <c r="D1958" t="s">
        <v>240</v>
      </c>
    </row>
    <row r="1959" spans="1:4" x14ac:dyDescent="0.35">
      <c r="A1959" t="s">
        <v>66</v>
      </c>
      <c r="B1959" s="88">
        <v>43876</v>
      </c>
      <c r="C1959">
        <v>10.78358330552375</v>
      </c>
      <c r="D1959" t="s">
        <v>240</v>
      </c>
    </row>
    <row r="1960" spans="1:4" x14ac:dyDescent="0.35">
      <c r="A1960" t="s">
        <v>66</v>
      </c>
      <c r="B1960" s="88">
        <v>43966</v>
      </c>
      <c r="C1960">
        <v>10.131303143862498</v>
      </c>
      <c r="D1960" t="s">
        <v>240</v>
      </c>
    </row>
    <row r="1961" spans="1:4" x14ac:dyDescent="0.35">
      <c r="A1961" t="s">
        <v>66</v>
      </c>
      <c r="B1961" s="88">
        <v>44058</v>
      </c>
      <c r="C1961">
        <v>10.131303143862498</v>
      </c>
      <c r="D1961" t="s">
        <v>240</v>
      </c>
    </row>
    <row r="1962" spans="1:4" x14ac:dyDescent="0.35">
      <c r="A1962" t="s">
        <v>66</v>
      </c>
      <c r="B1962" s="88">
        <v>44150</v>
      </c>
      <c r="C1962">
        <v>10.131303143862498</v>
      </c>
      <c r="D1962" t="s">
        <v>240</v>
      </c>
    </row>
    <row r="1963" spans="1:4" x14ac:dyDescent="0.35">
      <c r="A1963" t="s">
        <v>66</v>
      </c>
      <c r="B1963" s="88">
        <v>44242</v>
      </c>
      <c r="C1963">
        <v>10.131303143862498</v>
      </c>
      <c r="D1963" t="s">
        <v>240</v>
      </c>
    </row>
    <row r="1964" spans="1:4" x14ac:dyDescent="0.35">
      <c r="A1964" t="s">
        <v>66</v>
      </c>
      <c r="B1964" s="88">
        <v>44331</v>
      </c>
      <c r="C1964">
        <v>10.052216115620311</v>
      </c>
      <c r="D1964" t="s">
        <v>240</v>
      </c>
    </row>
    <row r="1965" spans="1:4" x14ac:dyDescent="0.35">
      <c r="A1965" t="s">
        <v>66</v>
      </c>
      <c r="B1965" s="88">
        <v>44423</v>
      </c>
      <c r="C1965">
        <v>10.052216115620311</v>
      </c>
      <c r="D1965" t="s">
        <v>240</v>
      </c>
    </row>
    <row r="1966" spans="1:4" x14ac:dyDescent="0.35">
      <c r="A1966" t="s">
        <v>66</v>
      </c>
      <c r="B1966" s="88">
        <v>44515</v>
      </c>
      <c r="C1966">
        <v>10.052216115620311</v>
      </c>
      <c r="D1966" t="s">
        <v>240</v>
      </c>
    </row>
    <row r="1967" spans="1:4" x14ac:dyDescent="0.35">
      <c r="A1967" t="s">
        <v>66</v>
      </c>
      <c r="B1967" s="88">
        <v>44607</v>
      </c>
      <c r="C1967">
        <v>10.052216115620311</v>
      </c>
      <c r="D1967" t="s">
        <v>240</v>
      </c>
    </row>
    <row r="1968" spans="1:4" x14ac:dyDescent="0.35">
      <c r="A1968" t="s">
        <v>66</v>
      </c>
      <c r="B1968" s="88">
        <v>44696</v>
      </c>
      <c r="C1968">
        <v>10.033653710931251</v>
      </c>
      <c r="D1968" t="s">
        <v>240</v>
      </c>
    </row>
    <row r="1969" spans="1:4" x14ac:dyDescent="0.35">
      <c r="A1969" t="s">
        <v>66</v>
      </c>
      <c r="B1969" s="88">
        <v>44788</v>
      </c>
      <c r="C1969">
        <v>10.033653710931251</v>
      </c>
      <c r="D1969" t="s">
        <v>240</v>
      </c>
    </row>
    <row r="1970" spans="1:4" x14ac:dyDescent="0.35">
      <c r="A1970" t="s">
        <v>66</v>
      </c>
      <c r="B1970" s="88">
        <v>44880</v>
      </c>
      <c r="C1970">
        <v>10.033653710931251</v>
      </c>
      <c r="D1970" t="s">
        <v>240</v>
      </c>
    </row>
    <row r="1971" spans="1:4" x14ac:dyDescent="0.35">
      <c r="A1971" t="s">
        <v>66</v>
      </c>
      <c r="B1971" s="88">
        <v>44972</v>
      </c>
      <c r="C1971">
        <v>10.033653710931251</v>
      </c>
      <c r="D1971" t="s">
        <v>240</v>
      </c>
    </row>
    <row r="1972" spans="1:4" x14ac:dyDescent="0.35">
      <c r="A1972" t="s">
        <v>66</v>
      </c>
      <c r="B1972" s="88">
        <v>45061</v>
      </c>
      <c r="C1972">
        <v>9.7424583393699997</v>
      </c>
      <c r="D1972" t="s">
        <v>240</v>
      </c>
    </row>
    <row r="1973" spans="1:4" x14ac:dyDescent="0.35">
      <c r="A1973" t="s">
        <v>66</v>
      </c>
      <c r="B1973" s="88">
        <v>45153</v>
      </c>
      <c r="C1973">
        <v>9.7424583393699997</v>
      </c>
      <c r="D1973" t="s">
        <v>240</v>
      </c>
    </row>
    <row r="1974" spans="1:4" x14ac:dyDescent="0.35">
      <c r="A1974" t="s">
        <v>66</v>
      </c>
      <c r="B1974" s="88">
        <v>45245</v>
      </c>
      <c r="C1974">
        <v>9.7424583393699997</v>
      </c>
      <c r="D1974" t="s">
        <v>240</v>
      </c>
    </row>
    <row r="1975" spans="1:4" x14ac:dyDescent="0.35">
      <c r="A1975" t="s">
        <v>66</v>
      </c>
      <c r="B1975" s="88">
        <v>45337</v>
      </c>
      <c r="C1975">
        <v>9.7424583393699997</v>
      </c>
      <c r="D1975" t="s">
        <v>240</v>
      </c>
    </row>
    <row r="1976" spans="1:4" x14ac:dyDescent="0.35">
      <c r="A1976" t="s">
        <v>66</v>
      </c>
      <c r="B1976" s="88">
        <v>45427</v>
      </c>
      <c r="C1976">
        <v>10.587861553939</v>
      </c>
      <c r="D1976" t="s">
        <v>240</v>
      </c>
    </row>
    <row r="1977" spans="1:4" x14ac:dyDescent="0.35">
      <c r="A1977" t="s">
        <v>66</v>
      </c>
      <c r="B1977" s="88">
        <v>45519</v>
      </c>
      <c r="C1977">
        <v>10.587861553939</v>
      </c>
      <c r="D1977" t="s">
        <v>240</v>
      </c>
    </row>
    <row r="1978" spans="1:4" x14ac:dyDescent="0.35">
      <c r="A1978" t="s">
        <v>66</v>
      </c>
      <c r="B1978" s="88">
        <v>45611</v>
      </c>
      <c r="C1978">
        <v>10.587861553939</v>
      </c>
      <c r="D1978" t="s">
        <v>240</v>
      </c>
    </row>
    <row r="1979" spans="1:4" x14ac:dyDescent="0.35">
      <c r="A1979" t="s">
        <v>66</v>
      </c>
      <c r="B1979" s="88">
        <v>45703</v>
      </c>
      <c r="C1979">
        <v>10.587861553939</v>
      </c>
      <c r="D1979" t="s">
        <v>240</v>
      </c>
    </row>
    <row r="1980" spans="1:4" x14ac:dyDescent="0.35">
      <c r="A1980" t="s">
        <v>66</v>
      </c>
      <c r="B1980" s="88">
        <v>45792</v>
      </c>
      <c r="C1980">
        <v>13.241842067141199</v>
      </c>
      <c r="D1980" t="s">
        <v>240</v>
      </c>
    </row>
    <row r="1981" spans="1:4" x14ac:dyDescent="0.35">
      <c r="A1981" t="s">
        <v>66</v>
      </c>
      <c r="B1981" s="88">
        <v>45884</v>
      </c>
      <c r="C1981">
        <v>13.241842067141199</v>
      </c>
      <c r="D1981" t="s">
        <v>240</v>
      </c>
    </row>
    <row r="1982" spans="1:4" x14ac:dyDescent="0.35">
      <c r="A1982" t="s">
        <v>66</v>
      </c>
      <c r="B1982" s="88">
        <v>45976</v>
      </c>
      <c r="C1982">
        <v>13.241842067141199</v>
      </c>
      <c r="D1982" t="s">
        <v>240</v>
      </c>
    </row>
    <row r="1983" spans="1:4" x14ac:dyDescent="0.35">
      <c r="A1983" t="s">
        <v>66</v>
      </c>
      <c r="B1983" s="88">
        <v>46068</v>
      </c>
      <c r="C1983">
        <v>13.241842067141199</v>
      </c>
      <c r="D1983" t="s">
        <v>240</v>
      </c>
    </row>
    <row r="1984" spans="1:4" x14ac:dyDescent="0.35">
      <c r="A1984" t="s">
        <v>66</v>
      </c>
      <c r="B1984" s="88">
        <v>46157</v>
      </c>
      <c r="C1984">
        <v>14.615251369215001</v>
      </c>
      <c r="D1984" t="s">
        <v>240</v>
      </c>
    </row>
    <row r="1985" spans="1:4" x14ac:dyDescent="0.35">
      <c r="A1985" t="s">
        <v>66</v>
      </c>
      <c r="B1985" s="88">
        <v>46249</v>
      </c>
      <c r="C1985">
        <v>14.615251369215001</v>
      </c>
      <c r="D1985" t="s">
        <v>240</v>
      </c>
    </row>
    <row r="1986" spans="1:4" x14ac:dyDescent="0.35">
      <c r="A1986" t="s">
        <v>50</v>
      </c>
      <c r="B1986" s="88">
        <v>43511</v>
      </c>
      <c r="C1986">
        <v>21.477220312499998</v>
      </c>
      <c r="D1986" t="s">
        <v>240</v>
      </c>
    </row>
    <row r="1987" spans="1:4" x14ac:dyDescent="0.35">
      <c r="A1987" t="s">
        <v>50</v>
      </c>
      <c r="B1987" s="88">
        <v>43600</v>
      </c>
      <c r="C1987">
        <v>21.437522312500001</v>
      </c>
      <c r="D1987" t="s">
        <v>240</v>
      </c>
    </row>
    <row r="1988" spans="1:4" x14ac:dyDescent="0.35">
      <c r="A1988" t="s">
        <v>50</v>
      </c>
      <c r="B1988" s="88">
        <v>43692</v>
      </c>
      <c r="C1988">
        <v>21.437522312500001</v>
      </c>
      <c r="D1988" t="s">
        <v>240</v>
      </c>
    </row>
    <row r="1989" spans="1:4" x14ac:dyDescent="0.35">
      <c r="A1989" t="s">
        <v>50</v>
      </c>
      <c r="B1989" s="88">
        <v>43784</v>
      </c>
      <c r="C1989">
        <v>21.437522312500001</v>
      </c>
      <c r="D1989" t="s">
        <v>240</v>
      </c>
    </row>
    <row r="1990" spans="1:4" x14ac:dyDescent="0.35">
      <c r="A1990" t="s">
        <v>50</v>
      </c>
      <c r="B1990" s="88">
        <v>43876</v>
      </c>
      <c r="C1990">
        <v>21.437522312500001</v>
      </c>
      <c r="D1990" t="s">
        <v>240</v>
      </c>
    </row>
    <row r="1991" spans="1:4" x14ac:dyDescent="0.35">
      <c r="A1991" t="s">
        <v>50</v>
      </c>
      <c r="B1991" s="88">
        <v>43966</v>
      </c>
      <c r="C1991">
        <v>19.197862812499999</v>
      </c>
      <c r="D1991" t="s">
        <v>240</v>
      </c>
    </row>
    <row r="1992" spans="1:4" x14ac:dyDescent="0.35">
      <c r="A1992" t="s">
        <v>50</v>
      </c>
      <c r="B1992" s="88">
        <v>44058</v>
      </c>
      <c r="C1992">
        <v>19.197862812499999</v>
      </c>
      <c r="D1992" t="s">
        <v>240</v>
      </c>
    </row>
    <row r="1993" spans="1:4" x14ac:dyDescent="0.35">
      <c r="A1993" t="s">
        <v>50</v>
      </c>
      <c r="B1993" s="88">
        <v>44150</v>
      </c>
      <c r="C1993">
        <v>19.197862812499999</v>
      </c>
      <c r="D1993" t="s">
        <v>240</v>
      </c>
    </row>
    <row r="1994" spans="1:4" x14ac:dyDescent="0.35">
      <c r="A1994" t="s">
        <v>50</v>
      </c>
      <c r="B1994" s="88">
        <v>44242</v>
      </c>
      <c r="C1994">
        <v>19.197862812499999</v>
      </c>
      <c r="D1994" t="s">
        <v>240</v>
      </c>
    </row>
    <row r="1995" spans="1:4" x14ac:dyDescent="0.35">
      <c r="A1995" t="s">
        <v>50</v>
      </c>
      <c r="B1995" s="88">
        <v>44331</v>
      </c>
      <c r="C1995">
        <v>17.998412812499996</v>
      </c>
      <c r="D1995" t="s">
        <v>240</v>
      </c>
    </row>
    <row r="1996" spans="1:4" x14ac:dyDescent="0.35">
      <c r="A1996" t="s">
        <v>50</v>
      </c>
      <c r="B1996" s="88">
        <v>44423</v>
      </c>
      <c r="C1996">
        <v>17.998412812499996</v>
      </c>
      <c r="D1996" t="s">
        <v>240</v>
      </c>
    </row>
    <row r="1997" spans="1:4" x14ac:dyDescent="0.35">
      <c r="A1997" t="s">
        <v>50</v>
      </c>
      <c r="B1997" s="88">
        <v>44515</v>
      </c>
      <c r="C1997">
        <v>17.998412812499996</v>
      </c>
      <c r="D1997" t="s">
        <v>240</v>
      </c>
    </row>
    <row r="1998" spans="1:4" x14ac:dyDescent="0.35">
      <c r="A1998" t="s">
        <v>50</v>
      </c>
      <c r="B1998" s="88">
        <v>44607</v>
      </c>
      <c r="C1998">
        <v>17.998412812499996</v>
      </c>
      <c r="D1998" t="s">
        <v>240</v>
      </c>
    </row>
    <row r="1999" spans="1:4" x14ac:dyDescent="0.35">
      <c r="A1999" t="s">
        <v>50</v>
      </c>
      <c r="B1999" s="88">
        <v>44696</v>
      </c>
      <c r="C1999">
        <v>17.177288489999999</v>
      </c>
      <c r="D1999" t="s">
        <v>240</v>
      </c>
    </row>
    <row r="2000" spans="1:4" x14ac:dyDescent="0.35">
      <c r="A2000" t="s">
        <v>50</v>
      </c>
      <c r="B2000" s="88">
        <v>44788</v>
      </c>
      <c r="C2000">
        <v>17.177288489999999</v>
      </c>
      <c r="D2000" t="s">
        <v>240</v>
      </c>
    </row>
    <row r="2001" spans="1:4" x14ac:dyDescent="0.35">
      <c r="A2001" t="s">
        <v>50</v>
      </c>
      <c r="B2001" s="88">
        <v>44880</v>
      </c>
      <c r="C2001">
        <v>17.177288489999999</v>
      </c>
      <c r="D2001" t="s">
        <v>240</v>
      </c>
    </row>
    <row r="2002" spans="1:4" x14ac:dyDescent="0.35">
      <c r="A2002" t="s">
        <v>50</v>
      </c>
      <c r="B2002" s="88">
        <v>44972</v>
      </c>
      <c r="C2002">
        <v>17.177288489999999</v>
      </c>
      <c r="D2002" t="s">
        <v>240</v>
      </c>
    </row>
    <row r="2003" spans="1:4" x14ac:dyDescent="0.35">
      <c r="A2003" t="s">
        <v>50</v>
      </c>
      <c r="B2003" s="88">
        <v>45061</v>
      </c>
      <c r="C2003">
        <v>17.7748926025</v>
      </c>
      <c r="D2003" t="s">
        <v>240</v>
      </c>
    </row>
    <row r="2004" spans="1:4" x14ac:dyDescent="0.35">
      <c r="A2004" t="s">
        <v>50</v>
      </c>
      <c r="B2004" s="88">
        <v>45153</v>
      </c>
      <c r="C2004">
        <v>17.7748926025</v>
      </c>
      <c r="D2004" t="s">
        <v>240</v>
      </c>
    </row>
    <row r="2005" spans="1:4" x14ac:dyDescent="0.35">
      <c r="A2005" t="s">
        <v>50</v>
      </c>
      <c r="B2005" s="88">
        <v>45245</v>
      </c>
      <c r="C2005">
        <v>17.7748926025</v>
      </c>
      <c r="D2005" t="s">
        <v>240</v>
      </c>
    </row>
    <row r="2006" spans="1:4" x14ac:dyDescent="0.35">
      <c r="A2006" t="s">
        <v>50</v>
      </c>
      <c r="B2006" s="88">
        <v>45337</v>
      </c>
      <c r="C2006">
        <v>17.7748926025</v>
      </c>
      <c r="D2006" t="s">
        <v>240</v>
      </c>
    </row>
    <row r="2007" spans="1:4" x14ac:dyDescent="0.35">
      <c r="A2007" t="s">
        <v>50</v>
      </c>
      <c r="B2007" s="88">
        <v>45427</v>
      </c>
      <c r="C2007">
        <v>18.90982674</v>
      </c>
      <c r="D2007" t="s">
        <v>240</v>
      </c>
    </row>
    <row r="2008" spans="1:4" x14ac:dyDescent="0.35">
      <c r="A2008" t="s">
        <v>50</v>
      </c>
      <c r="B2008" s="88">
        <v>45519</v>
      </c>
      <c r="C2008">
        <v>18.90982674</v>
      </c>
      <c r="D2008" t="s">
        <v>240</v>
      </c>
    </row>
    <row r="2009" spans="1:4" x14ac:dyDescent="0.35">
      <c r="A2009" t="s">
        <v>50</v>
      </c>
      <c r="B2009" s="88">
        <v>45611</v>
      </c>
      <c r="C2009">
        <v>18.90982674</v>
      </c>
      <c r="D2009" t="s">
        <v>240</v>
      </c>
    </row>
    <row r="2010" spans="1:4" x14ac:dyDescent="0.35">
      <c r="A2010" t="s">
        <v>50</v>
      </c>
      <c r="B2010" s="88">
        <v>45703</v>
      </c>
      <c r="C2010">
        <v>18.90982674</v>
      </c>
      <c r="D2010" t="s">
        <v>240</v>
      </c>
    </row>
    <row r="2011" spans="1:4" x14ac:dyDescent="0.35">
      <c r="A2011" t="s">
        <v>50</v>
      </c>
      <c r="B2011" s="88">
        <v>45792</v>
      </c>
      <c r="C2011">
        <v>22.7971352275</v>
      </c>
      <c r="D2011" t="s">
        <v>240</v>
      </c>
    </row>
    <row r="2012" spans="1:4" x14ac:dyDescent="0.35">
      <c r="A2012" t="s">
        <v>50</v>
      </c>
      <c r="B2012" s="88">
        <v>45884</v>
      </c>
      <c r="C2012">
        <v>22.7971352275</v>
      </c>
      <c r="D2012" t="s">
        <v>240</v>
      </c>
    </row>
    <row r="2013" spans="1:4" x14ac:dyDescent="0.35">
      <c r="A2013" t="s">
        <v>50</v>
      </c>
      <c r="B2013" s="88">
        <v>45976</v>
      </c>
      <c r="C2013">
        <v>22.7971352275</v>
      </c>
      <c r="D2013" t="s">
        <v>240</v>
      </c>
    </row>
    <row r="2014" spans="1:4" x14ac:dyDescent="0.35">
      <c r="A2014" t="s">
        <v>50</v>
      </c>
      <c r="B2014" s="88">
        <v>46068</v>
      </c>
      <c r="C2014">
        <v>22.7971352275</v>
      </c>
      <c r="D2014" t="s">
        <v>240</v>
      </c>
    </row>
    <row r="2015" spans="1:4" x14ac:dyDescent="0.35">
      <c r="A2015" t="s">
        <v>50</v>
      </c>
      <c r="B2015" s="88">
        <v>46157</v>
      </c>
      <c r="C2015">
        <v>25.627532765000002</v>
      </c>
      <c r="D2015" t="s">
        <v>240</v>
      </c>
    </row>
    <row r="2016" spans="1:4" x14ac:dyDescent="0.35">
      <c r="A2016" t="s">
        <v>50</v>
      </c>
      <c r="B2016" s="88">
        <v>46249</v>
      </c>
      <c r="C2016">
        <v>25.627532765000002</v>
      </c>
      <c r="D2016" t="s">
        <v>240</v>
      </c>
    </row>
    <row r="2017" spans="1:4" x14ac:dyDescent="0.35">
      <c r="A2017" t="s">
        <v>61</v>
      </c>
      <c r="B2017" s="88">
        <v>43511</v>
      </c>
      <c r="C2017">
        <v>14.596905427031581</v>
      </c>
      <c r="D2017" t="s">
        <v>240</v>
      </c>
    </row>
    <row r="2018" spans="1:4" x14ac:dyDescent="0.35">
      <c r="A2018" t="s">
        <v>61</v>
      </c>
      <c r="B2018" s="88">
        <v>43600</v>
      </c>
      <c r="C2018">
        <v>13.913504999999999</v>
      </c>
      <c r="D2018" t="s">
        <v>240</v>
      </c>
    </row>
    <row r="2019" spans="1:4" x14ac:dyDescent="0.35">
      <c r="A2019" t="s">
        <v>61</v>
      </c>
      <c r="B2019" s="88">
        <v>43692</v>
      </c>
      <c r="C2019">
        <v>13.913504999999999</v>
      </c>
      <c r="D2019" t="s">
        <v>240</v>
      </c>
    </row>
    <row r="2020" spans="1:4" x14ac:dyDescent="0.35">
      <c r="A2020" t="s">
        <v>61</v>
      </c>
      <c r="B2020" s="88">
        <v>43784</v>
      </c>
      <c r="C2020">
        <v>13.913504999999999</v>
      </c>
      <c r="D2020" t="s">
        <v>240</v>
      </c>
    </row>
    <row r="2021" spans="1:4" x14ac:dyDescent="0.35">
      <c r="A2021" t="s">
        <v>61</v>
      </c>
      <c r="B2021" s="88">
        <v>43876</v>
      </c>
      <c r="C2021">
        <v>13.913504999999999</v>
      </c>
      <c r="D2021" t="s">
        <v>240</v>
      </c>
    </row>
    <row r="2022" spans="1:4" x14ac:dyDescent="0.35">
      <c r="A2022" t="s">
        <v>61</v>
      </c>
      <c r="B2022" s="88">
        <v>43966</v>
      </c>
      <c r="C2022">
        <v>11.930403600000002</v>
      </c>
      <c r="D2022" t="s">
        <v>240</v>
      </c>
    </row>
    <row r="2023" spans="1:4" x14ac:dyDescent="0.35">
      <c r="A2023" t="s">
        <v>61</v>
      </c>
      <c r="B2023" s="88">
        <v>44058</v>
      </c>
      <c r="C2023">
        <v>11.930403600000002</v>
      </c>
      <c r="D2023" t="s">
        <v>240</v>
      </c>
    </row>
    <row r="2024" spans="1:4" x14ac:dyDescent="0.35">
      <c r="A2024" t="s">
        <v>61</v>
      </c>
      <c r="B2024" s="88">
        <v>44150</v>
      </c>
      <c r="C2024">
        <v>11.930403600000002</v>
      </c>
      <c r="D2024" t="s">
        <v>240</v>
      </c>
    </row>
    <row r="2025" spans="1:4" x14ac:dyDescent="0.35">
      <c r="A2025" t="s">
        <v>61</v>
      </c>
      <c r="B2025" s="88">
        <v>44242</v>
      </c>
      <c r="C2025">
        <v>11.930403600000002</v>
      </c>
      <c r="D2025" t="s">
        <v>240</v>
      </c>
    </row>
    <row r="2026" spans="1:4" x14ac:dyDescent="0.35">
      <c r="A2026" t="s">
        <v>61</v>
      </c>
      <c r="B2026" s="88">
        <v>44331</v>
      </c>
      <c r="C2026">
        <v>12.273443999999998</v>
      </c>
      <c r="D2026" t="s">
        <v>240</v>
      </c>
    </row>
    <row r="2027" spans="1:4" x14ac:dyDescent="0.35">
      <c r="A2027" t="s">
        <v>61</v>
      </c>
      <c r="B2027" s="88">
        <v>44423</v>
      </c>
      <c r="C2027">
        <v>12.273443999999998</v>
      </c>
      <c r="D2027" t="s">
        <v>240</v>
      </c>
    </row>
    <row r="2028" spans="1:4" x14ac:dyDescent="0.35">
      <c r="A2028" t="s">
        <v>61</v>
      </c>
      <c r="B2028" s="88">
        <v>44515</v>
      </c>
      <c r="C2028">
        <v>12.273443999999998</v>
      </c>
      <c r="D2028" t="s">
        <v>240</v>
      </c>
    </row>
    <row r="2029" spans="1:4" x14ac:dyDescent="0.35">
      <c r="A2029" t="s">
        <v>61</v>
      </c>
      <c r="B2029" s="88">
        <v>44607</v>
      </c>
      <c r="C2029">
        <v>12.273443999999998</v>
      </c>
      <c r="D2029" t="s">
        <v>240</v>
      </c>
    </row>
    <row r="2030" spans="1:4" x14ac:dyDescent="0.35">
      <c r="A2030" t="s">
        <v>61</v>
      </c>
      <c r="B2030" s="88">
        <v>44696</v>
      </c>
      <c r="C2030">
        <v>13.513226512499999</v>
      </c>
      <c r="D2030" t="s">
        <v>240</v>
      </c>
    </row>
    <row r="2031" spans="1:4" x14ac:dyDescent="0.35">
      <c r="A2031" t="s">
        <v>61</v>
      </c>
      <c r="B2031" s="88">
        <v>44788</v>
      </c>
      <c r="C2031">
        <v>13.513226512499999</v>
      </c>
      <c r="D2031" t="s">
        <v>240</v>
      </c>
    </row>
    <row r="2032" spans="1:4" x14ac:dyDescent="0.35">
      <c r="A2032" t="s">
        <v>61</v>
      </c>
      <c r="B2032" s="88">
        <v>44880</v>
      </c>
      <c r="C2032">
        <v>13.513226512499999</v>
      </c>
      <c r="D2032" t="s">
        <v>240</v>
      </c>
    </row>
    <row r="2033" spans="1:4" x14ac:dyDescent="0.35">
      <c r="A2033" t="s">
        <v>61</v>
      </c>
      <c r="B2033" s="88">
        <v>44972</v>
      </c>
      <c r="C2033">
        <v>13.513226512499999</v>
      </c>
      <c r="D2033" t="s">
        <v>240</v>
      </c>
    </row>
    <row r="2034" spans="1:4" x14ac:dyDescent="0.35">
      <c r="A2034" t="s">
        <v>61</v>
      </c>
      <c r="B2034" s="88">
        <v>45061</v>
      </c>
      <c r="C2034">
        <v>14.871620025</v>
      </c>
      <c r="D2034" t="s">
        <v>240</v>
      </c>
    </row>
    <row r="2035" spans="1:4" x14ac:dyDescent="0.35">
      <c r="A2035" t="s">
        <v>61</v>
      </c>
      <c r="B2035" s="88">
        <v>45153</v>
      </c>
      <c r="C2035">
        <v>14.871620025</v>
      </c>
      <c r="D2035" t="s">
        <v>240</v>
      </c>
    </row>
    <row r="2036" spans="1:4" x14ac:dyDescent="0.35">
      <c r="A2036" t="s">
        <v>61</v>
      </c>
      <c r="B2036" s="88">
        <v>45245</v>
      </c>
      <c r="C2036">
        <v>14.871620025</v>
      </c>
      <c r="D2036" t="s">
        <v>240</v>
      </c>
    </row>
    <row r="2037" spans="1:4" x14ac:dyDescent="0.35">
      <c r="A2037" t="s">
        <v>61</v>
      </c>
      <c r="B2037" s="88">
        <v>45337</v>
      </c>
      <c r="C2037">
        <v>14.871620025</v>
      </c>
      <c r="D2037" t="s">
        <v>240</v>
      </c>
    </row>
    <row r="2038" spans="1:4" x14ac:dyDescent="0.35">
      <c r="A2038" t="s">
        <v>61</v>
      </c>
      <c r="B2038" s="88">
        <v>45427</v>
      </c>
      <c r="C2038">
        <v>17.385671250000001</v>
      </c>
      <c r="D2038" t="s">
        <v>240</v>
      </c>
    </row>
    <row r="2039" spans="1:4" x14ac:dyDescent="0.35">
      <c r="A2039" t="s">
        <v>61</v>
      </c>
      <c r="B2039" s="88">
        <v>45519</v>
      </c>
      <c r="C2039">
        <v>17.385671250000001</v>
      </c>
      <c r="D2039" t="s">
        <v>240</v>
      </c>
    </row>
    <row r="2040" spans="1:4" x14ac:dyDescent="0.35">
      <c r="A2040" t="s">
        <v>61</v>
      </c>
      <c r="B2040" s="88">
        <v>45611</v>
      </c>
      <c r="C2040">
        <v>17.385671250000001</v>
      </c>
      <c r="D2040" t="s">
        <v>240</v>
      </c>
    </row>
    <row r="2041" spans="1:4" x14ac:dyDescent="0.35">
      <c r="A2041" t="s">
        <v>61</v>
      </c>
      <c r="B2041" s="88">
        <v>45703</v>
      </c>
      <c r="C2041">
        <v>17.385671250000001</v>
      </c>
      <c r="D2041" t="s">
        <v>240</v>
      </c>
    </row>
    <row r="2042" spans="1:4" x14ac:dyDescent="0.35">
      <c r="A2042" t="s">
        <v>61</v>
      </c>
      <c r="B2042" s="88">
        <v>45792</v>
      </c>
      <c r="C2042">
        <v>21.288591562499999</v>
      </c>
      <c r="D2042" t="s">
        <v>240</v>
      </c>
    </row>
    <row r="2043" spans="1:4" x14ac:dyDescent="0.35">
      <c r="A2043" t="s">
        <v>61</v>
      </c>
      <c r="B2043" s="88">
        <v>45884</v>
      </c>
      <c r="C2043">
        <v>21.288591562499999</v>
      </c>
      <c r="D2043" t="s">
        <v>240</v>
      </c>
    </row>
    <row r="2044" spans="1:4" x14ac:dyDescent="0.35">
      <c r="A2044" t="s">
        <v>61</v>
      </c>
      <c r="B2044" s="88">
        <v>45976</v>
      </c>
      <c r="C2044">
        <v>21.288591562499999</v>
      </c>
      <c r="D2044" t="s">
        <v>240</v>
      </c>
    </row>
    <row r="2045" spans="1:4" x14ac:dyDescent="0.35">
      <c r="A2045" t="s">
        <v>61</v>
      </c>
      <c r="B2045" s="88">
        <v>46068</v>
      </c>
      <c r="C2045">
        <v>21.288591562499999</v>
      </c>
      <c r="D2045" t="s">
        <v>240</v>
      </c>
    </row>
    <row r="2046" spans="1:4" x14ac:dyDescent="0.35">
      <c r="A2046" t="s">
        <v>61</v>
      </c>
      <c r="B2046" s="88">
        <v>46157</v>
      </c>
      <c r="C2046">
        <v>24.502316875000002</v>
      </c>
      <c r="D2046" t="s">
        <v>240</v>
      </c>
    </row>
    <row r="2047" spans="1:4" x14ac:dyDescent="0.35">
      <c r="A2047" t="s">
        <v>61</v>
      </c>
      <c r="B2047" s="88">
        <v>46249</v>
      </c>
      <c r="C2047">
        <v>24.502316875000002</v>
      </c>
      <c r="D2047" t="s">
        <v>240</v>
      </c>
    </row>
    <row r="2048" spans="1:4" x14ac:dyDescent="0.35">
      <c r="A2048" t="s">
        <v>56</v>
      </c>
      <c r="B2048" s="88">
        <v>43511</v>
      </c>
      <c r="C2048">
        <v>11.933440115411708</v>
      </c>
      <c r="D2048" t="s">
        <v>240</v>
      </c>
    </row>
    <row r="2049" spans="1:4" x14ac:dyDescent="0.35">
      <c r="A2049" t="s">
        <v>56</v>
      </c>
      <c r="B2049" s="88">
        <v>43600</v>
      </c>
      <c r="C2049">
        <v>11.599162199999999</v>
      </c>
      <c r="D2049" t="s">
        <v>240</v>
      </c>
    </row>
    <row r="2050" spans="1:4" x14ac:dyDescent="0.35">
      <c r="A2050" t="s">
        <v>56</v>
      </c>
      <c r="B2050" s="88">
        <v>43692</v>
      </c>
      <c r="C2050">
        <v>11.599162199999999</v>
      </c>
      <c r="D2050" t="s">
        <v>240</v>
      </c>
    </row>
    <row r="2051" spans="1:4" x14ac:dyDescent="0.35">
      <c r="A2051" t="s">
        <v>56</v>
      </c>
      <c r="B2051" s="88">
        <v>43784</v>
      </c>
      <c r="C2051">
        <v>11.599162199999999</v>
      </c>
      <c r="D2051" t="s">
        <v>240</v>
      </c>
    </row>
    <row r="2052" spans="1:4" x14ac:dyDescent="0.35">
      <c r="A2052" t="s">
        <v>56</v>
      </c>
      <c r="B2052" s="88">
        <v>43876</v>
      </c>
      <c r="C2052">
        <v>11.599162199999999</v>
      </c>
      <c r="D2052" t="s">
        <v>240</v>
      </c>
    </row>
    <row r="2053" spans="1:4" x14ac:dyDescent="0.35">
      <c r="A2053" t="s">
        <v>56</v>
      </c>
      <c r="B2053" s="88">
        <v>43966</v>
      </c>
      <c r="C2053">
        <v>9.9482957999999986</v>
      </c>
      <c r="D2053" t="s">
        <v>240</v>
      </c>
    </row>
    <row r="2054" spans="1:4" x14ac:dyDescent="0.35">
      <c r="A2054" t="s">
        <v>56</v>
      </c>
      <c r="B2054" s="88">
        <v>44058</v>
      </c>
      <c r="C2054">
        <v>9.9482957999999986</v>
      </c>
      <c r="D2054" t="s">
        <v>240</v>
      </c>
    </row>
    <row r="2055" spans="1:4" x14ac:dyDescent="0.35">
      <c r="A2055" t="s">
        <v>56</v>
      </c>
      <c r="B2055" s="88">
        <v>44150</v>
      </c>
      <c r="C2055">
        <v>9.9482957999999986</v>
      </c>
      <c r="D2055" t="s">
        <v>240</v>
      </c>
    </row>
    <row r="2056" spans="1:4" x14ac:dyDescent="0.35">
      <c r="A2056" t="s">
        <v>56</v>
      </c>
      <c r="B2056" s="88">
        <v>44242</v>
      </c>
      <c r="C2056">
        <v>9.9482957999999986</v>
      </c>
      <c r="D2056" t="s">
        <v>240</v>
      </c>
    </row>
    <row r="2057" spans="1:4" x14ac:dyDescent="0.35">
      <c r="A2057" t="s">
        <v>56</v>
      </c>
      <c r="B2057" s="88">
        <v>44331</v>
      </c>
      <c r="C2057">
        <v>10.170738</v>
      </c>
      <c r="D2057" t="s">
        <v>240</v>
      </c>
    </row>
    <row r="2058" spans="1:4" x14ac:dyDescent="0.35">
      <c r="A2058" t="s">
        <v>56</v>
      </c>
      <c r="B2058" s="88">
        <v>44423</v>
      </c>
      <c r="C2058">
        <v>10.170738</v>
      </c>
      <c r="D2058" t="s">
        <v>240</v>
      </c>
    </row>
    <row r="2059" spans="1:4" x14ac:dyDescent="0.35">
      <c r="A2059" t="s">
        <v>56</v>
      </c>
      <c r="B2059" s="88">
        <v>44515</v>
      </c>
      <c r="C2059">
        <v>10.170738</v>
      </c>
      <c r="D2059" t="s">
        <v>240</v>
      </c>
    </row>
    <row r="2060" spans="1:4" x14ac:dyDescent="0.35">
      <c r="A2060" t="s">
        <v>56</v>
      </c>
      <c r="B2060" s="88">
        <v>44607</v>
      </c>
      <c r="C2060">
        <v>10.170738</v>
      </c>
      <c r="D2060" t="s">
        <v>240</v>
      </c>
    </row>
    <row r="2061" spans="1:4" x14ac:dyDescent="0.35">
      <c r="A2061" t="s">
        <v>56</v>
      </c>
      <c r="B2061" s="88">
        <v>44696</v>
      </c>
      <c r="C2061">
        <v>11.208198712500002</v>
      </c>
      <c r="D2061" t="s">
        <v>240</v>
      </c>
    </row>
    <row r="2062" spans="1:4" x14ac:dyDescent="0.35">
      <c r="A2062" t="s">
        <v>56</v>
      </c>
      <c r="B2062" s="88">
        <v>44788</v>
      </c>
      <c r="C2062">
        <v>11.208198712500002</v>
      </c>
      <c r="D2062" t="s">
        <v>240</v>
      </c>
    </row>
    <row r="2063" spans="1:4" x14ac:dyDescent="0.35">
      <c r="A2063" t="s">
        <v>56</v>
      </c>
      <c r="B2063" s="88">
        <v>44880</v>
      </c>
      <c r="C2063">
        <v>11.208198712500002</v>
      </c>
      <c r="D2063" t="s">
        <v>240</v>
      </c>
    </row>
    <row r="2064" spans="1:4" x14ac:dyDescent="0.35">
      <c r="A2064" t="s">
        <v>56</v>
      </c>
      <c r="B2064" s="88">
        <v>44972</v>
      </c>
      <c r="C2064">
        <v>11.208198712500002</v>
      </c>
      <c r="D2064" t="s">
        <v>240</v>
      </c>
    </row>
    <row r="2065" spans="1:4" x14ac:dyDescent="0.35">
      <c r="A2065" t="s">
        <v>56</v>
      </c>
      <c r="B2065" s="88">
        <v>45061</v>
      </c>
      <c r="C2065">
        <v>12.138599025</v>
      </c>
      <c r="D2065" t="s">
        <v>240</v>
      </c>
    </row>
    <row r="2066" spans="1:4" x14ac:dyDescent="0.35">
      <c r="A2066" t="s">
        <v>56</v>
      </c>
      <c r="B2066" s="88">
        <v>45153</v>
      </c>
      <c r="C2066">
        <v>12.138599025</v>
      </c>
      <c r="D2066" t="s">
        <v>240</v>
      </c>
    </row>
    <row r="2067" spans="1:4" x14ac:dyDescent="0.35">
      <c r="A2067" t="s">
        <v>56</v>
      </c>
      <c r="B2067" s="88">
        <v>45245</v>
      </c>
      <c r="C2067">
        <v>12.138599025</v>
      </c>
      <c r="D2067" t="s">
        <v>240</v>
      </c>
    </row>
    <row r="2068" spans="1:4" x14ac:dyDescent="0.35">
      <c r="A2068" t="s">
        <v>56</v>
      </c>
      <c r="B2068" s="88">
        <v>45337</v>
      </c>
      <c r="C2068">
        <v>12.138599025</v>
      </c>
      <c r="D2068" t="s">
        <v>240</v>
      </c>
    </row>
    <row r="2069" spans="1:4" x14ac:dyDescent="0.35">
      <c r="A2069" t="s">
        <v>56</v>
      </c>
      <c r="B2069" s="88">
        <v>45427</v>
      </c>
      <c r="C2069">
        <v>13.93578625</v>
      </c>
      <c r="D2069" t="s">
        <v>240</v>
      </c>
    </row>
    <row r="2070" spans="1:4" x14ac:dyDescent="0.35">
      <c r="A2070" t="s">
        <v>56</v>
      </c>
      <c r="B2070" s="88">
        <v>45519</v>
      </c>
      <c r="C2070">
        <v>13.93578625</v>
      </c>
      <c r="D2070" t="s">
        <v>240</v>
      </c>
    </row>
    <row r="2071" spans="1:4" x14ac:dyDescent="0.35">
      <c r="A2071" t="s">
        <v>56</v>
      </c>
      <c r="B2071" s="88">
        <v>45611</v>
      </c>
      <c r="C2071">
        <v>13.93578625</v>
      </c>
      <c r="D2071" t="s">
        <v>240</v>
      </c>
    </row>
    <row r="2072" spans="1:4" x14ac:dyDescent="0.35">
      <c r="A2072" t="s">
        <v>56</v>
      </c>
      <c r="B2072" s="88">
        <v>45703</v>
      </c>
      <c r="C2072">
        <v>13.93578625</v>
      </c>
      <c r="D2072" t="s">
        <v>240</v>
      </c>
    </row>
    <row r="2073" spans="1:4" x14ac:dyDescent="0.35">
      <c r="A2073" t="s">
        <v>56</v>
      </c>
      <c r="B2073" s="88">
        <v>45792</v>
      </c>
      <c r="C2073">
        <v>18.201646562499999</v>
      </c>
      <c r="D2073" t="s">
        <v>240</v>
      </c>
    </row>
    <row r="2074" spans="1:4" x14ac:dyDescent="0.35">
      <c r="A2074" t="s">
        <v>56</v>
      </c>
      <c r="B2074" s="88">
        <v>45884</v>
      </c>
      <c r="C2074">
        <v>18.201646562499999</v>
      </c>
      <c r="D2074" t="s">
        <v>240</v>
      </c>
    </row>
    <row r="2075" spans="1:4" x14ac:dyDescent="0.35">
      <c r="A2075" t="s">
        <v>56</v>
      </c>
      <c r="B2075" s="88">
        <v>45976</v>
      </c>
      <c r="C2075">
        <v>18.201646562499999</v>
      </c>
      <c r="D2075" t="s">
        <v>240</v>
      </c>
    </row>
    <row r="2076" spans="1:4" x14ac:dyDescent="0.35">
      <c r="A2076" t="s">
        <v>56</v>
      </c>
      <c r="B2076" s="88">
        <v>46068</v>
      </c>
      <c r="C2076">
        <v>18.201646562499999</v>
      </c>
      <c r="D2076" t="s">
        <v>240</v>
      </c>
    </row>
    <row r="2077" spans="1:4" x14ac:dyDescent="0.35">
      <c r="A2077" t="s">
        <v>56</v>
      </c>
      <c r="B2077" s="88">
        <v>46157</v>
      </c>
      <c r="C2077">
        <v>19.662944374999999</v>
      </c>
      <c r="D2077" t="s">
        <v>240</v>
      </c>
    </row>
    <row r="2078" spans="1:4" x14ac:dyDescent="0.35">
      <c r="A2078" t="s">
        <v>56</v>
      </c>
      <c r="B2078" s="88">
        <v>46249</v>
      </c>
      <c r="C2078">
        <v>19.662944374999999</v>
      </c>
      <c r="D2078" t="s">
        <v>240</v>
      </c>
    </row>
    <row r="2079" spans="1:4" x14ac:dyDescent="0.35">
      <c r="A2079" t="s">
        <v>52</v>
      </c>
      <c r="B2079" s="88">
        <v>43511</v>
      </c>
      <c r="C2079">
        <v>11.933440115411708</v>
      </c>
      <c r="D2079" t="s">
        <v>240</v>
      </c>
    </row>
    <row r="2080" spans="1:4" x14ac:dyDescent="0.35">
      <c r="A2080" t="s">
        <v>52</v>
      </c>
      <c r="B2080" s="88">
        <v>43600</v>
      </c>
      <c r="C2080">
        <v>11.599162199999999</v>
      </c>
      <c r="D2080" t="s">
        <v>240</v>
      </c>
    </row>
    <row r="2081" spans="1:4" x14ac:dyDescent="0.35">
      <c r="A2081" t="s">
        <v>52</v>
      </c>
      <c r="B2081" s="88">
        <v>43692</v>
      </c>
      <c r="C2081">
        <v>11.599162199999999</v>
      </c>
      <c r="D2081" t="s">
        <v>240</v>
      </c>
    </row>
    <row r="2082" spans="1:4" x14ac:dyDescent="0.35">
      <c r="A2082" t="s">
        <v>52</v>
      </c>
      <c r="B2082" s="88">
        <v>43784</v>
      </c>
      <c r="C2082">
        <v>11.599162199999999</v>
      </c>
      <c r="D2082" t="s">
        <v>240</v>
      </c>
    </row>
    <row r="2083" spans="1:4" x14ac:dyDescent="0.35">
      <c r="A2083" t="s">
        <v>52</v>
      </c>
      <c r="B2083" s="88">
        <v>43876</v>
      </c>
      <c r="C2083">
        <v>11.599162199999999</v>
      </c>
      <c r="D2083" t="s">
        <v>240</v>
      </c>
    </row>
    <row r="2084" spans="1:4" x14ac:dyDescent="0.35">
      <c r="A2084" t="s">
        <v>52</v>
      </c>
      <c r="B2084" s="88">
        <v>43966</v>
      </c>
      <c r="C2084">
        <v>9.9482957999999986</v>
      </c>
      <c r="D2084" t="s">
        <v>240</v>
      </c>
    </row>
    <row r="2085" spans="1:4" x14ac:dyDescent="0.35">
      <c r="A2085" t="s">
        <v>52</v>
      </c>
      <c r="B2085" s="88">
        <v>44058</v>
      </c>
      <c r="C2085">
        <v>9.9482957999999986</v>
      </c>
      <c r="D2085" t="s">
        <v>240</v>
      </c>
    </row>
    <row r="2086" spans="1:4" x14ac:dyDescent="0.35">
      <c r="A2086" t="s">
        <v>52</v>
      </c>
      <c r="B2086" s="88">
        <v>44150</v>
      </c>
      <c r="C2086">
        <v>9.9482957999999986</v>
      </c>
      <c r="D2086" t="s">
        <v>240</v>
      </c>
    </row>
    <row r="2087" spans="1:4" x14ac:dyDescent="0.35">
      <c r="A2087" t="s">
        <v>52</v>
      </c>
      <c r="B2087" s="88">
        <v>44242</v>
      </c>
      <c r="C2087">
        <v>9.9482957999999986</v>
      </c>
      <c r="D2087" t="s">
        <v>240</v>
      </c>
    </row>
    <row r="2088" spans="1:4" x14ac:dyDescent="0.35">
      <c r="A2088" t="s">
        <v>52</v>
      </c>
      <c r="B2088" s="88">
        <v>44331</v>
      </c>
      <c r="C2088">
        <v>10.170738</v>
      </c>
      <c r="D2088" t="s">
        <v>240</v>
      </c>
    </row>
    <row r="2089" spans="1:4" x14ac:dyDescent="0.35">
      <c r="A2089" t="s">
        <v>52</v>
      </c>
      <c r="B2089" s="88">
        <v>44423</v>
      </c>
      <c r="C2089">
        <v>10.170738</v>
      </c>
      <c r="D2089" t="s">
        <v>240</v>
      </c>
    </row>
    <row r="2090" spans="1:4" x14ac:dyDescent="0.35">
      <c r="A2090" t="s">
        <v>52</v>
      </c>
      <c r="B2090" s="88">
        <v>44515</v>
      </c>
      <c r="C2090">
        <v>10.170738</v>
      </c>
      <c r="D2090" t="s">
        <v>240</v>
      </c>
    </row>
    <row r="2091" spans="1:4" x14ac:dyDescent="0.35">
      <c r="A2091" t="s">
        <v>52</v>
      </c>
      <c r="B2091" s="88">
        <v>44607</v>
      </c>
      <c r="C2091">
        <v>10.170738</v>
      </c>
      <c r="D2091" t="s">
        <v>240</v>
      </c>
    </row>
    <row r="2092" spans="1:4" x14ac:dyDescent="0.35">
      <c r="A2092" t="s">
        <v>52</v>
      </c>
      <c r="B2092" s="88">
        <v>44696</v>
      </c>
      <c r="C2092">
        <v>11.208198712500002</v>
      </c>
      <c r="D2092" t="s">
        <v>240</v>
      </c>
    </row>
    <row r="2093" spans="1:4" x14ac:dyDescent="0.35">
      <c r="A2093" t="s">
        <v>52</v>
      </c>
      <c r="B2093" s="88">
        <v>44788</v>
      </c>
      <c r="C2093">
        <v>11.208198712500002</v>
      </c>
      <c r="D2093" t="s">
        <v>240</v>
      </c>
    </row>
    <row r="2094" spans="1:4" x14ac:dyDescent="0.35">
      <c r="A2094" t="s">
        <v>52</v>
      </c>
      <c r="B2094" s="88">
        <v>44880</v>
      </c>
      <c r="C2094">
        <v>11.208198712500002</v>
      </c>
      <c r="D2094" t="s">
        <v>240</v>
      </c>
    </row>
    <row r="2095" spans="1:4" x14ac:dyDescent="0.35">
      <c r="A2095" t="s">
        <v>52</v>
      </c>
      <c r="B2095" s="88">
        <v>44972</v>
      </c>
      <c r="C2095">
        <v>11.208198712500002</v>
      </c>
      <c r="D2095" t="s">
        <v>240</v>
      </c>
    </row>
    <row r="2096" spans="1:4" x14ac:dyDescent="0.35">
      <c r="A2096" t="s">
        <v>52</v>
      </c>
      <c r="B2096" s="88">
        <v>45061</v>
      </c>
      <c r="C2096">
        <v>12.138599025</v>
      </c>
      <c r="D2096" t="s">
        <v>240</v>
      </c>
    </row>
    <row r="2097" spans="1:4" x14ac:dyDescent="0.35">
      <c r="A2097" t="s">
        <v>52</v>
      </c>
      <c r="B2097" s="88">
        <v>45153</v>
      </c>
      <c r="C2097">
        <v>12.138599025</v>
      </c>
      <c r="D2097" t="s">
        <v>240</v>
      </c>
    </row>
    <row r="2098" spans="1:4" x14ac:dyDescent="0.35">
      <c r="A2098" t="s">
        <v>52</v>
      </c>
      <c r="B2098" s="88">
        <v>45245</v>
      </c>
      <c r="C2098">
        <v>12.138599025</v>
      </c>
      <c r="D2098" t="s">
        <v>240</v>
      </c>
    </row>
    <row r="2099" spans="1:4" x14ac:dyDescent="0.35">
      <c r="A2099" t="s">
        <v>52</v>
      </c>
      <c r="B2099" s="88">
        <v>45337</v>
      </c>
      <c r="C2099">
        <v>12.138599025</v>
      </c>
      <c r="D2099" t="s">
        <v>240</v>
      </c>
    </row>
    <row r="2100" spans="1:4" x14ac:dyDescent="0.35">
      <c r="A2100" t="s">
        <v>52</v>
      </c>
      <c r="B2100" s="88">
        <v>45427</v>
      </c>
      <c r="C2100">
        <v>13.93578625</v>
      </c>
      <c r="D2100" t="s">
        <v>240</v>
      </c>
    </row>
    <row r="2101" spans="1:4" x14ac:dyDescent="0.35">
      <c r="A2101" t="s">
        <v>52</v>
      </c>
      <c r="B2101" s="88">
        <v>45519</v>
      </c>
      <c r="C2101">
        <v>13.93578625</v>
      </c>
      <c r="D2101" t="s">
        <v>240</v>
      </c>
    </row>
    <row r="2102" spans="1:4" x14ac:dyDescent="0.35">
      <c r="A2102" t="s">
        <v>52</v>
      </c>
      <c r="B2102" s="88">
        <v>45611</v>
      </c>
      <c r="C2102">
        <v>13.93578625</v>
      </c>
      <c r="D2102" t="s">
        <v>240</v>
      </c>
    </row>
    <row r="2103" spans="1:4" x14ac:dyDescent="0.35">
      <c r="A2103" t="s">
        <v>52</v>
      </c>
      <c r="B2103" s="88">
        <v>45703</v>
      </c>
      <c r="C2103">
        <v>13.93578625</v>
      </c>
      <c r="D2103" t="s">
        <v>240</v>
      </c>
    </row>
    <row r="2104" spans="1:4" x14ac:dyDescent="0.35">
      <c r="A2104" t="s">
        <v>52</v>
      </c>
      <c r="B2104" s="88">
        <v>45792</v>
      </c>
      <c r="C2104">
        <v>18.201646562499999</v>
      </c>
      <c r="D2104" t="s">
        <v>240</v>
      </c>
    </row>
    <row r="2105" spans="1:4" x14ac:dyDescent="0.35">
      <c r="A2105" t="s">
        <v>52</v>
      </c>
      <c r="B2105" s="88">
        <v>45884</v>
      </c>
      <c r="C2105">
        <v>18.201646562499999</v>
      </c>
      <c r="D2105" t="s">
        <v>240</v>
      </c>
    </row>
    <row r="2106" spans="1:4" x14ac:dyDescent="0.35">
      <c r="A2106" t="s">
        <v>52</v>
      </c>
      <c r="B2106" s="88">
        <v>45976</v>
      </c>
      <c r="C2106">
        <v>18.201646562499999</v>
      </c>
      <c r="D2106" t="s">
        <v>240</v>
      </c>
    </row>
    <row r="2107" spans="1:4" x14ac:dyDescent="0.35">
      <c r="A2107" t="s">
        <v>52</v>
      </c>
      <c r="B2107" s="88">
        <v>46068</v>
      </c>
      <c r="C2107">
        <v>18.201646562499999</v>
      </c>
      <c r="D2107" t="s">
        <v>240</v>
      </c>
    </row>
    <row r="2108" spans="1:4" x14ac:dyDescent="0.35">
      <c r="A2108" t="s">
        <v>52</v>
      </c>
      <c r="B2108" s="88">
        <v>46157</v>
      </c>
      <c r="C2108">
        <v>19.662944374999999</v>
      </c>
      <c r="D2108" t="s">
        <v>240</v>
      </c>
    </row>
    <row r="2109" spans="1:4" x14ac:dyDescent="0.35">
      <c r="A2109" t="s">
        <v>52</v>
      </c>
      <c r="B2109" s="88">
        <v>46249</v>
      </c>
      <c r="C2109">
        <v>19.662944374999999</v>
      </c>
      <c r="D2109" t="s">
        <v>240</v>
      </c>
    </row>
    <row r="2110" spans="1:4" x14ac:dyDescent="0.35">
      <c r="A2110" t="s">
        <v>69</v>
      </c>
      <c r="B2110" s="88">
        <v>43511</v>
      </c>
      <c r="C2110">
        <v>12.087470312500001</v>
      </c>
      <c r="D2110" t="s">
        <v>240</v>
      </c>
    </row>
    <row r="2111" spans="1:4" x14ac:dyDescent="0.35">
      <c r="A2111" t="s">
        <v>69</v>
      </c>
      <c r="B2111" s="88">
        <v>43600</v>
      </c>
      <c r="C2111">
        <v>12.050670312499999</v>
      </c>
      <c r="D2111" t="s">
        <v>240</v>
      </c>
    </row>
    <row r="2112" spans="1:4" x14ac:dyDescent="0.35">
      <c r="A2112" t="s">
        <v>69</v>
      </c>
      <c r="B2112" s="88">
        <v>43692</v>
      </c>
      <c r="C2112">
        <v>12.050670312499999</v>
      </c>
      <c r="D2112" t="s">
        <v>240</v>
      </c>
    </row>
    <row r="2113" spans="1:4" x14ac:dyDescent="0.35">
      <c r="A2113" t="s">
        <v>69</v>
      </c>
      <c r="B2113" s="88">
        <v>43784</v>
      </c>
      <c r="C2113">
        <v>12.050670312499999</v>
      </c>
      <c r="D2113" t="s">
        <v>240</v>
      </c>
    </row>
    <row r="2114" spans="1:4" x14ac:dyDescent="0.35">
      <c r="A2114" t="s">
        <v>69</v>
      </c>
      <c r="B2114" s="88">
        <v>43876</v>
      </c>
      <c r="C2114">
        <v>12.050670312499999</v>
      </c>
      <c r="D2114" t="s">
        <v>240</v>
      </c>
    </row>
    <row r="2115" spans="1:4" x14ac:dyDescent="0.35">
      <c r="A2115" t="s">
        <v>69</v>
      </c>
      <c r="B2115" s="88">
        <v>43966</v>
      </c>
      <c r="C2115">
        <v>10.638470312499999</v>
      </c>
      <c r="D2115" t="s">
        <v>240</v>
      </c>
    </row>
    <row r="2116" spans="1:4" x14ac:dyDescent="0.35">
      <c r="A2116" t="s">
        <v>69</v>
      </c>
      <c r="B2116" s="88">
        <v>44058</v>
      </c>
      <c r="C2116">
        <v>10.638470312499999</v>
      </c>
      <c r="D2116" t="s">
        <v>240</v>
      </c>
    </row>
    <row r="2117" spans="1:4" x14ac:dyDescent="0.35">
      <c r="A2117" t="s">
        <v>69</v>
      </c>
      <c r="B2117" s="88">
        <v>44150</v>
      </c>
      <c r="C2117">
        <v>10.638470312499999</v>
      </c>
      <c r="D2117" t="s">
        <v>240</v>
      </c>
    </row>
    <row r="2118" spans="1:4" x14ac:dyDescent="0.35">
      <c r="A2118" t="s">
        <v>69</v>
      </c>
      <c r="B2118" s="88">
        <v>44242</v>
      </c>
      <c r="C2118">
        <v>10.638470312499999</v>
      </c>
      <c r="D2118" t="s">
        <v>240</v>
      </c>
    </row>
    <row r="2119" spans="1:4" x14ac:dyDescent="0.35">
      <c r="A2119" t="s">
        <v>69</v>
      </c>
      <c r="B2119" s="88">
        <v>44331</v>
      </c>
      <c r="C2119">
        <v>10.695970312499998</v>
      </c>
      <c r="D2119" t="s">
        <v>240</v>
      </c>
    </row>
    <row r="2120" spans="1:4" x14ac:dyDescent="0.35">
      <c r="A2120" t="s">
        <v>69</v>
      </c>
      <c r="B2120" s="88">
        <v>44423</v>
      </c>
      <c r="C2120">
        <v>10.695970312499998</v>
      </c>
      <c r="D2120" t="s">
        <v>240</v>
      </c>
    </row>
    <row r="2121" spans="1:4" x14ac:dyDescent="0.35">
      <c r="A2121" t="s">
        <v>69</v>
      </c>
      <c r="B2121" s="88">
        <v>44515</v>
      </c>
      <c r="C2121">
        <v>10.695970312499998</v>
      </c>
      <c r="D2121" t="s">
        <v>240</v>
      </c>
    </row>
    <row r="2122" spans="1:4" x14ac:dyDescent="0.35">
      <c r="A2122" t="s">
        <v>69</v>
      </c>
      <c r="B2122" s="88">
        <v>44607</v>
      </c>
      <c r="C2122">
        <v>10.695970312499998</v>
      </c>
      <c r="D2122" t="s">
        <v>240</v>
      </c>
    </row>
    <row r="2123" spans="1:4" x14ac:dyDescent="0.35">
      <c r="A2123" t="s">
        <v>69</v>
      </c>
      <c r="B2123" s="88">
        <v>44696</v>
      </c>
      <c r="C2123">
        <v>11.189140624999999</v>
      </c>
      <c r="D2123" t="s">
        <v>240</v>
      </c>
    </row>
    <row r="2124" spans="1:4" x14ac:dyDescent="0.35">
      <c r="A2124" t="s">
        <v>69</v>
      </c>
      <c r="B2124" s="88">
        <v>44788</v>
      </c>
      <c r="C2124">
        <v>11.189140624999999</v>
      </c>
      <c r="D2124" t="s">
        <v>240</v>
      </c>
    </row>
    <row r="2125" spans="1:4" x14ac:dyDescent="0.35">
      <c r="A2125" t="s">
        <v>69</v>
      </c>
      <c r="B2125" s="88">
        <v>44880</v>
      </c>
      <c r="C2125">
        <v>11.189140624999999</v>
      </c>
      <c r="D2125" t="s">
        <v>240</v>
      </c>
    </row>
    <row r="2126" spans="1:4" x14ac:dyDescent="0.35">
      <c r="A2126" t="s">
        <v>69</v>
      </c>
      <c r="B2126" s="88">
        <v>44972</v>
      </c>
      <c r="C2126">
        <v>11.189140624999999</v>
      </c>
      <c r="D2126" t="s">
        <v>240</v>
      </c>
    </row>
    <row r="2127" spans="1:4" x14ac:dyDescent="0.35">
      <c r="A2127" t="s">
        <v>69</v>
      </c>
      <c r="B2127" s="88">
        <v>45061</v>
      </c>
      <c r="C2127">
        <v>11.2177109375</v>
      </c>
      <c r="D2127" t="s">
        <v>240</v>
      </c>
    </row>
    <row r="2128" spans="1:4" x14ac:dyDescent="0.35">
      <c r="A2128" t="s">
        <v>69</v>
      </c>
      <c r="B2128" s="88">
        <v>45153</v>
      </c>
      <c r="C2128">
        <v>11.2177109375</v>
      </c>
      <c r="D2128" t="s">
        <v>240</v>
      </c>
    </row>
    <row r="2129" spans="1:4" x14ac:dyDescent="0.35">
      <c r="A2129" t="s">
        <v>69</v>
      </c>
      <c r="B2129" s="88">
        <v>45245</v>
      </c>
      <c r="C2129">
        <v>11.2177109375</v>
      </c>
      <c r="D2129" t="s">
        <v>240</v>
      </c>
    </row>
    <row r="2130" spans="1:4" x14ac:dyDescent="0.35">
      <c r="A2130" t="s">
        <v>69</v>
      </c>
      <c r="B2130" s="88">
        <v>45337</v>
      </c>
      <c r="C2130">
        <v>11.2177109375</v>
      </c>
      <c r="D2130" t="s">
        <v>240</v>
      </c>
    </row>
    <row r="2131" spans="1:4" x14ac:dyDescent="0.35">
      <c r="A2131" t="s">
        <v>69</v>
      </c>
      <c r="B2131" s="88">
        <v>45427</v>
      </c>
      <c r="C2131">
        <v>11.47168125</v>
      </c>
      <c r="D2131" t="s">
        <v>240</v>
      </c>
    </row>
    <row r="2132" spans="1:4" x14ac:dyDescent="0.35">
      <c r="A2132" t="s">
        <v>69</v>
      </c>
      <c r="B2132" s="88">
        <v>45519</v>
      </c>
      <c r="C2132">
        <v>11.47168125</v>
      </c>
      <c r="D2132" t="s">
        <v>240</v>
      </c>
    </row>
    <row r="2133" spans="1:4" x14ac:dyDescent="0.35">
      <c r="A2133" t="s">
        <v>69</v>
      </c>
      <c r="B2133" s="88">
        <v>45611</v>
      </c>
      <c r="C2133">
        <v>11.47168125</v>
      </c>
      <c r="D2133" t="s">
        <v>240</v>
      </c>
    </row>
    <row r="2134" spans="1:4" x14ac:dyDescent="0.35">
      <c r="A2134" t="s">
        <v>69</v>
      </c>
      <c r="B2134" s="88">
        <v>45703</v>
      </c>
      <c r="C2134">
        <v>11.47168125</v>
      </c>
      <c r="D2134" t="s">
        <v>240</v>
      </c>
    </row>
    <row r="2135" spans="1:4" x14ac:dyDescent="0.35">
      <c r="A2135" t="s">
        <v>69</v>
      </c>
      <c r="B2135" s="88">
        <v>45792</v>
      </c>
      <c r="C2135">
        <v>14.487951562499999</v>
      </c>
      <c r="D2135" t="s">
        <v>240</v>
      </c>
    </row>
    <row r="2136" spans="1:4" x14ac:dyDescent="0.35">
      <c r="A2136" t="s">
        <v>69</v>
      </c>
      <c r="B2136" s="88">
        <v>45884</v>
      </c>
      <c r="C2136">
        <v>14.487951562499999</v>
      </c>
      <c r="D2136" t="s">
        <v>240</v>
      </c>
    </row>
    <row r="2137" spans="1:4" x14ac:dyDescent="0.35">
      <c r="A2137" t="s">
        <v>69</v>
      </c>
      <c r="B2137" s="88">
        <v>45976</v>
      </c>
      <c r="C2137">
        <v>14.487951562499999</v>
      </c>
      <c r="D2137" t="s">
        <v>240</v>
      </c>
    </row>
    <row r="2138" spans="1:4" x14ac:dyDescent="0.35">
      <c r="A2138" t="s">
        <v>69</v>
      </c>
      <c r="B2138" s="88">
        <v>46068</v>
      </c>
      <c r="C2138">
        <v>14.487951562499999</v>
      </c>
      <c r="D2138" t="s">
        <v>240</v>
      </c>
    </row>
    <row r="2139" spans="1:4" x14ac:dyDescent="0.35">
      <c r="A2139" t="s">
        <v>69</v>
      </c>
      <c r="B2139" s="88">
        <v>46157</v>
      </c>
      <c r="C2139">
        <v>15.579121875</v>
      </c>
      <c r="D2139" t="s">
        <v>240</v>
      </c>
    </row>
    <row r="2140" spans="1:4" x14ac:dyDescent="0.35">
      <c r="A2140" t="s">
        <v>69</v>
      </c>
      <c r="B2140" s="88">
        <v>46249</v>
      </c>
      <c r="C2140">
        <v>15.579121875</v>
      </c>
      <c r="D2140" t="s">
        <v>240</v>
      </c>
    </row>
    <row r="2141" spans="1:4" x14ac:dyDescent="0.35">
      <c r="A2141" t="s">
        <v>70</v>
      </c>
      <c r="B2141" s="88">
        <v>43511</v>
      </c>
      <c r="C2141">
        <v>13.1937703125</v>
      </c>
      <c r="D2141" t="s">
        <v>240</v>
      </c>
    </row>
    <row r="2142" spans="1:4" x14ac:dyDescent="0.35">
      <c r="A2142" t="s">
        <v>70</v>
      </c>
      <c r="B2142" s="88">
        <v>43600</v>
      </c>
      <c r="C2142">
        <v>13.057587312499997</v>
      </c>
      <c r="D2142" t="s">
        <v>240</v>
      </c>
    </row>
    <row r="2143" spans="1:4" x14ac:dyDescent="0.35">
      <c r="A2143" t="s">
        <v>70</v>
      </c>
      <c r="B2143" s="88">
        <v>43692</v>
      </c>
      <c r="C2143">
        <v>13.057587312499997</v>
      </c>
      <c r="D2143" t="s">
        <v>240</v>
      </c>
    </row>
    <row r="2144" spans="1:4" x14ac:dyDescent="0.35">
      <c r="A2144" t="s">
        <v>70</v>
      </c>
      <c r="B2144" s="88">
        <v>43784</v>
      </c>
      <c r="C2144">
        <v>13.057587312499997</v>
      </c>
      <c r="D2144" t="s">
        <v>240</v>
      </c>
    </row>
    <row r="2145" spans="1:4" x14ac:dyDescent="0.35">
      <c r="A2145" t="s">
        <v>70</v>
      </c>
      <c r="B2145" s="88">
        <v>43876</v>
      </c>
      <c r="C2145">
        <v>13.057587312499997</v>
      </c>
      <c r="D2145" t="s">
        <v>240</v>
      </c>
    </row>
    <row r="2146" spans="1:4" x14ac:dyDescent="0.35">
      <c r="A2146" t="s">
        <v>70</v>
      </c>
      <c r="B2146" s="88">
        <v>43966</v>
      </c>
      <c r="C2146">
        <v>11.3664433125</v>
      </c>
      <c r="D2146" t="s">
        <v>240</v>
      </c>
    </row>
    <row r="2147" spans="1:4" x14ac:dyDescent="0.35">
      <c r="A2147" t="s">
        <v>70</v>
      </c>
      <c r="B2147" s="88">
        <v>44058</v>
      </c>
      <c r="C2147">
        <v>11.3664433125</v>
      </c>
      <c r="D2147" t="s">
        <v>240</v>
      </c>
    </row>
    <row r="2148" spans="1:4" x14ac:dyDescent="0.35">
      <c r="A2148" t="s">
        <v>70</v>
      </c>
      <c r="B2148" s="88">
        <v>44150</v>
      </c>
      <c r="C2148">
        <v>11.3664433125</v>
      </c>
      <c r="D2148" t="s">
        <v>240</v>
      </c>
    </row>
    <row r="2149" spans="1:4" x14ac:dyDescent="0.35">
      <c r="A2149" t="s">
        <v>70</v>
      </c>
      <c r="B2149" s="88">
        <v>44242</v>
      </c>
      <c r="C2149">
        <v>11.3664433125</v>
      </c>
      <c r="D2149" t="s">
        <v>240</v>
      </c>
    </row>
    <row r="2150" spans="1:4" x14ac:dyDescent="0.35">
      <c r="A2150" t="s">
        <v>70</v>
      </c>
      <c r="B2150" s="88">
        <v>44331</v>
      </c>
      <c r="C2150">
        <v>11.364787312499999</v>
      </c>
      <c r="D2150" t="s">
        <v>240</v>
      </c>
    </row>
    <row r="2151" spans="1:4" x14ac:dyDescent="0.35">
      <c r="A2151" t="s">
        <v>70</v>
      </c>
      <c r="B2151" s="88">
        <v>44423</v>
      </c>
      <c r="C2151">
        <v>11.364787312499999</v>
      </c>
      <c r="D2151" t="s">
        <v>240</v>
      </c>
    </row>
    <row r="2152" spans="1:4" x14ac:dyDescent="0.35">
      <c r="A2152" t="s">
        <v>70</v>
      </c>
      <c r="B2152" s="88">
        <v>44515</v>
      </c>
      <c r="C2152">
        <v>11.364787312499999</v>
      </c>
      <c r="D2152" t="s">
        <v>240</v>
      </c>
    </row>
    <row r="2153" spans="1:4" x14ac:dyDescent="0.35">
      <c r="A2153" t="s">
        <v>70</v>
      </c>
      <c r="B2153" s="88">
        <v>44607</v>
      </c>
      <c r="C2153">
        <v>11.364787312499999</v>
      </c>
      <c r="D2153" t="s">
        <v>240</v>
      </c>
    </row>
    <row r="2154" spans="1:4" x14ac:dyDescent="0.35">
      <c r="A2154" t="s">
        <v>70</v>
      </c>
      <c r="B2154" s="88">
        <v>44696</v>
      </c>
      <c r="C2154">
        <v>11.918608624999999</v>
      </c>
      <c r="D2154" t="s">
        <v>240</v>
      </c>
    </row>
    <row r="2155" spans="1:4" x14ac:dyDescent="0.35">
      <c r="A2155" t="s">
        <v>70</v>
      </c>
      <c r="B2155" s="88">
        <v>44788</v>
      </c>
      <c r="C2155">
        <v>11.918608624999999</v>
      </c>
      <c r="D2155" t="s">
        <v>240</v>
      </c>
    </row>
    <row r="2156" spans="1:4" x14ac:dyDescent="0.35">
      <c r="A2156" t="s">
        <v>70</v>
      </c>
      <c r="B2156" s="88">
        <v>44880</v>
      </c>
      <c r="C2156">
        <v>11.918608624999999</v>
      </c>
      <c r="D2156" t="s">
        <v>240</v>
      </c>
    </row>
    <row r="2157" spans="1:4" x14ac:dyDescent="0.35">
      <c r="A2157" t="s">
        <v>70</v>
      </c>
      <c r="B2157" s="88">
        <v>44972</v>
      </c>
      <c r="C2157">
        <v>11.918608624999999</v>
      </c>
      <c r="D2157" t="s">
        <v>240</v>
      </c>
    </row>
    <row r="2158" spans="1:4" x14ac:dyDescent="0.35">
      <c r="A2158" t="s">
        <v>70</v>
      </c>
      <c r="B2158" s="88">
        <v>45061</v>
      </c>
      <c r="C2158">
        <v>12.7871389375</v>
      </c>
      <c r="D2158" t="s">
        <v>240</v>
      </c>
    </row>
    <row r="2159" spans="1:4" x14ac:dyDescent="0.35">
      <c r="A2159" t="s">
        <v>70</v>
      </c>
      <c r="B2159" s="88">
        <v>45153</v>
      </c>
      <c r="C2159">
        <v>12.7871389375</v>
      </c>
      <c r="D2159" t="s">
        <v>240</v>
      </c>
    </row>
    <row r="2160" spans="1:4" x14ac:dyDescent="0.35">
      <c r="A2160" t="s">
        <v>70</v>
      </c>
      <c r="B2160" s="88">
        <v>45245</v>
      </c>
      <c r="C2160">
        <v>12.7871389375</v>
      </c>
      <c r="D2160" t="s">
        <v>240</v>
      </c>
    </row>
    <row r="2161" spans="1:4" x14ac:dyDescent="0.35">
      <c r="A2161" t="s">
        <v>70</v>
      </c>
      <c r="B2161" s="88">
        <v>45337</v>
      </c>
      <c r="C2161">
        <v>12.7871389375</v>
      </c>
      <c r="D2161" t="s">
        <v>240</v>
      </c>
    </row>
    <row r="2162" spans="1:4" x14ac:dyDescent="0.35">
      <c r="A2162" t="s">
        <v>70</v>
      </c>
      <c r="B2162" s="88">
        <v>45427</v>
      </c>
      <c r="C2162">
        <v>13.14302225</v>
      </c>
      <c r="D2162" t="s">
        <v>240</v>
      </c>
    </row>
    <row r="2163" spans="1:4" x14ac:dyDescent="0.35">
      <c r="A2163" t="s">
        <v>70</v>
      </c>
      <c r="B2163" s="88">
        <v>45519</v>
      </c>
      <c r="C2163">
        <v>13.14302225</v>
      </c>
      <c r="D2163" t="s">
        <v>240</v>
      </c>
    </row>
    <row r="2164" spans="1:4" x14ac:dyDescent="0.35">
      <c r="A2164" t="s">
        <v>70</v>
      </c>
      <c r="B2164" s="88">
        <v>45611</v>
      </c>
      <c r="C2164">
        <v>13.14302225</v>
      </c>
      <c r="D2164" t="s">
        <v>240</v>
      </c>
    </row>
    <row r="2165" spans="1:4" x14ac:dyDescent="0.35">
      <c r="A2165" t="s">
        <v>70</v>
      </c>
      <c r="B2165" s="88">
        <v>45703</v>
      </c>
      <c r="C2165">
        <v>13.14302225</v>
      </c>
      <c r="D2165" t="s">
        <v>240</v>
      </c>
    </row>
    <row r="2166" spans="1:4" x14ac:dyDescent="0.35">
      <c r="A2166" t="s">
        <v>70</v>
      </c>
      <c r="B2166" s="88">
        <v>45792</v>
      </c>
      <c r="C2166">
        <v>16.9598075625</v>
      </c>
      <c r="D2166" t="s">
        <v>240</v>
      </c>
    </row>
    <row r="2167" spans="1:4" x14ac:dyDescent="0.35">
      <c r="A2167" t="s">
        <v>70</v>
      </c>
      <c r="B2167" s="88">
        <v>45884</v>
      </c>
      <c r="C2167">
        <v>16.9598075625</v>
      </c>
      <c r="D2167" t="s">
        <v>240</v>
      </c>
    </row>
    <row r="2168" spans="1:4" x14ac:dyDescent="0.35">
      <c r="A2168" t="s">
        <v>70</v>
      </c>
      <c r="B2168" s="88">
        <v>45976</v>
      </c>
      <c r="C2168">
        <v>16.9598075625</v>
      </c>
      <c r="D2168" t="s">
        <v>240</v>
      </c>
    </row>
    <row r="2169" spans="1:4" x14ac:dyDescent="0.35">
      <c r="A2169" t="s">
        <v>70</v>
      </c>
      <c r="B2169" s="88">
        <v>46068</v>
      </c>
      <c r="C2169">
        <v>16.9598075625</v>
      </c>
      <c r="D2169" t="s">
        <v>240</v>
      </c>
    </row>
    <row r="2170" spans="1:4" x14ac:dyDescent="0.35">
      <c r="A2170" t="s">
        <v>70</v>
      </c>
      <c r="B2170" s="88">
        <v>46157</v>
      </c>
      <c r="C2170">
        <v>18.448877875000001</v>
      </c>
      <c r="D2170" t="s">
        <v>240</v>
      </c>
    </row>
    <row r="2171" spans="1:4" x14ac:dyDescent="0.35">
      <c r="A2171" t="s">
        <v>70</v>
      </c>
      <c r="B2171" s="88">
        <v>46249</v>
      </c>
      <c r="C2171">
        <v>18.448877875000001</v>
      </c>
      <c r="D2171" t="s">
        <v>240</v>
      </c>
    </row>
    <row r="2172" spans="1:4" x14ac:dyDescent="0.35">
      <c r="A2172" t="s">
        <v>58</v>
      </c>
      <c r="B2172" s="88">
        <v>43511</v>
      </c>
      <c r="C2172">
        <v>14.596905427031581</v>
      </c>
      <c r="D2172" t="s">
        <v>240</v>
      </c>
    </row>
    <row r="2173" spans="1:4" x14ac:dyDescent="0.35">
      <c r="A2173" t="s">
        <v>58</v>
      </c>
      <c r="B2173" s="88">
        <v>43600</v>
      </c>
      <c r="C2173">
        <v>13.913504999999999</v>
      </c>
      <c r="D2173" t="s">
        <v>240</v>
      </c>
    </row>
    <row r="2174" spans="1:4" x14ac:dyDescent="0.35">
      <c r="A2174" t="s">
        <v>58</v>
      </c>
      <c r="B2174" s="88">
        <v>43692</v>
      </c>
      <c r="C2174">
        <v>13.913504999999999</v>
      </c>
      <c r="D2174" t="s">
        <v>240</v>
      </c>
    </row>
    <row r="2175" spans="1:4" x14ac:dyDescent="0.35">
      <c r="A2175" t="s">
        <v>58</v>
      </c>
      <c r="B2175" s="88">
        <v>43784</v>
      </c>
      <c r="C2175">
        <v>13.913504999999999</v>
      </c>
      <c r="D2175" t="s">
        <v>240</v>
      </c>
    </row>
    <row r="2176" spans="1:4" x14ac:dyDescent="0.35">
      <c r="A2176" t="s">
        <v>58</v>
      </c>
      <c r="B2176" s="88">
        <v>43876</v>
      </c>
      <c r="C2176">
        <v>13.913504999999999</v>
      </c>
      <c r="D2176" t="s">
        <v>240</v>
      </c>
    </row>
    <row r="2177" spans="1:4" x14ac:dyDescent="0.35">
      <c r="A2177" t="s">
        <v>58</v>
      </c>
      <c r="B2177" s="88">
        <v>43966</v>
      </c>
      <c r="C2177">
        <v>11.930403600000002</v>
      </c>
      <c r="D2177" t="s">
        <v>240</v>
      </c>
    </row>
    <row r="2178" spans="1:4" x14ac:dyDescent="0.35">
      <c r="A2178" t="s">
        <v>58</v>
      </c>
      <c r="B2178" s="88">
        <v>44058</v>
      </c>
      <c r="C2178">
        <v>11.930403600000002</v>
      </c>
      <c r="D2178" t="s">
        <v>240</v>
      </c>
    </row>
    <row r="2179" spans="1:4" x14ac:dyDescent="0.35">
      <c r="A2179" t="s">
        <v>58</v>
      </c>
      <c r="B2179" s="88">
        <v>44150</v>
      </c>
      <c r="C2179">
        <v>11.930403600000002</v>
      </c>
      <c r="D2179" t="s">
        <v>240</v>
      </c>
    </row>
    <row r="2180" spans="1:4" x14ac:dyDescent="0.35">
      <c r="A2180" t="s">
        <v>58</v>
      </c>
      <c r="B2180" s="88">
        <v>44242</v>
      </c>
      <c r="C2180">
        <v>11.930403600000002</v>
      </c>
      <c r="D2180" t="s">
        <v>240</v>
      </c>
    </row>
    <row r="2181" spans="1:4" x14ac:dyDescent="0.35">
      <c r="A2181" t="s">
        <v>58</v>
      </c>
      <c r="B2181" s="88">
        <v>44331</v>
      </c>
      <c r="C2181">
        <v>12.273443999999998</v>
      </c>
      <c r="D2181" t="s">
        <v>240</v>
      </c>
    </row>
    <row r="2182" spans="1:4" x14ac:dyDescent="0.35">
      <c r="A2182" t="s">
        <v>58</v>
      </c>
      <c r="B2182" s="88">
        <v>44423</v>
      </c>
      <c r="C2182">
        <v>12.273443999999998</v>
      </c>
      <c r="D2182" t="s">
        <v>240</v>
      </c>
    </row>
    <row r="2183" spans="1:4" x14ac:dyDescent="0.35">
      <c r="A2183" t="s">
        <v>58</v>
      </c>
      <c r="B2183" s="88">
        <v>44515</v>
      </c>
      <c r="C2183">
        <v>12.273443999999998</v>
      </c>
      <c r="D2183" t="s">
        <v>240</v>
      </c>
    </row>
    <row r="2184" spans="1:4" x14ac:dyDescent="0.35">
      <c r="A2184" t="s">
        <v>58</v>
      </c>
      <c r="B2184" s="88">
        <v>44607</v>
      </c>
      <c r="C2184">
        <v>12.273443999999998</v>
      </c>
      <c r="D2184" t="s">
        <v>240</v>
      </c>
    </row>
    <row r="2185" spans="1:4" x14ac:dyDescent="0.35">
      <c r="A2185" t="s">
        <v>58</v>
      </c>
      <c r="B2185" s="88">
        <v>44696</v>
      </c>
      <c r="C2185">
        <v>13.513226512499999</v>
      </c>
      <c r="D2185" t="s">
        <v>240</v>
      </c>
    </row>
    <row r="2186" spans="1:4" x14ac:dyDescent="0.35">
      <c r="A2186" t="s">
        <v>58</v>
      </c>
      <c r="B2186" s="88">
        <v>44788</v>
      </c>
      <c r="C2186">
        <v>13.513226512499999</v>
      </c>
      <c r="D2186" t="s">
        <v>240</v>
      </c>
    </row>
    <row r="2187" spans="1:4" x14ac:dyDescent="0.35">
      <c r="A2187" t="s">
        <v>58</v>
      </c>
      <c r="B2187" s="88">
        <v>44880</v>
      </c>
      <c r="C2187">
        <v>13.513226512499999</v>
      </c>
      <c r="D2187" t="s">
        <v>240</v>
      </c>
    </row>
    <row r="2188" spans="1:4" x14ac:dyDescent="0.35">
      <c r="A2188" t="s">
        <v>58</v>
      </c>
      <c r="B2188" s="88">
        <v>44972</v>
      </c>
      <c r="C2188">
        <v>13.513226512499999</v>
      </c>
      <c r="D2188" t="s">
        <v>240</v>
      </c>
    </row>
    <row r="2189" spans="1:4" x14ac:dyDescent="0.35">
      <c r="A2189" t="s">
        <v>58</v>
      </c>
      <c r="B2189" s="88">
        <v>45061</v>
      </c>
      <c r="C2189">
        <v>14.871620025</v>
      </c>
      <c r="D2189" t="s">
        <v>240</v>
      </c>
    </row>
    <row r="2190" spans="1:4" x14ac:dyDescent="0.35">
      <c r="A2190" t="s">
        <v>58</v>
      </c>
      <c r="B2190" s="88">
        <v>45153</v>
      </c>
      <c r="C2190">
        <v>14.871620025</v>
      </c>
      <c r="D2190" t="s">
        <v>240</v>
      </c>
    </row>
    <row r="2191" spans="1:4" x14ac:dyDescent="0.35">
      <c r="A2191" t="s">
        <v>58</v>
      </c>
      <c r="B2191" s="88">
        <v>45245</v>
      </c>
      <c r="C2191">
        <v>14.871620025</v>
      </c>
      <c r="D2191" t="s">
        <v>240</v>
      </c>
    </row>
    <row r="2192" spans="1:4" x14ac:dyDescent="0.35">
      <c r="A2192" t="s">
        <v>58</v>
      </c>
      <c r="B2192" s="88">
        <v>45337</v>
      </c>
      <c r="C2192">
        <v>14.871620025</v>
      </c>
      <c r="D2192" t="s">
        <v>240</v>
      </c>
    </row>
    <row r="2193" spans="1:4" x14ac:dyDescent="0.35">
      <c r="A2193" t="s">
        <v>58</v>
      </c>
      <c r="B2193" s="88">
        <v>45427</v>
      </c>
      <c r="C2193">
        <v>17.385671250000001</v>
      </c>
      <c r="D2193" t="s">
        <v>240</v>
      </c>
    </row>
    <row r="2194" spans="1:4" x14ac:dyDescent="0.35">
      <c r="A2194" t="s">
        <v>58</v>
      </c>
      <c r="B2194" s="88">
        <v>45519</v>
      </c>
      <c r="C2194">
        <v>17.385671250000001</v>
      </c>
      <c r="D2194" t="s">
        <v>240</v>
      </c>
    </row>
    <row r="2195" spans="1:4" x14ac:dyDescent="0.35">
      <c r="A2195" t="s">
        <v>58</v>
      </c>
      <c r="B2195" s="88">
        <v>45611</v>
      </c>
      <c r="C2195">
        <v>17.385671250000001</v>
      </c>
      <c r="D2195" t="s">
        <v>240</v>
      </c>
    </row>
    <row r="2196" spans="1:4" x14ac:dyDescent="0.35">
      <c r="A2196" t="s">
        <v>58</v>
      </c>
      <c r="B2196" s="88">
        <v>45703</v>
      </c>
      <c r="C2196">
        <v>17.385671250000001</v>
      </c>
      <c r="D2196" t="s">
        <v>240</v>
      </c>
    </row>
    <row r="2197" spans="1:4" x14ac:dyDescent="0.35">
      <c r="A2197" t="s">
        <v>58</v>
      </c>
      <c r="B2197" s="88">
        <v>45792</v>
      </c>
      <c r="C2197">
        <v>21.288591562499999</v>
      </c>
      <c r="D2197" t="s">
        <v>240</v>
      </c>
    </row>
    <row r="2198" spans="1:4" x14ac:dyDescent="0.35">
      <c r="A2198" t="s">
        <v>58</v>
      </c>
      <c r="B2198" s="88">
        <v>45884</v>
      </c>
      <c r="C2198">
        <v>21.288591562499999</v>
      </c>
      <c r="D2198" t="s">
        <v>240</v>
      </c>
    </row>
    <row r="2199" spans="1:4" x14ac:dyDescent="0.35">
      <c r="A2199" t="s">
        <v>58</v>
      </c>
      <c r="B2199" s="88">
        <v>45976</v>
      </c>
      <c r="C2199">
        <v>21.288591562499999</v>
      </c>
      <c r="D2199" t="s">
        <v>240</v>
      </c>
    </row>
    <row r="2200" spans="1:4" x14ac:dyDescent="0.35">
      <c r="A2200" t="s">
        <v>58</v>
      </c>
      <c r="B2200" s="88">
        <v>46068</v>
      </c>
      <c r="C2200">
        <v>21.288591562499999</v>
      </c>
      <c r="D2200" t="s">
        <v>240</v>
      </c>
    </row>
    <row r="2201" spans="1:4" x14ac:dyDescent="0.35">
      <c r="A2201" t="s">
        <v>58</v>
      </c>
      <c r="B2201" s="88">
        <v>46157</v>
      </c>
      <c r="C2201">
        <v>24.502316875000002</v>
      </c>
      <c r="D2201" t="s">
        <v>240</v>
      </c>
    </row>
    <row r="2202" spans="1:4" x14ac:dyDescent="0.35">
      <c r="A2202" t="s">
        <v>58</v>
      </c>
      <c r="B2202" s="88">
        <v>46249</v>
      </c>
      <c r="C2202">
        <v>24.502316875000002</v>
      </c>
      <c r="D2202" t="s">
        <v>240</v>
      </c>
    </row>
    <row r="2203" spans="1:4" x14ac:dyDescent="0.35">
      <c r="A2203" t="s">
        <v>55</v>
      </c>
      <c r="B2203" s="88">
        <v>43511</v>
      </c>
      <c r="C2203">
        <v>11.933440115411708</v>
      </c>
      <c r="D2203" t="s">
        <v>240</v>
      </c>
    </row>
    <row r="2204" spans="1:4" x14ac:dyDescent="0.35">
      <c r="A2204" t="s">
        <v>55</v>
      </c>
      <c r="B2204" s="88">
        <v>43600</v>
      </c>
      <c r="C2204">
        <v>11.599162199999999</v>
      </c>
      <c r="D2204" t="s">
        <v>240</v>
      </c>
    </row>
    <row r="2205" spans="1:4" x14ac:dyDescent="0.35">
      <c r="A2205" t="s">
        <v>55</v>
      </c>
      <c r="B2205" s="88">
        <v>43692</v>
      </c>
      <c r="C2205">
        <v>11.599162199999999</v>
      </c>
      <c r="D2205" t="s">
        <v>240</v>
      </c>
    </row>
    <row r="2206" spans="1:4" x14ac:dyDescent="0.35">
      <c r="A2206" t="s">
        <v>55</v>
      </c>
      <c r="B2206" s="88">
        <v>43784</v>
      </c>
      <c r="C2206">
        <v>11.599162199999999</v>
      </c>
      <c r="D2206" t="s">
        <v>240</v>
      </c>
    </row>
    <row r="2207" spans="1:4" x14ac:dyDescent="0.35">
      <c r="A2207" t="s">
        <v>55</v>
      </c>
      <c r="B2207" s="88">
        <v>43876</v>
      </c>
      <c r="C2207">
        <v>11.599162199999999</v>
      </c>
      <c r="D2207" t="s">
        <v>240</v>
      </c>
    </row>
    <row r="2208" spans="1:4" x14ac:dyDescent="0.35">
      <c r="A2208" t="s">
        <v>55</v>
      </c>
      <c r="B2208" s="88">
        <v>43966</v>
      </c>
      <c r="C2208">
        <v>9.9482957999999986</v>
      </c>
      <c r="D2208" t="s">
        <v>240</v>
      </c>
    </row>
    <row r="2209" spans="1:4" x14ac:dyDescent="0.35">
      <c r="A2209" t="s">
        <v>55</v>
      </c>
      <c r="B2209" s="88">
        <v>44058</v>
      </c>
      <c r="C2209">
        <v>9.9482957999999986</v>
      </c>
      <c r="D2209" t="s">
        <v>240</v>
      </c>
    </row>
    <row r="2210" spans="1:4" x14ac:dyDescent="0.35">
      <c r="A2210" t="s">
        <v>55</v>
      </c>
      <c r="B2210" s="88">
        <v>44150</v>
      </c>
      <c r="C2210">
        <v>9.9482957999999986</v>
      </c>
      <c r="D2210" t="s">
        <v>240</v>
      </c>
    </row>
    <row r="2211" spans="1:4" x14ac:dyDescent="0.35">
      <c r="A2211" t="s">
        <v>55</v>
      </c>
      <c r="B2211" s="88">
        <v>44242</v>
      </c>
      <c r="C2211">
        <v>9.9482957999999986</v>
      </c>
      <c r="D2211" t="s">
        <v>240</v>
      </c>
    </row>
    <row r="2212" spans="1:4" x14ac:dyDescent="0.35">
      <c r="A2212" t="s">
        <v>55</v>
      </c>
      <c r="B2212" s="88">
        <v>44331</v>
      </c>
      <c r="C2212">
        <v>10.170738</v>
      </c>
      <c r="D2212" t="s">
        <v>240</v>
      </c>
    </row>
    <row r="2213" spans="1:4" x14ac:dyDescent="0.35">
      <c r="A2213" t="s">
        <v>55</v>
      </c>
      <c r="B2213" s="88">
        <v>44423</v>
      </c>
      <c r="C2213">
        <v>10.170738</v>
      </c>
      <c r="D2213" t="s">
        <v>240</v>
      </c>
    </row>
    <row r="2214" spans="1:4" x14ac:dyDescent="0.35">
      <c r="A2214" t="s">
        <v>55</v>
      </c>
      <c r="B2214" s="88">
        <v>44515</v>
      </c>
      <c r="C2214">
        <v>10.170738</v>
      </c>
      <c r="D2214" t="s">
        <v>240</v>
      </c>
    </row>
    <row r="2215" spans="1:4" x14ac:dyDescent="0.35">
      <c r="A2215" t="s">
        <v>55</v>
      </c>
      <c r="B2215" s="88">
        <v>44607</v>
      </c>
      <c r="C2215">
        <v>10.170738</v>
      </c>
      <c r="D2215" t="s">
        <v>240</v>
      </c>
    </row>
    <row r="2216" spans="1:4" x14ac:dyDescent="0.35">
      <c r="A2216" t="s">
        <v>55</v>
      </c>
      <c r="B2216" s="88">
        <v>44696</v>
      </c>
      <c r="C2216">
        <v>11.208198712500002</v>
      </c>
      <c r="D2216" t="s">
        <v>240</v>
      </c>
    </row>
    <row r="2217" spans="1:4" x14ac:dyDescent="0.35">
      <c r="A2217" t="s">
        <v>55</v>
      </c>
      <c r="B2217" s="88">
        <v>44788</v>
      </c>
      <c r="C2217">
        <v>11.208198712500002</v>
      </c>
      <c r="D2217" t="s">
        <v>240</v>
      </c>
    </row>
    <row r="2218" spans="1:4" x14ac:dyDescent="0.35">
      <c r="A2218" t="s">
        <v>55</v>
      </c>
      <c r="B2218" s="88">
        <v>44880</v>
      </c>
      <c r="C2218">
        <v>11.208198712500002</v>
      </c>
      <c r="D2218" t="s">
        <v>240</v>
      </c>
    </row>
    <row r="2219" spans="1:4" x14ac:dyDescent="0.35">
      <c r="A2219" t="s">
        <v>55</v>
      </c>
      <c r="B2219" s="88">
        <v>44972</v>
      </c>
      <c r="C2219">
        <v>11.208198712500002</v>
      </c>
      <c r="D2219" t="s">
        <v>240</v>
      </c>
    </row>
    <row r="2220" spans="1:4" x14ac:dyDescent="0.35">
      <c r="A2220" t="s">
        <v>55</v>
      </c>
      <c r="B2220" s="88">
        <v>45061</v>
      </c>
      <c r="C2220">
        <v>12.138599025</v>
      </c>
      <c r="D2220" t="s">
        <v>240</v>
      </c>
    </row>
    <row r="2221" spans="1:4" x14ac:dyDescent="0.35">
      <c r="A2221" t="s">
        <v>55</v>
      </c>
      <c r="B2221" s="88">
        <v>45153</v>
      </c>
      <c r="C2221">
        <v>12.138599025</v>
      </c>
      <c r="D2221" t="s">
        <v>240</v>
      </c>
    </row>
    <row r="2222" spans="1:4" x14ac:dyDescent="0.35">
      <c r="A2222" t="s">
        <v>55</v>
      </c>
      <c r="B2222" s="88">
        <v>45245</v>
      </c>
      <c r="C2222">
        <v>12.138599025</v>
      </c>
      <c r="D2222" t="s">
        <v>240</v>
      </c>
    </row>
    <row r="2223" spans="1:4" x14ac:dyDescent="0.35">
      <c r="A2223" t="s">
        <v>55</v>
      </c>
      <c r="B2223" s="88">
        <v>45337</v>
      </c>
      <c r="C2223">
        <v>12.138599025</v>
      </c>
      <c r="D2223" t="s">
        <v>240</v>
      </c>
    </row>
    <row r="2224" spans="1:4" x14ac:dyDescent="0.35">
      <c r="A2224" t="s">
        <v>55</v>
      </c>
      <c r="B2224" s="88">
        <v>45427</v>
      </c>
      <c r="C2224">
        <v>13.93578625</v>
      </c>
      <c r="D2224" t="s">
        <v>240</v>
      </c>
    </row>
    <row r="2225" spans="1:4" x14ac:dyDescent="0.35">
      <c r="A2225" t="s">
        <v>55</v>
      </c>
      <c r="B2225" s="88">
        <v>45519</v>
      </c>
      <c r="C2225">
        <v>13.93578625</v>
      </c>
      <c r="D2225" t="s">
        <v>240</v>
      </c>
    </row>
    <row r="2226" spans="1:4" x14ac:dyDescent="0.35">
      <c r="A2226" t="s">
        <v>55</v>
      </c>
      <c r="B2226" s="88">
        <v>45611</v>
      </c>
      <c r="C2226">
        <v>13.93578625</v>
      </c>
      <c r="D2226" t="s">
        <v>240</v>
      </c>
    </row>
    <row r="2227" spans="1:4" x14ac:dyDescent="0.35">
      <c r="A2227" t="s">
        <v>55</v>
      </c>
      <c r="B2227" s="88">
        <v>45703</v>
      </c>
      <c r="C2227">
        <v>13.93578625</v>
      </c>
      <c r="D2227" t="s">
        <v>240</v>
      </c>
    </row>
    <row r="2228" spans="1:4" x14ac:dyDescent="0.35">
      <c r="A2228" t="s">
        <v>55</v>
      </c>
      <c r="B2228" s="88">
        <v>45792</v>
      </c>
      <c r="C2228">
        <v>18.201646562499999</v>
      </c>
      <c r="D2228" t="s">
        <v>240</v>
      </c>
    </row>
    <row r="2229" spans="1:4" x14ac:dyDescent="0.35">
      <c r="A2229" t="s">
        <v>55</v>
      </c>
      <c r="B2229" s="88">
        <v>45884</v>
      </c>
      <c r="C2229">
        <v>18.201646562499999</v>
      </c>
      <c r="D2229" t="s">
        <v>240</v>
      </c>
    </row>
    <row r="2230" spans="1:4" x14ac:dyDescent="0.35">
      <c r="A2230" t="s">
        <v>55</v>
      </c>
      <c r="B2230" s="88">
        <v>45976</v>
      </c>
      <c r="C2230">
        <v>18.201646562499999</v>
      </c>
      <c r="D2230" t="s">
        <v>240</v>
      </c>
    </row>
    <row r="2231" spans="1:4" x14ac:dyDescent="0.35">
      <c r="A2231" t="s">
        <v>55</v>
      </c>
      <c r="B2231" s="88">
        <v>46068</v>
      </c>
      <c r="C2231">
        <v>18.201646562499999</v>
      </c>
      <c r="D2231" t="s">
        <v>240</v>
      </c>
    </row>
    <row r="2232" spans="1:4" x14ac:dyDescent="0.35">
      <c r="A2232" t="s">
        <v>55</v>
      </c>
      <c r="B2232" s="88">
        <v>46157</v>
      </c>
      <c r="C2232">
        <v>19.662944374999999</v>
      </c>
      <c r="D2232" t="s">
        <v>240</v>
      </c>
    </row>
    <row r="2233" spans="1:4" x14ac:dyDescent="0.35">
      <c r="A2233" t="s">
        <v>55</v>
      </c>
      <c r="B2233" s="88">
        <v>46249</v>
      </c>
      <c r="C2233">
        <v>19.662944374999999</v>
      </c>
      <c r="D2233" t="s">
        <v>240</v>
      </c>
    </row>
    <row r="2234" spans="1:4" x14ac:dyDescent="0.35">
      <c r="A2234" t="s">
        <v>62</v>
      </c>
      <c r="B2234" s="88">
        <v>43511</v>
      </c>
      <c r="C2234">
        <v>14.666096912499999</v>
      </c>
      <c r="D2234" t="s">
        <v>240</v>
      </c>
    </row>
    <row r="2235" spans="1:4" x14ac:dyDescent="0.35">
      <c r="A2235" t="s">
        <v>62</v>
      </c>
      <c r="B2235" s="88">
        <v>43600</v>
      </c>
      <c r="C2235">
        <v>15.1026911925</v>
      </c>
      <c r="D2235" t="s">
        <v>240</v>
      </c>
    </row>
    <row r="2236" spans="1:4" x14ac:dyDescent="0.35">
      <c r="A2236" t="s">
        <v>62</v>
      </c>
      <c r="B2236" s="88">
        <v>43692</v>
      </c>
      <c r="C2236">
        <v>15.1026911925</v>
      </c>
      <c r="D2236" t="s">
        <v>240</v>
      </c>
    </row>
    <row r="2237" spans="1:4" x14ac:dyDescent="0.35">
      <c r="A2237" t="s">
        <v>62</v>
      </c>
      <c r="B2237" s="88">
        <v>43784</v>
      </c>
      <c r="C2237">
        <v>15.1026911925</v>
      </c>
      <c r="D2237" t="s">
        <v>240</v>
      </c>
    </row>
    <row r="2238" spans="1:4" x14ac:dyDescent="0.35">
      <c r="A2238" t="s">
        <v>62</v>
      </c>
      <c r="B2238" s="88">
        <v>43876</v>
      </c>
      <c r="C2238">
        <v>15.1026911925</v>
      </c>
      <c r="D2238" t="s">
        <v>240</v>
      </c>
    </row>
    <row r="2239" spans="1:4" x14ac:dyDescent="0.35">
      <c r="A2239" t="s">
        <v>62</v>
      </c>
      <c r="B2239" s="88">
        <v>43966</v>
      </c>
      <c r="C2239">
        <v>15.102691192499998</v>
      </c>
      <c r="D2239" t="s">
        <v>240</v>
      </c>
    </row>
    <row r="2240" spans="1:4" x14ac:dyDescent="0.35">
      <c r="A2240" t="s">
        <v>62</v>
      </c>
      <c r="B2240" s="88">
        <v>44058</v>
      </c>
      <c r="C2240">
        <v>15.102691192499998</v>
      </c>
      <c r="D2240" t="s">
        <v>240</v>
      </c>
    </row>
    <row r="2241" spans="1:4" x14ac:dyDescent="0.35">
      <c r="A2241" t="s">
        <v>62</v>
      </c>
      <c r="B2241" s="88">
        <v>44150</v>
      </c>
      <c r="C2241">
        <v>15.102691192499998</v>
      </c>
      <c r="D2241" t="s">
        <v>240</v>
      </c>
    </row>
    <row r="2242" spans="1:4" x14ac:dyDescent="0.35">
      <c r="A2242" t="s">
        <v>62</v>
      </c>
      <c r="B2242" s="88">
        <v>44242</v>
      </c>
      <c r="C2242">
        <v>15.102691192499998</v>
      </c>
      <c r="D2242" t="s">
        <v>240</v>
      </c>
    </row>
    <row r="2243" spans="1:4" x14ac:dyDescent="0.35">
      <c r="A2243" t="s">
        <v>62</v>
      </c>
      <c r="B2243" s="88">
        <v>44331</v>
      </c>
      <c r="C2243">
        <v>15.102691192499996</v>
      </c>
      <c r="D2243" t="s">
        <v>240</v>
      </c>
    </row>
    <row r="2244" spans="1:4" x14ac:dyDescent="0.35">
      <c r="A2244" t="s">
        <v>62</v>
      </c>
      <c r="B2244" s="88">
        <v>44423</v>
      </c>
      <c r="C2244">
        <v>15.102691192499996</v>
      </c>
      <c r="D2244" t="s">
        <v>240</v>
      </c>
    </row>
    <row r="2245" spans="1:4" x14ac:dyDescent="0.35">
      <c r="A2245" t="s">
        <v>62</v>
      </c>
      <c r="B2245" s="88">
        <v>44515</v>
      </c>
      <c r="C2245">
        <v>15.102691192499996</v>
      </c>
      <c r="D2245" t="s">
        <v>240</v>
      </c>
    </row>
    <row r="2246" spans="1:4" x14ac:dyDescent="0.35">
      <c r="A2246" t="s">
        <v>62</v>
      </c>
      <c r="B2246" s="88">
        <v>44607</v>
      </c>
      <c r="C2246">
        <v>15.102691192499996</v>
      </c>
      <c r="D2246" t="s">
        <v>240</v>
      </c>
    </row>
    <row r="2247" spans="1:4" x14ac:dyDescent="0.35">
      <c r="A2247" t="s">
        <v>62</v>
      </c>
      <c r="B2247" s="88">
        <v>44696</v>
      </c>
      <c r="C2247">
        <v>15.890261504999998</v>
      </c>
      <c r="D2247" t="s">
        <v>240</v>
      </c>
    </row>
    <row r="2248" spans="1:4" x14ac:dyDescent="0.35">
      <c r="A2248" t="s">
        <v>62</v>
      </c>
      <c r="B2248" s="88">
        <v>44788</v>
      </c>
      <c r="C2248">
        <v>15.890261504999998</v>
      </c>
      <c r="D2248" t="s">
        <v>240</v>
      </c>
    </row>
    <row r="2249" spans="1:4" x14ac:dyDescent="0.35">
      <c r="A2249" t="s">
        <v>62</v>
      </c>
      <c r="B2249" s="88">
        <v>44880</v>
      </c>
      <c r="C2249">
        <v>15.890261504999998</v>
      </c>
      <c r="D2249" t="s">
        <v>240</v>
      </c>
    </row>
    <row r="2250" spans="1:4" x14ac:dyDescent="0.35">
      <c r="A2250" t="s">
        <v>62</v>
      </c>
      <c r="B2250" s="88">
        <v>44972</v>
      </c>
      <c r="C2250">
        <v>15.890261504999998</v>
      </c>
      <c r="D2250" t="s">
        <v>240</v>
      </c>
    </row>
    <row r="2251" spans="1:4" x14ac:dyDescent="0.35">
      <c r="A2251" t="s">
        <v>62</v>
      </c>
      <c r="B2251" s="88">
        <v>45061</v>
      </c>
      <c r="C2251">
        <v>18.105465277499999</v>
      </c>
      <c r="D2251" t="s">
        <v>240</v>
      </c>
    </row>
    <row r="2252" spans="1:4" x14ac:dyDescent="0.35">
      <c r="A2252" t="s">
        <v>62</v>
      </c>
      <c r="B2252" s="88">
        <v>45153</v>
      </c>
      <c r="C2252">
        <v>18.105465277499999</v>
      </c>
      <c r="D2252" t="s">
        <v>240</v>
      </c>
    </row>
    <row r="2253" spans="1:4" x14ac:dyDescent="0.35">
      <c r="A2253" t="s">
        <v>62</v>
      </c>
      <c r="B2253" s="88">
        <v>45245</v>
      </c>
      <c r="C2253">
        <v>18.105465277499999</v>
      </c>
      <c r="D2253" t="s">
        <v>240</v>
      </c>
    </row>
    <row r="2254" spans="1:4" x14ac:dyDescent="0.35">
      <c r="A2254" t="s">
        <v>62</v>
      </c>
      <c r="B2254" s="88">
        <v>45337</v>
      </c>
      <c r="C2254">
        <v>18.105465277499999</v>
      </c>
      <c r="D2254" t="s">
        <v>240</v>
      </c>
    </row>
    <row r="2255" spans="1:4" x14ac:dyDescent="0.35">
      <c r="A2255" t="s">
        <v>62</v>
      </c>
      <c r="B2255" s="88">
        <v>45427</v>
      </c>
      <c r="C2255">
        <v>17.856745750000002</v>
      </c>
      <c r="D2255" t="s">
        <v>240</v>
      </c>
    </row>
    <row r="2256" spans="1:4" x14ac:dyDescent="0.35">
      <c r="A2256" t="s">
        <v>62</v>
      </c>
      <c r="B2256" s="88">
        <v>45519</v>
      </c>
      <c r="C2256">
        <v>17.856745750000002</v>
      </c>
      <c r="D2256" t="s">
        <v>240</v>
      </c>
    </row>
    <row r="2257" spans="1:4" x14ac:dyDescent="0.35">
      <c r="A2257" t="s">
        <v>62</v>
      </c>
      <c r="B2257" s="88">
        <v>45611</v>
      </c>
      <c r="C2257">
        <v>17.856745750000002</v>
      </c>
      <c r="D2257" t="s">
        <v>240</v>
      </c>
    </row>
    <row r="2258" spans="1:4" x14ac:dyDescent="0.35">
      <c r="A2258" t="s">
        <v>62</v>
      </c>
      <c r="B2258" s="88">
        <v>45703</v>
      </c>
      <c r="C2258">
        <v>17.856745750000002</v>
      </c>
      <c r="D2258" t="s">
        <v>240</v>
      </c>
    </row>
    <row r="2259" spans="1:4" x14ac:dyDescent="0.35">
      <c r="A2259" t="s">
        <v>62</v>
      </c>
      <c r="B2259" s="88">
        <v>45792</v>
      </c>
      <c r="C2259">
        <v>19.6015415625</v>
      </c>
      <c r="D2259" t="s">
        <v>240</v>
      </c>
    </row>
    <row r="2260" spans="1:4" x14ac:dyDescent="0.35">
      <c r="A2260" t="s">
        <v>62</v>
      </c>
      <c r="B2260" s="88">
        <v>45884</v>
      </c>
      <c r="C2260">
        <v>19.6015415625</v>
      </c>
      <c r="D2260" t="s">
        <v>240</v>
      </c>
    </row>
    <row r="2261" spans="1:4" x14ac:dyDescent="0.35">
      <c r="A2261" t="s">
        <v>62</v>
      </c>
      <c r="B2261" s="88">
        <v>45976</v>
      </c>
      <c r="C2261">
        <v>19.6015415625</v>
      </c>
      <c r="D2261" t="s">
        <v>240</v>
      </c>
    </row>
    <row r="2262" spans="1:4" x14ac:dyDescent="0.35">
      <c r="A2262" t="s">
        <v>62</v>
      </c>
      <c r="B2262" s="88">
        <v>46068</v>
      </c>
      <c r="C2262">
        <v>19.6015415625</v>
      </c>
      <c r="D2262" t="s">
        <v>240</v>
      </c>
    </row>
    <row r="2263" spans="1:4" x14ac:dyDescent="0.35">
      <c r="A2263" t="s">
        <v>62</v>
      </c>
      <c r="B2263" s="88">
        <v>46157</v>
      </c>
      <c r="C2263">
        <v>20.575584374999998</v>
      </c>
      <c r="D2263" t="s">
        <v>240</v>
      </c>
    </row>
    <row r="2264" spans="1:4" x14ac:dyDescent="0.35">
      <c r="A2264" t="s">
        <v>62</v>
      </c>
      <c r="B2264" s="88">
        <v>46249</v>
      </c>
      <c r="C2264">
        <v>20.575584374999998</v>
      </c>
      <c r="D2264" t="s">
        <v>240</v>
      </c>
    </row>
    <row r="2265" spans="1:4" x14ac:dyDescent="0.35">
      <c r="A2265" t="s">
        <v>64</v>
      </c>
      <c r="B2265" s="88">
        <v>43511</v>
      </c>
      <c r="C2265">
        <v>15.894519516562497</v>
      </c>
      <c r="D2265" t="s">
        <v>240</v>
      </c>
    </row>
    <row r="2266" spans="1:4" x14ac:dyDescent="0.35">
      <c r="A2266" t="s">
        <v>64</v>
      </c>
      <c r="B2266" s="88">
        <v>43600</v>
      </c>
      <c r="C2266">
        <v>15.8945195165625</v>
      </c>
      <c r="D2266" t="s">
        <v>240</v>
      </c>
    </row>
    <row r="2267" spans="1:4" x14ac:dyDescent="0.35">
      <c r="A2267" t="s">
        <v>64</v>
      </c>
      <c r="B2267" s="88">
        <v>43692</v>
      </c>
      <c r="C2267">
        <v>15.8945195165625</v>
      </c>
      <c r="D2267" t="s">
        <v>240</v>
      </c>
    </row>
    <row r="2268" spans="1:4" x14ac:dyDescent="0.35">
      <c r="A2268" t="s">
        <v>64</v>
      </c>
      <c r="B2268" s="88">
        <v>43784</v>
      </c>
      <c r="C2268">
        <v>15.8945195165625</v>
      </c>
      <c r="D2268" t="s">
        <v>240</v>
      </c>
    </row>
    <row r="2269" spans="1:4" x14ac:dyDescent="0.35">
      <c r="A2269" t="s">
        <v>64</v>
      </c>
      <c r="B2269" s="88">
        <v>43876</v>
      </c>
      <c r="C2269">
        <v>15.8945195165625</v>
      </c>
      <c r="D2269" t="s">
        <v>240</v>
      </c>
    </row>
    <row r="2270" spans="1:4" x14ac:dyDescent="0.35">
      <c r="A2270" t="s">
        <v>64</v>
      </c>
      <c r="B2270" s="88">
        <v>43966</v>
      </c>
      <c r="C2270">
        <v>14.415751112500001</v>
      </c>
      <c r="D2270" t="s">
        <v>240</v>
      </c>
    </row>
    <row r="2271" spans="1:4" x14ac:dyDescent="0.35">
      <c r="A2271" t="s">
        <v>64</v>
      </c>
      <c r="B2271" s="88">
        <v>44058</v>
      </c>
      <c r="C2271">
        <v>14.415751112500001</v>
      </c>
      <c r="D2271" t="s">
        <v>240</v>
      </c>
    </row>
    <row r="2272" spans="1:4" x14ac:dyDescent="0.35">
      <c r="A2272" t="s">
        <v>64</v>
      </c>
      <c r="B2272" s="88">
        <v>44150</v>
      </c>
      <c r="C2272">
        <v>14.415751112500001</v>
      </c>
      <c r="D2272" t="s">
        <v>240</v>
      </c>
    </row>
    <row r="2273" spans="1:4" x14ac:dyDescent="0.35">
      <c r="A2273" t="s">
        <v>64</v>
      </c>
      <c r="B2273" s="88">
        <v>44242</v>
      </c>
      <c r="C2273">
        <v>14.415751112500001</v>
      </c>
      <c r="D2273" t="s">
        <v>240</v>
      </c>
    </row>
    <row r="2274" spans="1:4" x14ac:dyDescent="0.35">
      <c r="A2274" t="s">
        <v>64</v>
      </c>
      <c r="B2274" s="88">
        <v>44331</v>
      </c>
      <c r="C2274">
        <v>15.179660462499999</v>
      </c>
      <c r="D2274" t="s">
        <v>240</v>
      </c>
    </row>
    <row r="2275" spans="1:4" x14ac:dyDescent="0.35">
      <c r="A2275" t="s">
        <v>64</v>
      </c>
      <c r="B2275" s="88">
        <v>44423</v>
      </c>
      <c r="C2275">
        <v>15.179660462499999</v>
      </c>
      <c r="D2275" t="s">
        <v>240</v>
      </c>
    </row>
    <row r="2276" spans="1:4" x14ac:dyDescent="0.35">
      <c r="A2276" t="s">
        <v>64</v>
      </c>
      <c r="B2276" s="88">
        <v>44515</v>
      </c>
      <c r="C2276">
        <v>15.179660462499999</v>
      </c>
      <c r="D2276" t="s">
        <v>240</v>
      </c>
    </row>
    <row r="2277" spans="1:4" x14ac:dyDescent="0.35">
      <c r="A2277" t="s">
        <v>64</v>
      </c>
      <c r="B2277" s="88">
        <v>44607</v>
      </c>
      <c r="C2277">
        <v>15.179660462499999</v>
      </c>
      <c r="D2277" t="s">
        <v>240</v>
      </c>
    </row>
    <row r="2278" spans="1:4" x14ac:dyDescent="0.35">
      <c r="A2278" t="s">
        <v>64</v>
      </c>
      <c r="B2278" s="88">
        <v>44696</v>
      </c>
      <c r="C2278">
        <v>16.103533375000001</v>
      </c>
      <c r="D2278" t="s">
        <v>240</v>
      </c>
    </row>
    <row r="2279" spans="1:4" x14ac:dyDescent="0.35">
      <c r="A2279" t="s">
        <v>64</v>
      </c>
      <c r="B2279" s="88">
        <v>44788</v>
      </c>
      <c r="C2279">
        <v>16.103533375000001</v>
      </c>
      <c r="D2279" t="s">
        <v>240</v>
      </c>
    </row>
    <row r="2280" spans="1:4" x14ac:dyDescent="0.35">
      <c r="A2280" t="s">
        <v>64</v>
      </c>
      <c r="B2280" s="88">
        <v>44880</v>
      </c>
      <c r="C2280">
        <v>16.103533375000001</v>
      </c>
      <c r="D2280" t="s">
        <v>240</v>
      </c>
    </row>
    <row r="2281" spans="1:4" x14ac:dyDescent="0.35">
      <c r="A2281" t="s">
        <v>64</v>
      </c>
      <c r="B2281" s="88">
        <v>44972</v>
      </c>
      <c r="C2281">
        <v>16.103533375000001</v>
      </c>
      <c r="D2281" t="s">
        <v>240</v>
      </c>
    </row>
    <row r="2282" spans="1:4" x14ac:dyDescent="0.35">
      <c r="A2282" t="s">
        <v>64</v>
      </c>
      <c r="B2282" s="88">
        <v>45061</v>
      </c>
      <c r="C2282">
        <v>15.399831987500001</v>
      </c>
      <c r="D2282" t="s">
        <v>240</v>
      </c>
    </row>
    <row r="2283" spans="1:4" x14ac:dyDescent="0.35">
      <c r="A2283" t="s">
        <v>64</v>
      </c>
      <c r="B2283" s="88">
        <v>45153</v>
      </c>
      <c r="C2283">
        <v>15.399831987500001</v>
      </c>
      <c r="D2283" t="s">
        <v>240</v>
      </c>
    </row>
    <row r="2284" spans="1:4" x14ac:dyDescent="0.35">
      <c r="A2284" t="s">
        <v>64</v>
      </c>
      <c r="B2284" s="88">
        <v>45245</v>
      </c>
      <c r="C2284">
        <v>15.399831987500001</v>
      </c>
      <c r="D2284" t="s">
        <v>240</v>
      </c>
    </row>
    <row r="2285" spans="1:4" x14ac:dyDescent="0.35">
      <c r="A2285" t="s">
        <v>64</v>
      </c>
      <c r="B2285" s="88">
        <v>45337</v>
      </c>
      <c r="C2285">
        <v>15.399831987500001</v>
      </c>
      <c r="D2285" t="s">
        <v>240</v>
      </c>
    </row>
    <row r="2286" spans="1:4" x14ac:dyDescent="0.35">
      <c r="A2286" t="s">
        <v>64</v>
      </c>
      <c r="B2286" s="88">
        <v>45427</v>
      </c>
      <c r="C2286">
        <v>17.167619999999999</v>
      </c>
      <c r="D2286" t="s">
        <v>240</v>
      </c>
    </row>
    <row r="2287" spans="1:4" x14ac:dyDescent="0.35">
      <c r="A2287" t="s">
        <v>64</v>
      </c>
      <c r="B2287" s="88">
        <v>45519</v>
      </c>
      <c r="C2287">
        <v>17.167619999999999</v>
      </c>
      <c r="D2287" t="s">
        <v>240</v>
      </c>
    </row>
    <row r="2288" spans="1:4" x14ac:dyDescent="0.35">
      <c r="A2288" t="s">
        <v>64</v>
      </c>
      <c r="B2288" s="88">
        <v>45611</v>
      </c>
      <c r="C2288">
        <v>17.167619999999999</v>
      </c>
      <c r="D2288" t="s">
        <v>240</v>
      </c>
    </row>
    <row r="2289" spans="1:4" x14ac:dyDescent="0.35">
      <c r="A2289" t="s">
        <v>64</v>
      </c>
      <c r="B2289" s="88">
        <v>45703</v>
      </c>
      <c r="C2289">
        <v>17.167619999999999</v>
      </c>
      <c r="D2289" t="s">
        <v>240</v>
      </c>
    </row>
    <row r="2290" spans="1:4" x14ac:dyDescent="0.35">
      <c r="A2290" t="s">
        <v>64</v>
      </c>
      <c r="B2290" s="88">
        <v>45792</v>
      </c>
      <c r="C2290">
        <v>18.851409212499998</v>
      </c>
      <c r="D2290" t="s">
        <v>240</v>
      </c>
    </row>
    <row r="2291" spans="1:4" x14ac:dyDescent="0.35">
      <c r="A2291" t="s">
        <v>64</v>
      </c>
      <c r="B2291" s="88">
        <v>45884</v>
      </c>
      <c r="C2291">
        <v>18.851409212499998</v>
      </c>
      <c r="D2291" t="s">
        <v>240</v>
      </c>
    </row>
    <row r="2292" spans="1:4" x14ac:dyDescent="0.35">
      <c r="A2292" t="s">
        <v>64</v>
      </c>
      <c r="B2292" s="88">
        <v>45976</v>
      </c>
      <c r="C2292">
        <v>18.851409212499998</v>
      </c>
      <c r="D2292" t="s">
        <v>240</v>
      </c>
    </row>
    <row r="2293" spans="1:4" x14ac:dyDescent="0.35">
      <c r="A2293" t="s">
        <v>64</v>
      </c>
      <c r="B2293" s="88">
        <v>46068</v>
      </c>
      <c r="C2293">
        <v>18.851409212499998</v>
      </c>
      <c r="D2293" t="s">
        <v>240</v>
      </c>
    </row>
    <row r="2294" spans="1:4" x14ac:dyDescent="0.35">
      <c r="A2294" t="s">
        <v>64</v>
      </c>
      <c r="B2294" s="88">
        <v>46157</v>
      </c>
      <c r="C2294">
        <v>20.717513924999999</v>
      </c>
      <c r="D2294" t="s">
        <v>240</v>
      </c>
    </row>
    <row r="2295" spans="1:4" x14ac:dyDescent="0.35">
      <c r="A2295" t="s">
        <v>64</v>
      </c>
      <c r="B2295" s="88">
        <v>46249</v>
      </c>
      <c r="C2295">
        <v>20.717513924999999</v>
      </c>
      <c r="D2295" t="s">
        <v>240</v>
      </c>
    </row>
    <row r="2296" spans="1:4" x14ac:dyDescent="0.35">
      <c r="A2296" t="s">
        <v>63</v>
      </c>
      <c r="B2296" s="88">
        <v>43511</v>
      </c>
      <c r="C2296">
        <v>15.894519516562497</v>
      </c>
      <c r="D2296" t="s">
        <v>240</v>
      </c>
    </row>
    <row r="2297" spans="1:4" x14ac:dyDescent="0.35">
      <c r="A2297" t="s">
        <v>63</v>
      </c>
      <c r="B2297" s="88">
        <v>43600</v>
      </c>
      <c r="C2297">
        <v>15.8945195165625</v>
      </c>
      <c r="D2297" t="s">
        <v>240</v>
      </c>
    </row>
    <row r="2298" spans="1:4" x14ac:dyDescent="0.35">
      <c r="A2298" t="s">
        <v>63</v>
      </c>
      <c r="B2298" s="88">
        <v>43692</v>
      </c>
      <c r="C2298">
        <v>15.8945195165625</v>
      </c>
      <c r="D2298" t="s">
        <v>240</v>
      </c>
    </row>
    <row r="2299" spans="1:4" x14ac:dyDescent="0.35">
      <c r="A2299" t="s">
        <v>63</v>
      </c>
      <c r="B2299" s="88">
        <v>43784</v>
      </c>
      <c r="C2299">
        <v>15.8945195165625</v>
      </c>
      <c r="D2299" t="s">
        <v>240</v>
      </c>
    </row>
    <row r="2300" spans="1:4" x14ac:dyDescent="0.35">
      <c r="A2300" t="s">
        <v>63</v>
      </c>
      <c r="B2300" s="88">
        <v>43876</v>
      </c>
      <c r="C2300">
        <v>15.8945195165625</v>
      </c>
      <c r="D2300" t="s">
        <v>240</v>
      </c>
    </row>
    <row r="2301" spans="1:4" x14ac:dyDescent="0.35">
      <c r="A2301" t="s">
        <v>63</v>
      </c>
      <c r="B2301" s="88">
        <v>43966</v>
      </c>
      <c r="C2301">
        <v>14.415751112500001</v>
      </c>
      <c r="D2301" t="s">
        <v>240</v>
      </c>
    </row>
    <row r="2302" spans="1:4" x14ac:dyDescent="0.35">
      <c r="A2302" t="s">
        <v>63</v>
      </c>
      <c r="B2302" s="88">
        <v>44058</v>
      </c>
      <c r="C2302">
        <v>14.415751112500001</v>
      </c>
      <c r="D2302" t="s">
        <v>240</v>
      </c>
    </row>
    <row r="2303" spans="1:4" x14ac:dyDescent="0.35">
      <c r="A2303" t="s">
        <v>63</v>
      </c>
      <c r="B2303" s="88">
        <v>44150</v>
      </c>
      <c r="C2303">
        <v>14.415751112500001</v>
      </c>
      <c r="D2303" t="s">
        <v>240</v>
      </c>
    </row>
    <row r="2304" spans="1:4" x14ac:dyDescent="0.35">
      <c r="A2304" t="s">
        <v>63</v>
      </c>
      <c r="B2304" s="88">
        <v>44242</v>
      </c>
      <c r="C2304">
        <v>14.415751112500001</v>
      </c>
      <c r="D2304" t="s">
        <v>240</v>
      </c>
    </row>
    <row r="2305" spans="1:4" x14ac:dyDescent="0.35">
      <c r="A2305" t="s">
        <v>63</v>
      </c>
      <c r="B2305" s="88">
        <v>44331</v>
      </c>
      <c r="C2305">
        <v>15.179660462499999</v>
      </c>
      <c r="D2305" t="s">
        <v>240</v>
      </c>
    </row>
    <row r="2306" spans="1:4" x14ac:dyDescent="0.35">
      <c r="A2306" t="s">
        <v>63</v>
      </c>
      <c r="B2306" s="88">
        <v>44423</v>
      </c>
      <c r="C2306">
        <v>15.179660462499999</v>
      </c>
      <c r="D2306" t="s">
        <v>240</v>
      </c>
    </row>
    <row r="2307" spans="1:4" x14ac:dyDescent="0.35">
      <c r="A2307" t="s">
        <v>63</v>
      </c>
      <c r="B2307" s="88">
        <v>44515</v>
      </c>
      <c r="C2307">
        <v>15.179660462499999</v>
      </c>
      <c r="D2307" t="s">
        <v>240</v>
      </c>
    </row>
    <row r="2308" spans="1:4" x14ac:dyDescent="0.35">
      <c r="A2308" t="s">
        <v>63</v>
      </c>
      <c r="B2308" s="88">
        <v>44607</v>
      </c>
      <c r="C2308">
        <v>15.179660462499999</v>
      </c>
      <c r="D2308" t="s">
        <v>240</v>
      </c>
    </row>
    <row r="2309" spans="1:4" x14ac:dyDescent="0.35">
      <c r="A2309" t="s">
        <v>63</v>
      </c>
      <c r="B2309" s="88">
        <v>44696</v>
      </c>
      <c r="C2309">
        <v>16.103533375000001</v>
      </c>
      <c r="D2309" t="s">
        <v>240</v>
      </c>
    </row>
    <row r="2310" spans="1:4" x14ac:dyDescent="0.35">
      <c r="A2310" t="s">
        <v>63</v>
      </c>
      <c r="B2310" s="88">
        <v>44788</v>
      </c>
      <c r="C2310">
        <v>16.103533375000001</v>
      </c>
      <c r="D2310" t="s">
        <v>240</v>
      </c>
    </row>
    <row r="2311" spans="1:4" x14ac:dyDescent="0.35">
      <c r="A2311" t="s">
        <v>63</v>
      </c>
      <c r="B2311" s="88">
        <v>44880</v>
      </c>
      <c r="C2311">
        <v>16.103533375000001</v>
      </c>
      <c r="D2311" t="s">
        <v>240</v>
      </c>
    </row>
    <row r="2312" spans="1:4" x14ac:dyDescent="0.35">
      <c r="A2312" t="s">
        <v>63</v>
      </c>
      <c r="B2312" s="88">
        <v>44972</v>
      </c>
      <c r="C2312">
        <v>16.103533375000001</v>
      </c>
      <c r="D2312" t="s">
        <v>240</v>
      </c>
    </row>
    <row r="2313" spans="1:4" x14ac:dyDescent="0.35">
      <c r="A2313" t="s">
        <v>63</v>
      </c>
      <c r="B2313" s="88">
        <v>45061</v>
      </c>
      <c r="C2313">
        <v>15.399831987500001</v>
      </c>
      <c r="D2313" t="s">
        <v>240</v>
      </c>
    </row>
    <row r="2314" spans="1:4" x14ac:dyDescent="0.35">
      <c r="A2314" t="s">
        <v>63</v>
      </c>
      <c r="B2314" s="88">
        <v>45153</v>
      </c>
      <c r="C2314">
        <v>15.399831987500001</v>
      </c>
      <c r="D2314" t="s">
        <v>240</v>
      </c>
    </row>
    <row r="2315" spans="1:4" x14ac:dyDescent="0.35">
      <c r="A2315" t="s">
        <v>63</v>
      </c>
      <c r="B2315" s="88">
        <v>45245</v>
      </c>
      <c r="C2315">
        <v>15.399831987500001</v>
      </c>
      <c r="D2315" t="s">
        <v>240</v>
      </c>
    </row>
    <row r="2316" spans="1:4" x14ac:dyDescent="0.35">
      <c r="A2316" t="s">
        <v>63</v>
      </c>
      <c r="B2316" s="88">
        <v>45337</v>
      </c>
      <c r="C2316">
        <v>15.399831987500001</v>
      </c>
      <c r="D2316" t="s">
        <v>240</v>
      </c>
    </row>
    <row r="2317" spans="1:4" x14ac:dyDescent="0.35">
      <c r="A2317" t="s">
        <v>63</v>
      </c>
      <c r="B2317" s="88">
        <v>45427</v>
      </c>
      <c r="C2317">
        <v>17.167619999999999</v>
      </c>
      <c r="D2317" t="s">
        <v>240</v>
      </c>
    </row>
    <row r="2318" spans="1:4" x14ac:dyDescent="0.35">
      <c r="A2318" t="s">
        <v>63</v>
      </c>
      <c r="B2318" s="88">
        <v>45519</v>
      </c>
      <c r="C2318">
        <v>17.167619999999999</v>
      </c>
      <c r="D2318" t="s">
        <v>240</v>
      </c>
    </row>
    <row r="2319" spans="1:4" x14ac:dyDescent="0.35">
      <c r="A2319" t="s">
        <v>63</v>
      </c>
      <c r="B2319" s="88">
        <v>45611</v>
      </c>
      <c r="C2319">
        <v>17.167619999999999</v>
      </c>
      <c r="D2319" t="s">
        <v>240</v>
      </c>
    </row>
    <row r="2320" spans="1:4" x14ac:dyDescent="0.35">
      <c r="A2320" t="s">
        <v>63</v>
      </c>
      <c r="B2320" s="88">
        <v>45703</v>
      </c>
      <c r="C2320">
        <v>17.167619999999999</v>
      </c>
      <c r="D2320" t="s">
        <v>240</v>
      </c>
    </row>
    <row r="2321" spans="1:4" x14ac:dyDescent="0.35">
      <c r="A2321" t="s">
        <v>63</v>
      </c>
      <c r="B2321" s="88">
        <v>45792</v>
      </c>
      <c r="C2321">
        <v>18.851409212499998</v>
      </c>
      <c r="D2321" t="s">
        <v>240</v>
      </c>
    </row>
    <row r="2322" spans="1:4" x14ac:dyDescent="0.35">
      <c r="A2322" t="s">
        <v>63</v>
      </c>
      <c r="B2322" s="88">
        <v>45884</v>
      </c>
      <c r="C2322">
        <v>18.851409212499998</v>
      </c>
      <c r="D2322" t="s">
        <v>240</v>
      </c>
    </row>
    <row r="2323" spans="1:4" x14ac:dyDescent="0.35">
      <c r="A2323" t="s">
        <v>63</v>
      </c>
      <c r="B2323" s="88">
        <v>45976</v>
      </c>
      <c r="C2323">
        <v>18.851409212499998</v>
      </c>
      <c r="D2323" t="s">
        <v>240</v>
      </c>
    </row>
    <row r="2324" spans="1:4" x14ac:dyDescent="0.35">
      <c r="A2324" t="s">
        <v>63</v>
      </c>
      <c r="B2324" s="88">
        <v>46068</v>
      </c>
      <c r="C2324">
        <v>18.851409212499998</v>
      </c>
      <c r="D2324" t="s">
        <v>240</v>
      </c>
    </row>
    <row r="2325" spans="1:4" x14ac:dyDescent="0.35">
      <c r="A2325" t="s">
        <v>63</v>
      </c>
      <c r="B2325" s="88">
        <v>46157</v>
      </c>
      <c r="C2325">
        <v>20.717513924999999</v>
      </c>
      <c r="D2325" t="s">
        <v>240</v>
      </c>
    </row>
    <row r="2326" spans="1:4" x14ac:dyDescent="0.35">
      <c r="A2326" t="s">
        <v>63</v>
      </c>
      <c r="B2326" s="88">
        <v>46249</v>
      </c>
      <c r="C2326">
        <v>20.717513924999999</v>
      </c>
      <c r="D2326" t="s">
        <v>240</v>
      </c>
    </row>
    <row r="2327" spans="1:4" x14ac:dyDescent="0.35">
      <c r="A2327" t="s">
        <v>65</v>
      </c>
      <c r="B2327" s="88">
        <v>43511</v>
      </c>
      <c r="C2327">
        <v>13.392902874999997</v>
      </c>
      <c r="D2327" t="s">
        <v>240</v>
      </c>
    </row>
    <row r="2328" spans="1:4" x14ac:dyDescent="0.35">
      <c r="A2328" t="s">
        <v>65</v>
      </c>
      <c r="B2328" s="88">
        <v>43600</v>
      </c>
      <c r="C2328">
        <v>13.748011374999999</v>
      </c>
      <c r="D2328" t="s">
        <v>240</v>
      </c>
    </row>
    <row r="2329" spans="1:4" x14ac:dyDescent="0.35">
      <c r="A2329" t="s">
        <v>65</v>
      </c>
      <c r="B2329" s="88">
        <v>43692</v>
      </c>
      <c r="C2329">
        <v>13.748011374999999</v>
      </c>
      <c r="D2329" t="s">
        <v>240</v>
      </c>
    </row>
    <row r="2330" spans="1:4" x14ac:dyDescent="0.35">
      <c r="A2330" t="s">
        <v>65</v>
      </c>
      <c r="B2330" s="88">
        <v>43784</v>
      </c>
      <c r="C2330">
        <v>13.748011374999999</v>
      </c>
      <c r="D2330" t="s">
        <v>240</v>
      </c>
    </row>
    <row r="2331" spans="1:4" x14ac:dyDescent="0.35">
      <c r="A2331" t="s">
        <v>65</v>
      </c>
      <c r="B2331" s="88">
        <v>43876</v>
      </c>
      <c r="C2331">
        <v>13.748011374999999</v>
      </c>
      <c r="D2331" t="s">
        <v>240</v>
      </c>
    </row>
    <row r="2332" spans="1:4" x14ac:dyDescent="0.35">
      <c r="A2332" t="s">
        <v>65</v>
      </c>
      <c r="B2332" s="88">
        <v>43966</v>
      </c>
      <c r="C2332">
        <v>14.067021374999998</v>
      </c>
      <c r="D2332" t="s">
        <v>240</v>
      </c>
    </row>
    <row r="2333" spans="1:4" x14ac:dyDescent="0.35">
      <c r="A2333" t="s">
        <v>65</v>
      </c>
      <c r="B2333" s="88">
        <v>44058</v>
      </c>
      <c r="C2333">
        <v>14.067021374999998</v>
      </c>
      <c r="D2333" t="s">
        <v>240</v>
      </c>
    </row>
    <row r="2334" spans="1:4" x14ac:dyDescent="0.35">
      <c r="A2334" t="s">
        <v>65</v>
      </c>
      <c r="B2334" s="88">
        <v>44150</v>
      </c>
      <c r="C2334">
        <v>14.067021374999998</v>
      </c>
      <c r="D2334" t="s">
        <v>240</v>
      </c>
    </row>
    <row r="2335" spans="1:4" x14ac:dyDescent="0.35">
      <c r="A2335" t="s">
        <v>65</v>
      </c>
      <c r="B2335" s="88">
        <v>44242</v>
      </c>
      <c r="C2335">
        <v>14.067021374999998</v>
      </c>
      <c r="D2335" t="s">
        <v>240</v>
      </c>
    </row>
    <row r="2336" spans="1:4" x14ac:dyDescent="0.35">
      <c r="A2336" t="s">
        <v>65</v>
      </c>
      <c r="B2336" s="88">
        <v>44331</v>
      </c>
      <c r="C2336">
        <v>14.370920374999999</v>
      </c>
      <c r="D2336" t="s">
        <v>240</v>
      </c>
    </row>
    <row r="2337" spans="1:4" x14ac:dyDescent="0.35">
      <c r="A2337" t="s">
        <v>65</v>
      </c>
      <c r="B2337" s="88">
        <v>44423</v>
      </c>
      <c r="C2337">
        <v>14.370920374999999</v>
      </c>
      <c r="D2337" t="s">
        <v>240</v>
      </c>
    </row>
    <row r="2338" spans="1:4" x14ac:dyDescent="0.35">
      <c r="A2338" t="s">
        <v>65</v>
      </c>
      <c r="B2338" s="88">
        <v>44515</v>
      </c>
      <c r="C2338">
        <v>14.370920374999999</v>
      </c>
      <c r="D2338" t="s">
        <v>240</v>
      </c>
    </row>
    <row r="2339" spans="1:4" x14ac:dyDescent="0.35">
      <c r="A2339" t="s">
        <v>65</v>
      </c>
      <c r="B2339" s="88">
        <v>44607</v>
      </c>
      <c r="C2339">
        <v>14.370920374999999</v>
      </c>
      <c r="D2339" t="s">
        <v>240</v>
      </c>
    </row>
    <row r="2340" spans="1:4" x14ac:dyDescent="0.35">
      <c r="A2340" t="s">
        <v>65</v>
      </c>
      <c r="B2340" s="88">
        <v>44696</v>
      </c>
      <c r="C2340">
        <v>15.088477440792413</v>
      </c>
      <c r="D2340" t="s">
        <v>240</v>
      </c>
    </row>
    <row r="2341" spans="1:4" x14ac:dyDescent="0.35">
      <c r="A2341" t="s">
        <v>65</v>
      </c>
      <c r="B2341" s="88">
        <v>44788</v>
      </c>
      <c r="C2341">
        <v>15.088477440792413</v>
      </c>
      <c r="D2341" t="s">
        <v>240</v>
      </c>
    </row>
    <row r="2342" spans="1:4" x14ac:dyDescent="0.35">
      <c r="A2342" t="s">
        <v>65</v>
      </c>
      <c r="B2342" s="88">
        <v>44880</v>
      </c>
      <c r="C2342">
        <v>15.088477440792413</v>
      </c>
      <c r="D2342" t="s">
        <v>240</v>
      </c>
    </row>
    <row r="2343" spans="1:4" x14ac:dyDescent="0.35">
      <c r="A2343" t="s">
        <v>65</v>
      </c>
      <c r="B2343" s="88">
        <v>44972</v>
      </c>
      <c r="C2343">
        <v>15.088477440792413</v>
      </c>
      <c r="D2343" t="s">
        <v>240</v>
      </c>
    </row>
    <row r="2344" spans="1:4" x14ac:dyDescent="0.35">
      <c r="A2344" t="s">
        <v>65</v>
      </c>
      <c r="B2344" s="88">
        <v>45061</v>
      </c>
      <c r="C2344">
        <v>15.387820078925101</v>
      </c>
      <c r="D2344" t="s">
        <v>240</v>
      </c>
    </row>
    <row r="2345" spans="1:4" x14ac:dyDescent="0.35">
      <c r="A2345" t="s">
        <v>65</v>
      </c>
      <c r="B2345" s="88">
        <v>45153</v>
      </c>
      <c r="C2345">
        <v>15.387820078925101</v>
      </c>
      <c r="D2345" t="s">
        <v>240</v>
      </c>
    </row>
    <row r="2346" spans="1:4" x14ac:dyDescent="0.35">
      <c r="A2346" t="s">
        <v>65</v>
      </c>
      <c r="B2346" s="88">
        <v>45245</v>
      </c>
      <c r="C2346">
        <v>15.387820078925101</v>
      </c>
      <c r="D2346" t="s">
        <v>240</v>
      </c>
    </row>
    <row r="2347" spans="1:4" x14ac:dyDescent="0.35">
      <c r="A2347" t="s">
        <v>65</v>
      </c>
      <c r="B2347" s="88">
        <v>45337</v>
      </c>
      <c r="C2347">
        <v>15.387820078925101</v>
      </c>
      <c r="D2347" t="s">
        <v>240</v>
      </c>
    </row>
    <row r="2348" spans="1:4" x14ac:dyDescent="0.35">
      <c r="A2348" t="s">
        <v>65</v>
      </c>
      <c r="B2348" s="88">
        <v>45427</v>
      </c>
      <c r="C2348">
        <v>16.451867222077901</v>
      </c>
      <c r="D2348" t="s">
        <v>240</v>
      </c>
    </row>
    <row r="2349" spans="1:4" x14ac:dyDescent="0.35">
      <c r="A2349" t="s">
        <v>65</v>
      </c>
      <c r="B2349" s="88">
        <v>45519</v>
      </c>
      <c r="C2349">
        <v>16.451867222077901</v>
      </c>
      <c r="D2349" t="s">
        <v>240</v>
      </c>
    </row>
    <row r="2350" spans="1:4" x14ac:dyDescent="0.35">
      <c r="A2350" t="s">
        <v>65</v>
      </c>
      <c r="B2350" s="88">
        <v>45611</v>
      </c>
      <c r="C2350">
        <v>16.451867222077901</v>
      </c>
      <c r="D2350" t="s">
        <v>240</v>
      </c>
    </row>
    <row r="2351" spans="1:4" x14ac:dyDescent="0.35">
      <c r="A2351" t="s">
        <v>65</v>
      </c>
      <c r="B2351" s="88">
        <v>45703</v>
      </c>
      <c r="C2351">
        <v>16.451867222077901</v>
      </c>
      <c r="D2351" t="s">
        <v>240</v>
      </c>
    </row>
    <row r="2352" spans="1:4" x14ac:dyDescent="0.35">
      <c r="A2352" t="s">
        <v>65</v>
      </c>
      <c r="B2352" s="88">
        <v>45792</v>
      </c>
      <c r="C2352">
        <v>17.07453501618</v>
      </c>
      <c r="D2352" t="s">
        <v>240</v>
      </c>
    </row>
    <row r="2353" spans="1:4" x14ac:dyDescent="0.35">
      <c r="A2353" t="s">
        <v>65</v>
      </c>
      <c r="B2353" s="88">
        <v>45884</v>
      </c>
      <c r="C2353">
        <v>17.07453501618</v>
      </c>
      <c r="D2353" t="s">
        <v>240</v>
      </c>
    </row>
    <row r="2354" spans="1:4" x14ac:dyDescent="0.35">
      <c r="A2354" t="s">
        <v>65</v>
      </c>
      <c r="B2354" s="88">
        <v>45976</v>
      </c>
      <c r="C2354">
        <v>17.07453501618</v>
      </c>
      <c r="D2354" t="s">
        <v>240</v>
      </c>
    </row>
    <row r="2355" spans="1:4" x14ac:dyDescent="0.35">
      <c r="A2355" t="s">
        <v>65</v>
      </c>
      <c r="B2355" s="88">
        <v>46068</v>
      </c>
      <c r="C2355">
        <v>17.07453501618</v>
      </c>
      <c r="D2355" t="s">
        <v>240</v>
      </c>
    </row>
    <row r="2356" spans="1:4" x14ac:dyDescent="0.35">
      <c r="A2356" t="s">
        <v>65</v>
      </c>
      <c r="B2356" s="88">
        <v>46157</v>
      </c>
      <c r="C2356">
        <v>19.236434084957999</v>
      </c>
      <c r="D2356" t="s">
        <v>240</v>
      </c>
    </row>
    <row r="2357" spans="1:4" x14ac:dyDescent="0.35">
      <c r="A2357" t="s">
        <v>65</v>
      </c>
      <c r="B2357" s="88">
        <v>46249</v>
      </c>
      <c r="C2357">
        <v>19.236434084957999</v>
      </c>
      <c r="D2357" t="s">
        <v>240</v>
      </c>
    </row>
    <row r="2358" spans="1:4" x14ac:dyDescent="0.35">
      <c r="A2358" t="s">
        <v>86</v>
      </c>
      <c r="B2358" s="88">
        <v>43511</v>
      </c>
      <c r="C2358">
        <v>22.373070312500005</v>
      </c>
      <c r="D2358" t="s">
        <v>240</v>
      </c>
    </row>
    <row r="2359" spans="1:4" x14ac:dyDescent="0.35">
      <c r="A2359" t="s">
        <v>86</v>
      </c>
      <c r="B2359" s="88">
        <v>43600</v>
      </c>
      <c r="C2359">
        <v>24.5810703125</v>
      </c>
      <c r="D2359" t="s">
        <v>240</v>
      </c>
    </row>
    <row r="2360" spans="1:4" x14ac:dyDescent="0.35">
      <c r="A2360" t="s">
        <v>86</v>
      </c>
      <c r="B2360" s="88">
        <v>43692</v>
      </c>
      <c r="C2360">
        <v>24.5810703125</v>
      </c>
      <c r="D2360" t="s">
        <v>240</v>
      </c>
    </row>
    <row r="2361" spans="1:4" x14ac:dyDescent="0.35">
      <c r="A2361" t="s">
        <v>86</v>
      </c>
      <c r="B2361" s="88">
        <v>43784</v>
      </c>
      <c r="C2361">
        <v>24.5810703125</v>
      </c>
      <c r="D2361" t="s">
        <v>240</v>
      </c>
    </row>
    <row r="2362" spans="1:4" x14ac:dyDescent="0.35">
      <c r="A2362" t="s">
        <v>86</v>
      </c>
      <c r="B2362" s="88">
        <v>43876</v>
      </c>
      <c r="C2362">
        <v>24.5810703125</v>
      </c>
      <c r="D2362" t="s">
        <v>240</v>
      </c>
    </row>
    <row r="2363" spans="1:4" x14ac:dyDescent="0.35">
      <c r="A2363" t="s">
        <v>86</v>
      </c>
      <c r="B2363" s="88">
        <v>43966</v>
      </c>
      <c r="C2363">
        <v>21.602570312499996</v>
      </c>
      <c r="D2363" t="s">
        <v>240</v>
      </c>
    </row>
    <row r="2364" spans="1:4" x14ac:dyDescent="0.35">
      <c r="A2364" t="s">
        <v>86</v>
      </c>
      <c r="B2364" s="88">
        <v>44058</v>
      </c>
      <c r="C2364">
        <v>21.602570312499996</v>
      </c>
      <c r="D2364" t="s">
        <v>240</v>
      </c>
    </row>
    <row r="2365" spans="1:4" x14ac:dyDescent="0.35">
      <c r="A2365" t="s">
        <v>86</v>
      </c>
      <c r="B2365" s="88">
        <v>44150</v>
      </c>
      <c r="C2365">
        <v>21.602570312499996</v>
      </c>
      <c r="D2365" t="s">
        <v>240</v>
      </c>
    </row>
    <row r="2366" spans="1:4" x14ac:dyDescent="0.35">
      <c r="A2366" t="s">
        <v>86</v>
      </c>
      <c r="B2366" s="88">
        <v>44242</v>
      </c>
      <c r="C2366">
        <v>21.602570312499996</v>
      </c>
      <c r="D2366" t="s">
        <v>240</v>
      </c>
    </row>
    <row r="2367" spans="1:4" x14ac:dyDescent="0.35">
      <c r="A2367" t="s">
        <v>86</v>
      </c>
      <c r="B2367" s="88">
        <v>44331</v>
      </c>
      <c r="C2367">
        <v>21.6830703125</v>
      </c>
      <c r="D2367" t="s">
        <v>240</v>
      </c>
    </row>
    <row r="2368" spans="1:4" x14ac:dyDescent="0.35">
      <c r="A2368" t="s">
        <v>86</v>
      </c>
      <c r="B2368" s="88">
        <v>44423</v>
      </c>
      <c r="C2368">
        <v>21.6830703125</v>
      </c>
      <c r="D2368" t="s">
        <v>240</v>
      </c>
    </row>
    <row r="2369" spans="1:4" x14ac:dyDescent="0.35">
      <c r="A2369" t="s">
        <v>86</v>
      </c>
      <c r="B2369" s="88">
        <v>44515</v>
      </c>
      <c r="C2369">
        <v>21.6830703125</v>
      </c>
      <c r="D2369" t="s">
        <v>240</v>
      </c>
    </row>
    <row r="2370" spans="1:4" x14ac:dyDescent="0.35">
      <c r="A2370" t="s">
        <v>86</v>
      </c>
      <c r="B2370" s="88">
        <v>44607</v>
      </c>
      <c r="C2370">
        <v>21.6830703125</v>
      </c>
      <c r="D2370" t="s">
        <v>240</v>
      </c>
    </row>
    <row r="2371" spans="1:4" x14ac:dyDescent="0.35">
      <c r="A2371" t="s">
        <v>86</v>
      </c>
      <c r="B2371" s="88">
        <v>44696</v>
      </c>
      <c r="C2371">
        <v>18.618140624999999</v>
      </c>
      <c r="D2371" t="s">
        <v>240</v>
      </c>
    </row>
    <row r="2372" spans="1:4" x14ac:dyDescent="0.35">
      <c r="A2372" t="s">
        <v>86</v>
      </c>
      <c r="B2372" s="88">
        <v>44788</v>
      </c>
      <c r="C2372">
        <v>18.618140624999999</v>
      </c>
      <c r="D2372" t="s">
        <v>240</v>
      </c>
    </row>
    <row r="2373" spans="1:4" x14ac:dyDescent="0.35">
      <c r="A2373" t="s">
        <v>86</v>
      </c>
      <c r="B2373" s="88">
        <v>44880</v>
      </c>
      <c r="C2373">
        <v>18.618140624999999</v>
      </c>
      <c r="D2373" t="s">
        <v>240</v>
      </c>
    </row>
    <row r="2374" spans="1:4" x14ac:dyDescent="0.35">
      <c r="A2374" t="s">
        <v>86</v>
      </c>
      <c r="B2374" s="88">
        <v>44972</v>
      </c>
      <c r="C2374">
        <v>18.618140624999999</v>
      </c>
      <c r="D2374" t="s">
        <v>240</v>
      </c>
    </row>
    <row r="2375" spans="1:4" x14ac:dyDescent="0.35">
      <c r="A2375" t="s">
        <v>86</v>
      </c>
      <c r="B2375" s="88">
        <v>45061</v>
      </c>
      <c r="C2375">
        <v>18.485710937499999</v>
      </c>
      <c r="D2375" t="s">
        <v>240</v>
      </c>
    </row>
    <row r="2376" spans="1:4" x14ac:dyDescent="0.35">
      <c r="A2376" t="s">
        <v>86</v>
      </c>
      <c r="B2376" s="88">
        <v>45153</v>
      </c>
      <c r="C2376">
        <v>18.485710937499999</v>
      </c>
      <c r="D2376" t="s">
        <v>240</v>
      </c>
    </row>
    <row r="2377" spans="1:4" x14ac:dyDescent="0.35">
      <c r="A2377" t="s">
        <v>86</v>
      </c>
      <c r="B2377" s="88">
        <v>45245</v>
      </c>
      <c r="C2377">
        <v>18.485710937499999</v>
      </c>
      <c r="D2377" t="s">
        <v>240</v>
      </c>
    </row>
    <row r="2378" spans="1:4" x14ac:dyDescent="0.35">
      <c r="A2378" t="s">
        <v>86</v>
      </c>
      <c r="B2378" s="88">
        <v>45337</v>
      </c>
      <c r="C2378">
        <v>18.485710937499999</v>
      </c>
      <c r="D2378" t="s">
        <v>240</v>
      </c>
    </row>
    <row r="2379" spans="1:4" x14ac:dyDescent="0.35">
      <c r="A2379" t="s">
        <v>86</v>
      </c>
      <c r="B2379" s="88">
        <v>45427</v>
      </c>
      <c r="C2379">
        <v>19.434281250000002</v>
      </c>
      <c r="D2379" t="s">
        <v>240</v>
      </c>
    </row>
    <row r="2380" spans="1:4" x14ac:dyDescent="0.35">
      <c r="A2380" t="s">
        <v>86</v>
      </c>
      <c r="B2380" s="88">
        <v>45519</v>
      </c>
      <c r="C2380">
        <v>19.434281250000002</v>
      </c>
      <c r="D2380" t="s">
        <v>240</v>
      </c>
    </row>
    <row r="2381" spans="1:4" x14ac:dyDescent="0.35">
      <c r="A2381" t="s">
        <v>86</v>
      </c>
      <c r="B2381" s="88">
        <v>45611</v>
      </c>
      <c r="C2381">
        <v>19.434281250000002</v>
      </c>
      <c r="D2381" t="s">
        <v>240</v>
      </c>
    </row>
    <row r="2382" spans="1:4" x14ac:dyDescent="0.35">
      <c r="A2382" t="s">
        <v>86</v>
      </c>
      <c r="B2382" s="88">
        <v>45703</v>
      </c>
      <c r="C2382">
        <v>19.434281250000002</v>
      </c>
      <c r="D2382" t="s">
        <v>240</v>
      </c>
    </row>
    <row r="2383" spans="1:4" x14ac:dyDescent="0.35">
      <c r="A2383" t="s">
        <v>86</v>
      </c>
      <c r="B2383" s="88">
        <v>45792</v>
      </c>
      <c r="C2383">
        <v>22.061851562499999</v>
      </c>
      <c r="D2383" t="s">
        <v>240</v>
      </c>
    </row>
    <row r="2384" spans="1:4" x14ac:dyDescent="0.35">
      <c r="A2384" t="s">
        <v>86</v>
      </c>
      <c r="B2384" s="88">
        <v>45884</v>
      </c>
      <c r="C2384">
        <v>22.061851562499999</v>
      </c>
      <c r="D2384" t="s">
        <v>240</v>
      </c>
    </row>
    <row r="2385" spans="1:4" x14ac:dyDescent="0.35">
      <c r="A2385" t="s">
        <v>86</v>
      </c>
      <c r="B2385" s="88">
        <v>45976</v>
      </c>
      <c r="C2385">
        <v>22.061851562499999</v>
      </c>
      <c r="D2385" t="s">
        <v>240</v>
      </c>
    </row>
    <row r="2386" spans="1:4" x14ac:dyDescent="0.35">
      <c r="A2386" t="s">
        <v>86</v>
      </c>
      <c r="B2386" s="88">
        <v>46068</v>
      </c>
      <c r="C2386">
        <v>22.061851562499999</v>
      </c>
      <c r="D2386" t="s">
        <v>240</v>
      </c>
    </row>
    <row r="2387" spans="1:4" x14ac:dyDescent="0.35">
      <c r="A2387" t="s">
        <v>86</v>
      </c>
      <c r="B2387" s="88">
        <v>46157</v>
      </c>
      <c r="C2387">
        <v>23.263421874999999</v>
      </c>
      <c r="D2387" t="s">
        <v>240</v>
      </c>
    </row>
    <row r="2388" spans="1:4" x14ac:dyDescent="0.35">
      <c r="A2388" t="s">
        <v>86</v>
      </c>
      <c r="B2388" s="88">
        <v>46249</v>
      </c>
      <c r="C2388">
        <v>23.263421874999999</v>
      </c>
      <c r="D2388" t="s">
        <v>240</v>
      </c>
    </row>
    <row r="2389" spans="1:4" x14ac:dyDescent="0.35">
      <c r="A2389" t="s">
        <v>37</v>
      </c>
      <c r="B2389" s="88">
        <v>43511</v>
      </c>
      <c r="C2389">
        <v>14.817570312499997</v>
      </c>
      <c r="D2389" t="s">
        <v>240</v>
      </c>
    </row>
    <row r="2390" spans="1:4" x14ac:dyDescent="0.35">
      <c r="A2390" t="s">
        <v>37</v>
      </c>
      <c r="B2390" s="88">
        <v>43600</v>
      </c>
      <c r="C2390">
        <v>13.932070312499999</v>
      </c>
      <c r="D2390" t="s">
        <v>240</v>
      </c>
    </row>
    <row r="2391" spans="1:4" x14ac:dyDescent="0.35">
      <c r="A2391" t="s">
        <v>37</v>
      </c>
      <c r="B2391" s="88">
        <v>43692</v>
      </c>
      <c r="C2391">
        <v>13.932070312499999</v>
      </c>
      <c r="D2391" t="s">
        <v>240</v>
      </c>
    </row>
    <row r="2392" spans="1:4" x14ac:dyDescent="0.35">
      <c r="A2392" t="s">
        <v>37</v>
      </c>
      <c r="B2392" s="88">
        <v>43784</v>
      </c>
      <c r="C2392">
        <v>13.932070312499999</v>
      </c>
      <c r="D2392" t="s">
        <v>240</v>
      </c>
    </row>
    <row r="2393" spans="1:4" x14ac:dyDescent="0.35">
      <c r="A2393" t="s">
        <v>37</v>
      </c>
      <c r="B2393" s="88">
        <v>43876</v>
      </c>
      <c r="C2393">
        <v>13.932070312499999</v>
      </c>
      <c r="D2393" t="s">
        <v>240</v>
      </c>
    </row>
    <row r="2394" spans="1:4" x14ac:dyDescent="0.35">
      <c r="A2394" t="s">
        <v>37</v>
      </c>
      <c r="B2394" s="88">
        <v>43966</v>
      </c>
      <c r="C2394">
        <v>12.000070312499998</v>
      </c>
      <c r="D2394" t="s">
        <v>240</v>
      </c>
    </row>
    <row r="2395" spans="1:4" x14ac:dyDescent="0.35">
      <c r="A2395" t="s">
        <v>37</v>
      </c>
      <c r="B2395" s="88">
        <v>44058</v>
      </c>
      <c r="C2395">
        <v>12.000070312499998</v>
      </c>
      <c r="D2395" t="s">
        <v>240</v>
      </c>
    </row>
    <row r="2396" spans="1:4" x14ac:dyDescent="0.35">
      <c r="A2396" t="s">
        <v>37</v>
      </c>
      <c r="B2396" s="88">
        <v>44150</v>
      </c>
      <c r="C2396">
        <v>12.000070312499998</v>
      </c>
      <c r="D2396" t="s">
        <v>240</v>
      </c>
    </row>
    <row r="2397" spans="1:4" x14ac:dyDescent="0.35">
      <c r="A2397" t="s">
        <v>37</v>
      </c>
      <c r="B2397" s="88">
        <v>44242</v>
      </c>
      <c r="C2397">
        <v>12.000070312499998</v>
      </c>
      <c r="D2397" t="s">
        <v>240</v>
      </c>
    </row>
    <row r="2398" spans="1:4" x14ac:dyDescent="0.35">
      <c r="A2398" t="s">
        <v>37</v>
      </c>
      <c r="B2398" s="88">
        <v>44331</v>
      </c>
      <c r="C2398">
        <v>12.000070312499998</v>
      </c>
      <c r="D2398" t="s">
        <v>240</v>
      </c>
    </row>
    <row r="2399" spans="1:4" x14ac:dyDescent="0.35">
      <c r="A2399" t="s">
        <v>37</v>
      </c>
      <c r="B2399" s="88">
        <v>44423</v>
      </c>
      <c r="C2399">
        <v>12.000070312499998</v>
      </c>
      <c r="D2399" t="s">
        <v>240</v>
      </c>
    </row>
    <row r="2400" spans="1:4" x14ac:dyDescent="0.35">
      <c r="A2400" t="s">
        <v>37</v>
      </c>
      <c r="B2400" s="88">
        <v>44515</v>
      </c>
      <c r="C2400">
        <v>12.000070312499998</v>
      </c>
      <c r="D2400" t="s">
        <v>240</v>
      </c>
    </row>
    <row r="2401" spans="1:4" x14ac:dyDescent="0.35">
      <c r="A2401" t="s">
        <v>37</v>
      </c>
      <c r="B2401" s="88">
        <v>44607</v>
      </c>
      <c r="C2401">
        <v>12.000070312499998</v>
      </c>
      <c r="D2401" t="s">
        <v>240</v>
      </c>
    </row>
    <row r="2402" spans="1:4" x14ac:dyDescent="0.35">
      <c r="A2402" t="s">
        <v>37</v>
      </c>
      <c r="B2402" s="88">
        <v>44696</v>
      </c>
      <c r="C2402">
        <v>12.040140624999998</v>
      </c>
      <c r="D2402" t="s">
        <v>240</v>
      </c>
    </row>
    <row r="2403" spans="1:4" x14ac:dyDescent="0.35">
      <c r="A2403" t="s">
        <v>37</v>
      </c>
      <c r="B2403" s="88">
        <v>44788</v>
      </c>
      <c r="C2403">
        <v>12.040140624999998</v>
      </c>
      <c r="D2403" t="s">
        <v>240</v>
      </c>
    </row>
    <row r="2404" spans="1:4" x14ac:dyDescent="0.35">
      <c r="A2404" t="s">
        <v>37</v>
      </c>
      <c r="B2404" s="88">
        <v>44880</v>
      </c>
      <c r="C2404">
        <v>12.040140624999998</v>
      </c>
      <c r="D2404" t="s">
        <v>240</v>
      </c>
    </row>
    <row r="2405" spans="1:4" x14ac:dyDescent="0.35">
      <c r="A2405" t="s">
        <v>37</v>
      </c>
      <c r="B2405" s="88">
        <v>44972</v>
      </c>
      <c r="C2405">
        <v>12.040140624999998</v>
      </c>
      <c r="D2405" t="s">
        <v>240</v>
      </c>
    </row>
    <row r="2406" spans="1:4" x14ac:dyDescent="0.35">
      <c r="A2406" t="s">
        <v>37</v>
      </c>
      <c r="B2406" s="88">
        <v>45061</v>
      </c>
      <c r="C2406">
        <v>12.1377109375</v>
      </c>
      <c r="D2406" t="s">
        <v>240</v>
      </c>
    </row>
    <row r="2407" spans="1:4" x14ac:dyDescent="0.35">
      <c r="A2407" t="s">
        <v>37</v>
      </c>
      <c r="B2407" s="88">
        <v>45153</v>
      </c>
      <c r="C2407">
        <v>12.1377109375</v>
      </c>
      <c r="D2407" t="s">
        <v>240</v>
      </c>
    </row>
    <row r="2408" spans="1:4" x14ac:dyDescent="0.35">
      <c r="A2408" t="s">
        <v>37</v>
      </c>
      <c r="B2408" s="88">
        <v>45245</v>
      </c>
      <c r="C2408">
        <v>12.1377109375</v>
      </c>
      <c r="D2408" t="s">
        <v>240</v>
      </c>
    </row>
    <row r="2409" spans="1:4" x14ac:dyDescent="0.35">
      <c r="A2409" t="s">
        <v>37</v>
      </c>
      <c r="B2409" s="88">
        <v>45337</v>
      </c>
      <c r="C2409">
        <v>12.1377109375</v>
      </c>
      <c r="D2409" t="s">
        <v>240</v>
      </c>
    </row>
    <row r="2410" spans="1:4" x14ac:dyDescent="0.35">
      <c r="A2410" t="s">
        <v>37</v>
      </c>
      <c r="B2410" s="88">
        <v>45427</v>
      </c>
      <c r="C2410">
        <v>11.890281249999999</v>
      </c>
      <c r="D2410" t="s">
        <v>240</v>
      </c>
    </row>
    <row r="2411" spans="1:4" x14ac:dyDescent="0.35">
      <c r="A2411" t="s">
        <v>37</v>
      </c>
      <c r="B2411" s="88">
        <v>45519</v>
      </c>
      <c r="C2411">
        <v>11.890281249999999</v>
      </c>
      <c r="D2411" t="s">
        <v>240</v>
      </c>
    </row>
    <row r="2412" spans="1:4" x14ac:dyDescent="0.35">
      <c r="A2412" t="s">
        <v>37</v>
      </c>
      <c r="B2412" s="88">
        <v>45611</v>
      </c>
      <c r="C2412">
        <v>11.890281249999999</v>
      </c>
      <c r="D2412" t="s">
        <v>240</v>
      </c>
    </row>
    <row r="2413" spans="1:4" x14ac:dyDescent="0.35">
      <c r="A2413" t="s">
        <v>37</v>
      </c>
      <c r="B2413" s="88">
        <v>45703</v>
      </c>
      <c r="C2413">
        <v>11.890281249999999</v>
      </c>
      <c r="D2413" t="s">
        <v>240</v>
      </c>
    </row>
    <row r="2414" spans="1:4" x14ac:dyDescent="0.35">
      <c r="A2414" t="s">
        <v>37</v>
      </c>
      <c r="B2414" s="88">
        <v>45792</v>
      </c>
      <c r="C2414">
        <v>14.2878515625</v>
      </c>
      <c r="D2414" t="s">
        <v>240</v>
      </c>
    </row>
    <row r="2415" spans="1:4" x14ac:dyDescent="0.35">
      <c r="A2415" t="s">
        <v>37</v>
      </c>
      <c r="B2415" s="88">
        <v>45884</v>
      </c>
      <c r="C2415">
        <v>14.2878515625</v>
      </c>
      <c r="D2415" t="s">
        <v>240</v>
      </c>
    </row>
    <row r="2416" spans="1:4" x14ac:dyDescent="0.35">
      <c r="A2416" t="s">
        <v>37</v>
      </c>
      <c r="B2416" s="88">
        <v>45976</v>
      </c>
      <c r="C2416">
        <v>14.2878515625</v>
      </c>
      <c r="D2416" t="s">
        <v>240</v>
      </c>
    </row>
    <row r="2417" spans="1:4" x14ac:dyDescent="0.35">
      <c r="A2417" t="s">
        <v>37</v>
      </c>
      <c r="B2417" s="88">
        <v>46068</v>
      </c>
      <c r="C2417">
        <v>14.2878515625</v>
      </c>
      <c r="D2417" t="s">
        <v>240</v>
      </c>
    </row>
    <row r="2418" spans="1:4" x14ac:dyDescent="0.35">
      <c r="A2418" t="s">
        <v>37</v>
      </c>
      <c r="B2418" s="88">
        <v>46157</v>
      </c>
      <c r="C2418">
        <v>16.685421874999999</v>
      </c>
      <c r="D2418" t="s">
        <v>240</v>
      </c>
    </row>
    <row r="2419" spans="1:4" x14ac:dyDescent="0.35">
      <c r="A2419" t="s">
        <v>37</v>
      </c>
      <c r="B2419" s="88">
        <v>46249</v>
      </c>
      <c r="C2419">
        <v>16.685421874999999</v>
      </c>
      <c r="D2419" t="s">
        <v>240</v>
      </c>
    </row>
    <row r="2420" spans="1:4" x14ac:dyDescent="0.35">
      <c r="A2420" t="s">
        <v>67</v>
      </c>
      <c r="B2420" s="88">
        <v>43511</v>
      </c>
      <c r="C2420">
        <v>13.667570312500001</v>
      </c>
      <c r="D2420" t="s">
        <v>240</v>
      </c>
    </row>
    <row r="2421" spans="1:4" x14ac:dyDescent="0.35">
      <c r="A2421" t="s">
        <v>67</v>
      </c>
      <c r="B2421" s="88">
        <v>43600</v>
      </c>
      <c r="C2421">
        <v>13.207570312500003</v>
      </c>
      <c r="D2421" t="s">
        <v>240</v>
      </c>
    </row>
    <row r="2422" spans="1:4" x14ac:dyDescent="0.35">
      <c r="A2422" t="s">
        <v>67</v>
      </c>
      <c r="B2422" s="88">
        <v>43692</v>
      </c>
      <c r="C2422">
        <v>13.207570312500003</v>
      </c>
      <c r="D2422" t="s">
        <v>240</v>
      </c>
    </row>
    <row r="2423" spans="1:4" x14ac:dyDescent="0.35">
      <c r="A2423" t="s">
        <v>67</v>
      </c>
      <c r="B2423" s="88">
        <v>43784</v>
      </c>
      <c r="C2423">
        <v>13.207570312500003</v>
      </c>
      <c r="D2423" t="s">
        <v>240</v>
      </c>
    </row>
    <row r="2424" spans="1:4" x14ac:dyDescent="0.35">
      <c r="A2424" t="s">
        <v>67</v>
      </c>
      <c r="B2424" s="88">
        <v>43876</v>
      </c>
      <c r="C2424">
        <v>13.207570312500003</v>
      </c>
      <c r="D2424" t="s">
        <v>240</v>
      </c>
    </row>
    <row r="2425" spans="1:4" x14ac:dyDescent="0.35">
      <c r="A2425" t="s">
        <v>67</v>
      </c>
      <c r="B2425" s="88">
        <v>43966</v>
      </c>
      <c r="C2425">
        <v>11.425070312499997</v>
      </c>
      <c r="D2425" t="s">
        <v>240</v>
      </c>
    </row>
    <row r="2426" spans="1:4" x14ac:dyDescent="0.35">
      <c r="A2426" t="s">
        <v>67</v>
      </c>
      <c r="B2426" s="88">
        <v>44058</v>
      </c>
      <c r="C2426">
        <v>11.425070312499997</v>
      </c>
      <c r="D2426" t="s">
        <v>240</v>
      </c>
    </row>
    <row r="2427" spans="1:4" x14ac:dyDescent="0.35">
      <c r="A2427" t="s">
        <v>67</v>
      </c>
      <c r="B2427" s="88">
        <v>44150</v>
      </c>
      <c r="C2427">
        <v>11.425070312499997</v>
      </c>
      <c r="D2427" t="s">
        <v>240</v>
      </c>
    </row>
    <row r="2428" spans="1:4" x14ac:dyDescent="0.35">
      <c r="A2428" t="s">
        <v>67</v>
      </c>
      <c r="B2428" s="88">
        <v>44242</v>
      </c>
      <c r="C2428">
        <v>11.425070312499997</v>
      </c>
      <c r="D2428" t="s">
        <v>240</v>
      </c>
    </row>
    <row r="2429" spans="1:4" x14ac:dyDescent="0.35">
      <c r="A2429" t="s">
        <v>67</v>
      </c>
      <c r="B2429" s="88">
        <v>44331</v>
      </c>
      <c r="C2429">
        <v>11.080070312499998</v>
      </c>
      <c r="D2429" t="s">
        <v>240</v>
      </c>
    </row>
    <row r="2430" spans="1:4" x14ac:dyDescent="0.35">
      <c r="A2430" t="s">
        <v>67</v>
      </c>
      <c r="B2430" s="88">
        <v>44423</v>
      </c>
      <c r="C2430">
        <v>11.080070312499998</v>
      </c>
      <c r="D2430" t="s">
        <v>240</v>
      </c>
    </row>
    <row r="2431" spans="1:4" x14ac:dyDescent="0.35">
      <c r="A2431" t="s">
        <v>67</v>
      </c>
      <c r="B2431" s="88">
        <v>44515</v>
      </c>
      <c r="C2431">
        <v>11.080070312499998</v>
      </c>
      <c r="D2431" t="s">
        <v>240</v>
      </c>
    </row>
    <row r="2432" spans="1:4" x14ac:dyDescent="0.35">
      <c r="A2432" t="s">
        <v>67</v>
      </c>
      <c r="B2432" s="88">
        <v>44607</v>
      </c>
      <c r="C2432">
        <v>11.080070312499998</v>
      </c>
      <c r="D2432" t="s">
        <v>240</v>
      </c>
    </row>
    <row r="2433" spans="1:4" x14ac:dyDescent="0.35">
      <c r="A2433" t="s">
        <v>67</v>
      </c>
      <c r="B2433" s="88">
        <v>44696</v>
      </c>
      <c r="C2433">
        <v>11.120140624999999</v>
      </c>
      <c r="D2433" t="s">
        <v>240</v>
      </c>
    </row>
    <row r="2434" spans="1:4" x14ac:dyDescent="0.35">
      <c r="A2434" t="s">
        <v>67</v>
      </c>
      <c r="B2434" s="88">
        <v>44788</v>
      </c>
      <c r="C2434">
        <v>11.120140624999999</v>
      </c>
      <c r="D2434" t="s">
        <v>240</v>
      </c>
    </row>
    <row r="2435" spans="1:4" x14ac:dyDescent="0.35">
      <c r="A2435" t="s">
        <v>67</v>
      </c>
      <c r="B2435" s="88">
        <v>44880</v>
      </c>
      <c r="C2435">
        <v>11.120140624999999</v>
      </c>
      <c r="D2435" t="s">
        <v>240</v>
      </c>
    </row>
    <row r="2436" spans="1:4" x14ac:dyDescent="0.35">
      <c r="A2436" t="s">
        <v>67</v>
      </c>
      <c r="B2436" s="88">
        <v>44972</v>
      </c>
      <c r="C2436">
        <v>11.120140624999999</v>
      </c>
      <c r="D2436" t="s">
        <v>240</v>
      </c>
    </row>
    <row r="2437" spans="1:4" x14ac:dyDescent="0.35">
      <c r="A2437" t="s">
        <v>67</v>
      </c>
      <c r="B2437" s="88">
        <v>45061</v>
      </c>
      <c r="C2437">
        <v>11.2177109375</v>
      </c>
      <c r="D2437" t="s">
        <v>240</v>
      </c>
    </row>
    <row r="2438" spans="1:4" x14ac:dyDescent="0.35">
      <c r="A2438" t="s">
        <v>67</v>
      </c>
      <c r="B2438" s="88">
        <v>45153</v>
      </c>
      <c r="C2438">
        <v>11.2177109375</v>
      </c>
      <c r="D2438" t="s">
        <v>240</v>
      </c>
    </row>
    <row r="2439" spans="1:4" x14ac:dyDescent="0.35">
      <c r="A2439" t="s">
        <v>67</v>
      </c>
      <c r="B2439" s="88">
        <v>45245</v>
      </c>
      <c r="C2439">
        <v>11.2177109375</v>
      </c>
      <c r="D2439" t="s">
        <v>240</v>
      </c>
    </row>
    <row r="2440" spans="1:4" x14ac:dyDescent="0.35">
      <c r="A2440" t="s">
        <v>67</v>
      </c>
      <c r="B2440" s="88">
        <v>45337</v>
      </c>
      <c r="C2440">
        <v>11.2177109375</v>
      </c>
      <c r="D2440" t="s">
        <v>240</v>
      </c>
    </row>
    <row r="2441" spans="1:4" x14ac:dyDescent="0.35">
      <c r="A2441" t="s">
        <v>67</v>
      </c>
      <c r="B2441" s="88">
        <v>45427</v>
      </c>
      <c r="C2441">
        <v>10.970281249999999</v>
      </c>
      <c r="D2441" t="s">
        <v>240</v>
      </c>
    </row>
    <row r="2442" spans="1:4" x14ac:dyDescent="0.35">
      <c r="A2442" t="s">
        <v>67</v>
      </c>
      <c r="B2442" s="88">
        <v>45519</v>
      </c>
      <c r="C2442">
        <v>10.970281249999999</v>
      </c>
      <c r="D2442" t="s">
        <v>240</v>
      </c>
    </row>
    <row r="2443" spans="1:4" x14ac:dyDescent="0.35">
      <c r="A2443" t="s">
        <v>67</v>
      </c>
      <c r="B2443" s="88">
        <v>45611</v>
      </c>
      <c r="C2443">
        <v>10.970281249999999</v>
      </c>
      <c r="D2443" t="s">
        <v>240</v>
      </c>
    </row>
    <row r="2444" spans="1:4" x14ac:dyDescent="0.35">
      <c r="A2444" t="s">
        <v>67</v>
      </c>
      <c r="B2444" s="88">
        <v>45703</v>
      </c>
      <c r="C2444">
        <v>10.970281249999999</v>
      </c>
      <c r="D2444" t="s">
        <v>240</v>
      </c>
    </row>
    <row r="2445" spans="1:4" x14ac:dyDescent="0.35">
      <c r="A2445" t="s">
        <v>67</v>
      </c>
      <c r="B2445" s="88">
        <v>45792</v>
      </c>
      <c r="C2445">
        <v>13.597851562500001</v>
      </c>
      <c r="D2445" t="s">
        <v>240</v>
      </c>
    </row>
    <row r="2446" spans="1:4" x14ac:dyDescent="0.35">
      <c r="A2446" t="s">
        <v>67</v>
      </c>
      <c r="B2446" s="88">
        <v>45884</v>
      </c>
      <c r="C2446">
        <v>13.597851562500001</v>
      </c>
      <c r="D2446" t="s">
        <v>240</v>
      </c>
    </row>
    <row r="2447" spans="1:4" x14ac:dyDescent="0.35">
      <c r="A2447" t="s">
        <v>67</v>
      </c>
      <c r="B2447" s="88">
        <v>45976</v>
      </c>
      <c r="C2447">
        <v>13.597851562500001</v>
      </c>
      <c r="D2447" t="s">
        <v>240</v>
      </c>
    </row>
    <row r="2448" spans="1:4" x14ac:dyDescent="0.35">
      <c r="A2448" t="s">
        <v>67</v>
      </c>
      <c r="B2448" s="88">
        <v>46068</v>
      </c>
      <c r="C2448">
        <v>13.597851562500001</v>
      </c>
      <c r="D2448" t="s">
        <v>240</v>
      </c>
    </row>
    <row r="2449" spans="1:4" x14ac:dyDescent="0.35">
      <c r="A2449" t="s">
        <v>67</v>
      </c>
      <c r="B2449" s="88">
        <v>46157</v>
      </c>
      <c r="C2449">
        <v>15.328421875</v>
      </c>
      <c r="D2449" t="s">
        <v>240</v>
      </c>
    </row>
    <row r="2450" spans="1:4" x14ac:dyDescent="0.35">
      <c r="A2450" t="s">
        <v>67</v>
      </c>
      <c r="B2450" s="88">
        <v>46249</v>
      </c>
      <c r="C2450">
        <v>15.328421875</v>
      </c>
      <c r="D2450" t="s">
        <v>240</v>
      </c>
    </row>
    <row r="2451" spans="1:4" x14ac:dyDescent="0.35">
      <c r="A2451" t="s">
        <v>68</v>
      </c>
      <c r="B2451" s="88">
        <v>43511</v>
      </c>
      <c r="C2451">
        <v>13.667570312500001</v>
      </c>
      <c r="D2451" t="s">
        <v>240</v>
      </c>
    </row>
    <row r="2452" spans="1:4" x14ac:dyDescent="0.35">
      <c r="A2452" t="s">
        <v>68</v>
      </c>
      <c r="B2452" s="88">
        <v>43600</v>
      </c>
      <c r="C2452">
        <v>13.207570312500003</v>
      </c>
      <c r="D2452" t="s">
        <v>240</v>
      </c>
    </row>
    <row r="2453" spans="1:4" x14ac:dyDescent="0.35">
      <c r="A2453" t="s">
        <v>68</v>
      </c>
      <c r="B2453" s="88">
        <v>43692</v>
      </c>
      <c r="C2453">
        <v>13.207570312500003</v>
      </c>
      <c r="D2453" t="s">
        <v>240</v>
      </c>
    </row>
    <row r="2454" spans="1:4" x14ac:dyDescent="0.35">
      <c r="A2454" t="s">
        <v>68</v>
      </c>
      <c r="B2454" s="88">
        <v>43784</v>
      </c>
      <c r="C2454">
        <v>13.207570312500003</v>
      </c>
      <c r="D2454" t="s">
        <v>240</v>
      </c>
    </row>
    <row r="2455" spans="1:4" x14ac:dyDescent="0.35">
      <c r="A2455" t="s">
        <v>68</v>
      </c>
      <c r="B2455" s="88">
        <v>43876</v>
      </c>
      <c r="C2455">
        <v>13.207570312500003</v>
      </c>
      <c r="D2455" t="s">
        <v>240</v>
      </c>
    </row>
    <row r="2456" spans="1:4" x14ac:dyDescent="0.35">
      <c r="A2456" t="s">
        <v>68</v>
      </c>
      <c r="B2456" s="88">
        <v>43966</v>
      </c>
      <c r="C2456">
        <v>11.425070312499997</v>
      </c>
      <c r="D2456" t="s">
        <v>240</v>
      </c>
    </row>
    <row r="2457" spans="1:4" x14ac:dyDescent="0.35">
      <c r="A2457" t="s">
        <v>68</v>
      </c>
      <c r="B2457" s="88">
        <v>44058</v>
      </c>
      <c r="C2457">
        <v>11.425070312499997</v>
      </c>
      <c r="D2457" t="s">
        <v>240</v>
      </c>
    </row>
    <row r="2458" spans="1:4" x14ac:dyDescent="0.35">
      <c r="A2458" t="s">
        <v>68</v>
      </c>
      <c r="B2458" s="88">
        <v>44150</v>
      </c>
      <c r="C2458">
        <v>11.425070312499997</v>
      </c>
      <c r="D2458" t="s">
        <v>240</v>
      </c>
    </row>
    <row r="2459" spans="1:4" x14ac:dyDescent="0.35">
      <c r="A2459" t="s">
        <v>68</v>
      </c>
      <c r="B2459" s="88">
        <v>44242</v>
      </c>
      <c r="C2459">
        <v>11.425070312499997</v>
      </c>
      <c r="D2459" t="s">
        <v>240</v>
      </c>
    </row>
    <row r="2460" spans="1:4" x14ac:dyDescent="0.35">
      <c r="A2460" t="s">
        <v>68</v>
      </c>
      <c r="B2460" s="88">
        <v>44331</v>
      </c>
      <c r="C2460">
        <v>11.080070312499998</v>
      </c>
      <c r="D2460" t="s">
        <v>240</v>
      </c>
    </row>
    <row r="2461" spans="1:4" x14ac:dyDescent="0.35">
      <c r="A2461" t="s">
        <v>68</v>
      </c>
      <c r="B2461" s="88">
        <v>44423</v>
      </c>
      <c r="C2461">
        <v>11.080070312499998</v>
      </c>
      <c r="D2461" t="s">
        <v>240</v>
      </c>
    </row>
    <row r="2462" spans="1:4" x14ac:dyDescent="0.35">
      <c r="A2462" t="s">
        <v>68</v>
      </c>
      <c r="B2462" s="88">
        <v>44515</v>
      </c>
      <c r="C2462">
        <v>11.080070312499998</v>
      </c>
      <c r="D2462" t="s">
        <v>240</v>
      </c>
    </row>
    <row r="2463" spans="1:4" x14ac:dyDescent="0.35">
      <c r="A2463" t="s">
        <v>68</v>
      </c>
      <c r="B2463" s="88">
        <v>44607</v>
      </c>
      <c r="C2463">
        <v>11.080070312499998</v>
      </c>
      <c r="D2463" t="s">
        <v>240</v>
      </c>
    </row>
    <row r="2464" spans="1:4" x14ac:dyDescent="0.35">
      <c r="A2464" t="s">
        <v>68</v>
      </c>
      <c r="B2464" s="88">
        <v>44696</v>
      </c>
      <c r="C2464">
        <v>11.120140624999999</v>
      </c>
      <c r="D2464" t="s">
        <v>240</v>
      </c>
    </row>
    <row r="2465" spans="1:4" x14ac:dyDescent="0.35">
      <c r="A2465" t="s">
        <v>68</v>
      </c>
      <c r="B2465" s="88">
        <v>44788</v>
      </c>
      <c r="C2465">
        <v>11.120140624999999</v>
      </c>
      <c r="D2465" t="s">
        <v>240</v>
      </c>
    </row>
    <row r="2466" spans="1:4" x14ac:dyDescent="0.35">
      <c r="A2466" t="s">
        <v>68</v>
      </c>
      <c r="B2466" s="88">
        <v>44880</v>
      </c>
      <c r="C2466">
        <v>11.120140624999999</v>
      </c>
      <c r="D2466" t="s">
        <v>240</v>
      </c>
    </row>
    <row r="2467" spans="1:4" x14ac:dyDescent="0.35">
      <c r="A2467" t="s">
        <v>68</v>
      </c>
      <c r="B2467" s="88">
        <v>44972</v>
      </c>
      <c r="C2467">
        <v>11.120140624999999</v>
      </c>
      <c r="D2467" t="s">
        <v>240</v>
      </c>
    </row>
    <row r="2468" spans="1:4" x14ac:dyDescent="0.35">
      <c r="A2468" t="s">
        <v>68</v>
      </c>
      <c r="B2468" s="88">
        <v>45061</v>
      </c>
      <c r="C2468">
        <v>11.2177109375</v>
      </c>
      <c r="D2468" t="s">
        <v>240</v>
      </c>
    </row>
    <row r="2469" spans="1:4" x14ac:dyDescent="0.35">
      <c r="A2469" t="s">
        <v>68</v>
      </c>
      <c r="B2469" s="88">
        <v>45153</v>
      </c>
      <c r="C2469">
        <v>11.2177109375</v>
      </c>
      <c r="D2469" t="s">
        <v>240</v>
      </c>
    </row>
    <row r="2470" spans="1:4" x14ac:dyDescent="0.35">
      <c r="A2470" t="s">
        <v>68</v>
      </c>
      <c r="B2470" s="88">
        <v>45245</v>
      </c>
      <c r="C2470">
        <v>11.2177109375</v>
      </c>
      <c r="D2470" t="s">
        <v>240</v>
      </c>
    </row>
    <row r="2471" spans="1:4" x14ac:dyDescent="0.35">
      <c r="A2471" t="s">
        <v>68</v>
      </c>
      <c r="B2471" s="88">
        <v>45337</v>
      </c>
      <c r="C2471">
        <v>11.2177109375</v>
      </c>
      <c r="D2471" t="s">
        <v>240</v>
      </c>
    </row>
    <row r="2472" spans="1:4" x14ac:dyDescent="0.35">
      <c r="A2472" t="s">
        <v>68</v>
      </c>
      <c r="B2472" s="88">
        <v>45427</v>
      </c>
      <c r="C2472">
        <v>10.970281249999999</v>
      </c>
      <c r="D2472" t="s">
        <v>240</v>
      </c>
    </row>
    <row r="2473" spans="1:4" x14ac:dyDescent="0.35">
      <c r="A2473" t="s">
        <v>68</v>
      </c>
      <c r="B2473" s="88">
        <v>45519</v>
      </c>
      <c r="C2473">
        <v>10.970281249999999</v>
      </c>
      <c r="D2473" t="s">
        <v>240</v>
      </c>
    </row>
    <row r="2474" spans="1:4" x14ac:dyDescent="0.35">
      <c r="A2474" t="s">
        <v>68</v>
      </c>
      <c r="B2474" s="88">
        <v>45611</v>
      </c>
      <c r="C2474">
        <v>10.970281249999999</v>
      </c>
      <c r="D2474" t="s">
        <v>240</v>
      </c>
    </row>
    <row r="2475" spans="1:4" x14ac:dyDescent="0.35">
      <c r="A2475" t="s">
        <v>68</v>
      </c>
      <c r="B2475" s="88">
        <v>45703</v>
      </c>
      <c r="C2475">
        <v>10.970281249999999</v>
      </c>
      <c r="D2475" t="s">
        <v>240</v>
      </c>
    </row>
    <row r="2476" spans="1:4" x14ac:dyDescent="0.35">
      <c r="A2476" t="s">
        <v>68</v>
      </c>
      <c r="B2476" s="88">
        <v>45792</v>
      </c>
      <c r="C2476">
        <v>13.597851562500001</v>
      </c>
      <c r="D2476" t="s">
        <v>240</v>
      </c>
    </row>
    <row r="2477" spans="1:4" x14ac:dyDescent="0.35">
      <c r="A2477" t="s">
        <v>68</v>
      </c>
      <c r="B2477" s="88">
        <v>45884</v>
      </c>
      <c r="C2477">
        <v>13.597851562500001</v>
      </c>
      <c r="D2477" t="s">
        <v>240</v>
      </c>
    </row>
    <row r="2478" spans="1:4" x14ac:dyDescent="0.35">
      <c r="A2478" t="s">
        <v>68</v>
      </c>
      <c r="B2478" s="88">
        <v>45976</v>
      </c>
      <c r="C2478">
        <v>13.597851562500001</v>
      </c>
      <c r="D2478" t="s">
        <v>240</v>
      </c>
    </row>
    <row r="2479" spans="1:4" x14ac:dyDescent="0.35">
      <c r="A2479" t="s">
        <v>68</v>
      </c>
      <c r="B2479" s="88">
        <v>46068</v>
      </c>
      <c r="C2479">
        <v>13.597851562500001</v>
      </c>
      <c r="D2479" t="s">
        <v>240</v>
      </c>
    </row>
    <row r="2480" spans="1:4" x14ac:dyDescent="0.35">
      <c r="A2480" t="s">
        <v>68</v>
      </c>
      <c r="B2480" s="88">
        <v>46157</v>
      </c>
      <c r="C2480">
        <v>15.328421875</v>
      </c>
      <c r="D2480" t="s">
        <v>240</v>
      </c>
    </row>
    <row r="2481" spans="1:4" x14ac:dyDescent="0.35">
      <c r="A2481" t="s">
        <v>68</v>
      </c>
      <c r="B2481" s="88">
        <v>46249</v>
      </c>
      <c r="C2481">
        <v>15.328421875</v>
      </c>
      <c r="D2481" t="s">
        <v>240</v>
      </c>
    </row>
    <row r="2482" spans="1:4" x14ac:dyDescent="0.35">
      <c r="A2482" t="s">
        <v>72</v>
      </c>
      <c r="B2482" s="88">
        <v>43511</v>
      </c>
      <c r="C2482">
        <v>11.632070312499998</v>
      </c>
      <c r="D2482" t="s">
        <v>240</v>
      </c>
    </row>
    <row r="2483" spans="1:4" x14ac:dyDescent="0.35">
      <c r="A2483" t="s">
        <v>72</v>
      </c>
      <c r="B2483" s="88">
        <v>43600</v>
      </c>
      <c r="C2483">
        <v>11.4595703125</v>
      </c>
      <c r="D2483" t="s">
        <v>240</v>
      </c>
    </row>
    <row r="2484" spans="1:4" x14ac:dyDescent="0.35">
      <c r="A2484" t="s">
        <v>72</v>
      </c>
      <c r="B2484" s="88">
        <v>43692</v>
      </c>
      <c r="C2484">
        <v>11.4595703125</v>
      </c>
      <c r="D2484" t="s">
        <v>240</v>
      </c>
    </row>
    <row r="2485" spans="1:4" x14ac:dyDescent="0.35">
      <c r="A2485" t="s">
        <v>72</v>
      </c>
      <c r="B2485" s="88">
        <v>43784</v>
      </c>
      <c r="C2485">
        <v>11.4595703125</v>
      </c>
      <c r="D2485" t="s">
        <v>240</v>
      </c>
    </row>
    <row r="2486" spans="1:4" x14ac:dyDescent="0.35">
      <c r="A2486" t="s">
        <v>72</v>
      </c>
      <c r="B2486" s="88">
        <v>43876</v>
      </c>
      <c r="C2486">
        <v>11.4595703125</v>
      </c>
      <c r="D2486" t="s">
        <v>240</v>
      </c>
    </row>
    <row r="2487" spans="1:4" x14ac:dyDescent="0.35">
      <c r="A2487" t="s">
        <v>72</v>
      </c>
      <c r="B2487" s="88">
        <v>43966</v>
      </c>
      <c r="C2487">
        <v>10.5843628125</v>
      </c>
      <c r="D2487" t="s">
        <v>240</v>
      </c>
    </row>
    <row r="2488" spans="1:4" x14ac:dyDescent="0.35">
      <c r="A2488" t="s">
        <v>72</v>
      </c>
      <c r="B2488" s="88">
        <v>44058</v>
      </c>
      <c r="C2488">
        <v>10.5843628125</v>
      </c>
      <c r="D2488" t="s">
        <v>240</v>
      </c>
    </row>
    <row r="2489" spans="1:4" x14ac:dyDescent="0.35">
      <c r="A2489" t="s">
        <v>72</v>
      </c>
      <c r="B2489" s="88">
        <v>44150</v>
      </c>
      <c r="C2489">
        <v>10.5843628125</v>
      </c>
      <c r="D2489" t="s">
        <v>240</v>
      </c>
    </row>
    <row r="2490" spans="1:4" x14ac:dyDescent="0.35">
      <c r="A2490" t="s">
        <v>72</v>
      </c>
      <c r="B2490" s="88">
        <v>44242</v>
      </c>
      <c r="C2490">
        <v>10.5843628125</v>
      </c>
      <c r="D2490" t="s">
        <v>240</v>
      </c>
    </row>
    <row r="2491" spans="1:4" x14ac:dyDescent="0.35">
      <c r="A2491" t="s">
        <v>72</v>
      </c>
      <c r="B2491" s="88">
        <v>44331</v>
      </c>
      <c r="C2491">
        <v>11.1456663125</v>
      </c>
      <c r="D2491" t="s">
        <v>240</v>
      </c>
    </row>
    <row r="2492" spans="1:4" x14ac:dyDescent="0.35">
      <c r="A2492" t="s">
        <v>72</v>
      </c>
      <c r="B2492" s="88">
        <v>44423</v>
      </c>
      <c r="C2492">
        <v>11.1456663125</v>
      </c>
      <c r="D2492" t="s">
        <v>240</v>
      </c>
    </row>
    <row r="2493" spans="1:4" x14ac:dyDescent="0.35">
      <c r="A2493" t="s">
        <v>72</v>
      </c>
      <c r="B2493" s="88">
        <v>44515</v>
      </c>
      <c r="C2493">
        <v>11.1456663125</v>
      </c>
      <c r="D2493" t="s">
        <v>240</v>
      </c>
    </row>
    <row r="2494" spans="1:4" x14ac:dyDescent="0.35">
      <c r="A2494" t="s">
        <v>72</v>
      </c>
      <c r="B2494" s="88">
        <v>44607</v>
      </c>
      <c r="C2494">
        <v>11.1456663125</v>
      </c>
      <c r="D2494" t="s">
        <v>240</v>
      </c>
    </row>
    <row r="2495" spans="1:4" x14ac:dyDescent="0.35">
      <c r="A2495" t="s">
        <v>72</v>
      </c>
      <c r="B2495" s="88">
        <v>44696</v>
      </c>
      <c r="C2495">
        <v>11.254690624999999</v>
      </c>
      <c r="D2495" t="s">
        <v>240</v>
      </c>
    </row>
    <row r="2496" spans="1:4" x14ac:dyDescent="0.35">
      <c r="A2496" t="s">
        <v>72</v>
      </c>
      <c r="B2496" s="88">
        <v>44788</v>
      </c>
      <c r="C2496">
        <v>11.254690624999999</v>
      </c>
      <c r="D2496" t="s">
        <v>240</v>
      </c>
    </row>
    <row r="2497" spans="1:4" x14ac:dyDescent="0.35">
      <c r="A2497" t="s">
        <v>72</v>
      </c>
      <c r="B2497" s="88">
        <v>44880</v>
      </c>
      <c r="C2497">
        <v>11.254690624999999</v>
      </c>
      <c r="D2497" t="s">
        <v>240</v>
      </c>
    </row>
    <row r="2498" spans="1:4" x14ac:dyDescent="0.35">
      <c r="A2498" t="s">
        <v>72</v>
      </c>
      <c r="B2498" s="88">
        <v>44972</v>
      </c>
      <c r="C2498">
        <v>11.254690624999999</v>
      </c>
      <c r="D2498" t="s">
        <v>240</v>
      </c>
    </row>
    <row r="2499" spans="1:4" x14ac:dyDescent="0.35">
      <c r="A2499" t="s">
        <v>72</v>
      </c>
      <c r="B2499" s="88">
        <v>45061</v>
      </c>
      <c r="C2499">
        <v>11.3706609375</v>
      </c>
      <c r="D2499" t="s">
        <v>240</v>
      </c>
    </row>
    <row r="2500" spans="1:4" x14ac:dyDescent="0.35">
      <c r="A2500" t="s">
        <v>72</v>
      </c>
      <c r="B2500" s="88">
        <v>45153</v>
      </c>
      <c r="C2500">
        <v>11.3706609375</v>
      </c>
      <c r="D2500" t="s">
        <v>240</v>
      </c>
    </row>
    <row r="2501" spans="1:4" x14ac:dyDescent="0.35">
      <c r="A2501" t="s">
        <v>72</v>
      </c>
      <c r="B2501" s="88">
        <v>45245</v>
      </c>
      <c r="C2501">
        <v>11.3706609375</v>
      </c>
      <c r="D2501" t="s">
        <v>240</v>
      </c>
    </row>
    <row r="2502" spans="1:4" x14ac:dyDescent="0.35">
      <c r="A2502" t="s">
        <v>72</v>
      </c>
      <c r="B2502" s="88">
        <v>45337</v>
      </c>
      <c r="C2502">
        <v>11.3706609375</v>
      </c>
      <c r="D2502" t="s">
        <v>240</v>
      </c>
    </row>
    <row r="2503" spans="1:4" x14ac:dyDescent="0.35">
      <c r="A2503" t="s">
        <v>72</v>
      </c>
      <c r="B2503" s="88">
        <v>45427</v>
      </c>
      <c r="C2503">
        <v>11.94904625</v>
      </c>
      <c r="D2503" t="s">
        <v>240</v>
      </c>
    </row>
    <row r="2504" spans="1:4" x14ac:dyDescent="0.35">
      <c r="A2504" t="s">
        <v>72</v>
      </c>
      <c r="B2504" s="88">
        <v>45519</v>
      </c>
      <c r="C2504">
        <v>11.94904625</v>
      </c>
      <c r="D2504" t="s">
        <v>240</v>
      </c>
    </row>
    <row r="2505" spans="1:4" x14ac:dyDescent="0.35">
      <c r="A2505" t="s">
        <v>72</v>
      </c>
      <c r="B2505" s="88">
        <v>45611</v>
      </c>
      <c r="C2505">
        <v>11.94904625</v>
      </c>
      <c r="D2505" t="s">
        <v>240</v>
      </c>
    </row>
    <row r="2506" spans="1:4" x14ac:dyDescent="0.35">
      <c r="A2506" t="s">
        <v>72</v>
      </c>
      <c r="B2506" s="88">
        <v>45703</v>
      </c>
      <c r="C2506">
        <v>11.94904625</v>
      </c>
      <c r="D2506" t="s">
        <v>240</v>
      </c>
    </row>
    <row r="2507" spans="1:4" x14ac:dyDescent="0.35">
      <c r="A2507" t="s">
        <v>72</v>
      </c>
      <c r="B2507" s="88">
        <v>45792</v>
      </c>
      <c r="C2507">
        <v>14.3024565625</v>
      </c>
      <c r="D2507" t="s">
        <v>240</v>
      </c>
    </row>
    <row r="2508" spans="1:4" x14ac:dyDescent="0.35">
      <c r="A2508" t="s">
        <v>72</v>
      </c>
      <c r="B2508" s="88">
        <v>45884</v>
      </c>
      <c r="C2508">
        <v>14.3024565625</v>
      </c>
      <c r="D2508" t="s">
        <v>240</v>
      </c>
    </row>
    <row r="2509" spans="1:4" x14ac:dyDescent="0.35">
      <c r="A2509" t="s">
        <v>72</v>
      </c>
      <c r="B2509" s="88">
        <v>45976</v>
      </c>
      <c r="C2509">
        <v>14.3024565625</v>
      </c>
      <c r="D2509" t="s">
        <v>240</v>
      </c>
    </row>
    <row r="2510" spans="1:4" x14ac:dyDescent="0.35">
      <c r="A2510" t="s">
        <v>72</v>
      </c>
      <c r="B2510" s="88">
        <v>46068</v>
      </c>
      <c r="C2510">
        <v>14.3024565625</v>
      </c>
      <c r="D2510" t="s">
        <v>240</v>
      </c>
    </row>
    <row r="2511" spans="1:4" x14ac:dyDescent="0.35">
      <c r="A2511" t="s">
        <v>72</v>
      </c>
      <c r="B2511" s="88">
        <v>46157</v>
      </c>
      <c r="C2511">
        <v>16.090791374999998</v>
      </c>
      <c r="D2511" t="s">
        <v>240</v>
      </c>
    </row>
    <row r="2512" spans="1:4" x14ac:dyDescent="0.35">
      <c r="A2512" t="s">
        <v>72</v>
      </c>
      <c r="B2512" s="88">
        <v>46249</v>
      </c>
      <c r="C2512">
        <v>16.090791374999998</v>
      </c>
      <c r="D2512" t="s">
        <v>240</v>
      </c>
    </row>
    <row r="2513" spans="1:4" x14ac:dyDescent="0.35">
      <c r="A2513" t="s">
        <v>73</v>
      </c>
      <c r="B2513" s="88">
        <v>43511</v>
      </c>
      <c r="C2513">
        <v>11.6320703125</v>
      </c>
      <c r="D2513" t="s">
        <v>240</v>
      </c>
    </row>
    <row r="2514" spans="1:4" x14ac:dyDescent="0.35">
      <c r="A2514" t="s">
        <v>73</v>
      </c>
      <c r="B2514" s="88">
        <v>43600</v>
      </c>
      <c r="C2514">
        <v>11.4595703125</v>
      </c>
      <c r="D2514" t="s">
        <v>240</v>
      </c>
    </row>
    <row r="2515" spans="1:4" x14ac:dyDescent="0.35">
      <c r="A2515" t="s">
        <v>73</v>
      </c>
      <c r="B2515" s="88">
        <v>43692</v>
      </c>
      <c r="C2515">
        <v>11.4595703125</v>
      </c>
      <c r="D2515" t="s">
        <v>240</v>
      </c>
    </row>
    <row r="2516" spans="1:4" x14ac:dyDescent="0.35">
      <c r="A2516" t="s">
        <v>73</v>
      </c>
      <c r="B2516" s="88">
        <v>43784</v>
      </c>
      <c r="C2516">
        <v>11.4595703125</v>
      </c>
      <c r="D2516" t="s">
        <v>240</v>
      </c>
    </row>
    <row r="2517" spans="1:4" x14ac:dyDescent="0.35">
      <c r="A2517" t="s">
        <v>73</v>
      </c>
      <c r="B2517" s="88">
        <v>43876</v>
      </c>
      <c r="C2517">
        <v>11.4595703125</v>
      </c>
      <c r="D2517" t="s">
        <v>240</v>
      </c>
    </row>
    <row r="2518" spans="1:4" x14ac:dyDescent="0.35">
      <c r="A2518" t="s">
        <v>73</v>
      </c>
      <c r="B2518" s="88">
        <v>43966</v>
      </c>
      <c r="C2518">
        <v>10.5843628125</v>
      </c>
      <c r="D2518" t="s">
        <v>240</v>
      </c>
    </row>
    <row r="2519" spans="1:4" x14ac:dyDescent="0.35">
      <c r="A2519" t="s">
        <v>73</v>
      </c>
      <c r="B2519" s="88">
        <v>44058</v>
      </c>
      <c r="C2519">
        <v>10.5843628125</v>
      </c>
      <c r="D2519" t="s">
        <v>240</v>
      </c>
    </row>
    <row r="2520" spans="1:4" x14ac:dyDescent="0.35">
      <c r="A2520" t="s">
        <v>73</v>
      </c>
      <c r="B2520" s="88">
        <v>44150</v>
      </c>
      <c r="C2520">
        <v>10.5843628125</v>
      </c>
      <c r="D2520" t="s">
        <v>240</v>
      </c>
    </row>
    <row r="2521" spans="1:4" x14ac:dyDescent="0.35">
      <c r="A2521" t="s">
        <v>73</v>
      </c>
      <c r="B2521" s="88">
        <v>44242</v>
      </c>
      <c r="C2521">
        <v>10.5843628125</v>
      </c>
      <c r="D2521" t="s">
        <v>240</v>
      </c>
    </row>
    <row r="2522" spans="1:4" x14ac:dyDescent="0.35">
      <c r="A2522" t="s">
        <v>73</v>
      </c>
      <c r="B2522" s="88">
        <v>44331</v>
      </c>
      <c r="C2522">
        <v>11.1456663125</v>
      </c>
      <c r="D2522" t="s">
        <v>240</v>
      </c>
    </row>
    <row r="2523" spans="1:4" x14ac:dyDescent="0.35">
      <c r="A2523" t="s">
        <v>73</v>
      </c>
      <c r="B2523" s="88">
        <v>44423</v>
      </c>
      <c r="C2523">
        <v>11.1456663125</v>
      </c>
      <c r="D2523" t="s">
        <v>240</v>
      </c>
    </row>
    <row r="2524" spans="1:4" x14ac:dyDescent="0.35">
      <c r="A2524" t="s">
        <v>73</v>
      </c>
      <c r="B2524" s="88">
        <v>44515</v>
      </c>
      <c r="C2524">
        <v>11.1456663125</v>
      </c>
      <c r="D2524" t="s">
        <v>240</v>
      </c>
    </row>
    <row r="2525" spans="1:4" x14ac:dyDescent="0.35">
      <c r="A2525" t="s">
        <v>73</v>
      </c>
      <c r="B2525" s="88">
        <v>44607</v>
      </c>
      <c r="C2525">
        <v>11.1456663125</v>
      </c>
      <c r="D2525" t="s">
        <v>240</v>
      </c>
    </row>
    <row r="2526" spans="1:4" x14ac:dyDescent="0.35">
      <c r="A2526" t="s">
        <v>73</v>
      </c>
      <c r="B2526" s="88">
        <v>44696</v>
      </c>
      <c r="C2526">
        <v>11.254690624999999</v>
      </c>
      <c r="D2526" t="s">
        <v>240</v>
      </c>
    </row>
    <row r="2527" spans="1:4" x14ac:dyDescent="0.35">
      <c r="A2527" t="s">
        <v>73</v>
      </c>
      <c r="B2527" s="88">
        <v>44788</v>
      </c>
      <c r="C2527">
        <v>11.254690624999999</v>
      </c>
      <c r="D2527" t="s">
        <v>240</v>
      </c>
    </row>
    <row r="2528" spans="1:4" x14ac:dyDescent="0.35">
      <c r="A2528" t="s">
        <v>73</v>
      </c>
      <c r="B2528" s="88">
        <v>44880</v>
      </c>
      <c r="C2528">
        <v>11.254690624999999</v>
      </c>
      <c r="D2528" t="s">
        <v>240</v>
      </c>
    </row>
    <row r="2529" spans="1:4" x14ac:dyDescent="0.35">
      <c r="A2529" t="s">
        <v>73</v>
      </c>
      <c r="B2529" s="88">
        <v>44972</v>
      </c>
      <c r="C2529">
        <v>11.254690624999999</v>
      </c>
      <c r="D2529" t="s">
        <v>240</v>
      </c>
    </row>
    <row r="2530" spans="1:4" x14ac:dyDescent="0.35">
      <c r="A2530" t="s">
        <v>73</v>
      </c>
      <c r="B2530" s="88">
        <v>45061</v>
      </c>
      <c r="C2530">
        <v>11.221160937500001</v>
      </c>
      <c r="D2530" t="s">
        <v>240</v>
      </c>
    </row>
    <row r="2531" spans="1:4" x14ac:dyDescent="0.35">
      <c r="A2531" t="s">
        <v>73</v>
      </c>
      <c r="B2531" s="88">
        <v>45153</v>
      </c>
      <c r="C2531">
        <v>11.221160937500001</v>
      </c>
      <c r="D2531" t="s">
        <v>240</v>
      </c>
    </row>
    <row r="2532" spans="1:4" x14ac:dyDescent="0.35">
      <c r="A2532" t="s">
        <v>73</v>
      </c>
      <c r="B2532" s="88">
        <v>45245</v>
      </c>
      <c r="C2532">
        <v>11.221160937500001</v>
      </c>
      <c r="D2532" t="s">
        <v>240</v>
      </c>
    </row>
    <row r="2533" spans="1:4" x14ac:dyDescent="0.35">
      <c r="A2533" t="s">
        <v>73</v>
      </c>
      <c r="B2533" s="88">
        <v>45337</v>
      </c>
      <c r="C2533">
        <v>11.221160937500001</v>
      </c>
      <c r="D2533" t="s">
        <v>240</v>
      </c>
    </row>
    <row r="2534" spans="1:4" x14ac:dyDescent="0.35">
      <c r="A2534" t="s">
        <v>73</v>
      </c>
      <c r="B2534" s="88">
        <v>45427</v>
      </c>
      <c r="C2534">
        <v>11.880046249999999</v>
      </c>
      <c r="D2534" t="s">
        <v>240</v>
      </c>
    </row>
    <row r="2535" spans="1:4" x14ac:dyDescent="0.35">
      <c r="A2535" t="s">
        <v>73</v>
      </c>
      <c r="B2535" s="88">
        <v>45519</v>
      </c>
      <c r="C2535">
        <v>11.880046249999999</v>
      </c>
      <c r="D2535" t="s">
        <v>240</v>
      </c>
    </row>
    <row r="2536" spans="1:4" x14ac:dyDescent="0.35">
      <c r="A2536" t="s">
        <v>73</v>
      </c>
      <c r="B2536" s="88">
        <v>45611</v>
      </c>
      <c r="C2536">
        <v>11.880046249999999</v>
      </c>
      <c r="D2536" t="s">
        <v>240</v>
      </c>
    </row>
    <row r="2537" spans="1:4" x14ac:dyDescent="0.35">
      <c r="A2537" t="s">
        <v>73</v>
      </c>
      <c r="B2537" s="88">
        <v>45703</v>
      </c>
      <c r="C2537">
        <v>11.880046249999999</v>
      </c>
      <c r="D2537" t="s">
        <v>240</v>
      </c>
    </row>
    <row r="2538" spans="1:4" x14ac:dyDescent="0.35">
      <c r="A2538" t="s">
        <v>73</v>
      </c>
      <c r="B2538" s="88">
        <v>45792</v>
      </c>
      <c r="C2538">
        <v>14.244956562500001</v>
      </c>
      <c r="D2538" t="s">
        <v>240</v>
      </c>
    </row>
    <row r="2539" spans="1:4" x14ac:dyDescent="0.35">
      <c r="A2539" t="s">
        <v>73</v>
      </c>
      <c r="B2539" s="88">
        <v>45884</v>
      </c>
      <c r="C2539">
        <v>14.244956562500001</v>
      </c>
      <c r="D2539" t="s">
        <v>240</v>
      </c>
    </row>
    <row r="2540" spans="1:4" x14ac:dyDescent="0.35">
      <c r="A2540" t="s">
        <v>73</v>
      </c>
      <c r="B2540" s="88">
        <v>45976</v>
      </c>
      <c r="C2540">
        <v>14.244956562500001</v>
      </c>
      <c r="D2540" t="s">
        <v>240</v>
      </c>
    </row>
    <row r="2541" spans="1:4" x14ac:dyDescent="0.35">
      <c r="A2541" t="s">
        <v>73</v>
      </c>
      <c r="B2541" s="88">
        <v>46068</v>
      </c>
      <c r="C2541">
        <v>14.244956562500001</v>
      </c>
      <c r="D2541" t="s">
        <v>240</v>
      </c>
    </row>
    <row r="2542" spans="1:4" x14ac:dyDescent="0.35">
      <c r="A2542" t="s">
        <v>73</v>
      </c>
      <c r="B2542" s="88">
        <v>46157</v>
      </c>
      <c r="C2542">
        <v>16.148291374999999</v>
      </c>
      <c r="D2542" t="s">
        <v>240</v>
      </c>
    </row>
    <row r="2543" spans="1:4" x14ac:dyDescent="0.35">
      <c r="A2543" t="s">
        <v>73</v>
      </c>
      <c r="B2543" s="88">
        <v>46249</v>
      </c>
      <c r="C2543">
        <v>16.148291374999999</v>
      </c>
      <c r="D2543" t="s">
        <v>240</v>
      </c>
    </row>
    <row r="2544" spans="1:4" x14ac:dyDescent="0.35">
      <c r="A2544" t="s">
        <v>82</v>
      </c>
      <c r="B2544" s="88">
        <v>43511</v>
      </c>
      <c r="C2544">
        <v>8.6121703124999982</v>
      </c>
      <c r="D2544" t="s">
        <v>240</v>
      </c>
    </row>
    <row r="2545" spans="1:4" x14ac:dyDescent="0.35">
      <c r="A2545" t="s">
        <v>82</v>
      </c>
      <c r="B2545" s="88">
        <v>43600</v>
      </c>
      <c r="C2545">
        <v>8.7363703125000001</v>
      </c>
      <c r="D2545" t="s">
        <v>240</v>
      </c>
    </row>
    <row r="2546" spans="1:4" x14ac:dyDescent="0.35">
      <c r="A2546" t="s">
        <v>82</v>
      </c>
      <c r="B2546" s="88">
        <v>43692</v>
      </c>
      <c r="C2546">
        <v>8.7363703125000001</v>
      </c>
      <c r="D2546" t="s">
        <v>240</v>
      </c>
    </row>
    <row r="2547" spans="1:4" x14ac:dyDescent="0.35">
      <c r="A2547" t="s">
        <v>82</v>
      </c>
      <c r="B2547" s="88">
        <v>43784</v>
      </c>
      <c r="C2547">
        <v>8.7363703125000001</v>
      </c>
      <c r="D2547" t="s">
        <v>240</v>
      </c>
    </row>
    <row r="2548" spans="1:4" x14ac:dyDescent="0.35">
      <c r="A2548" t="s">
        <v>82</v>
      </c>
      <c r="B2548" s="88">
        <v>43876</v>
      </c>
      <c r="C2548">
        <v>8.7363703125000001</v>
      </c>
      <c r="D2548" t="s">
        <v>240</v>
      </c>
    </row>
    <row r="2549" spans="1:4" x14ac:dyDescent="0.35">
      <c r="A2549" t="s">
        <v>82</v>
      </c>
      <c r="B2549" s="88">
        <v>43966</v>
      </c>
      <c r="C2549">
        <v>8.7363703124999983</v>
      </c>
      <c r="D2549" t="s">
        <v>240</v>
      </c>
    </row>
    <row r="2550" spans="1:4" x14ac:dyDescent="0.35">
      <c r="A2550" t="s">
        <v>82</v>
      </c>
      <c r="B2550" s="88">
        <v>44058</v>
      </c>
      <c r="C2550">
        <v>8.7363703124999983</v>
      </c>
      <c r="D2550" t="s">
        <v>240</v>
      </c>
    </row>
    <row r="2551" spans="1:4" x14ac:dyDescent="0.35">
      <c r="A2551" t="s">
        <v>82</v>
      </c>
      <c r="B2551" s="88">
        <v>44150</v>
      </c>
      <c r="C2551">
        <v>8.7363703124999983</v>
      </c>
      <c r="D2551" t="s">
        <v>240</v>
      </c>
    </row>
    <row r="2552" spans="1:4" x14ac:dyDescent="0.35">
      <c r="A2552" t="s">
        <v>82</v>
      </c>
      <c r="B2552" s="88">
        <v>44242</v>
      </c>
      <c r="C2552">
        <v>8.7363703124999983</v>
      </c>
      <c r="D2552" t="s">
        <v>240</v>
      </c>
    </row>
    <row r="2553" spans="1:4" x14ac:dyDescent="0.35">
      <c r="A2553" t="s">
        <v>82</v>
      </c>
      <c r="B2553" s="88">
        <v>44331</v>
      </c>
      <c r="C2553">
        <v>8.8858703124999998</v>
      </c>
      <c r="D2553" t="s">
        <v>240</v>
      </c>
    </row>
    <row r="2554" spans="1:4" x14ac:dyDescent="0.35">
      <c r="A2554" t="s">
        <v>82</v>
      </c>
      <c r="B2554" s="88">
        <v>44423</v>
      </c>
      <c r="C2554">
        <v>8.8858703124999998</v>
      </c>
      <c r="D2554" t="s">
        <v>240</v>
      </c>
    </row>
    <row r="2555" spans="1:4" x14ac:dyDescent="0.35">
      <c r="A2555" t="s">
        <v>82</v>
      </c>
      <c r="B2555" s="88">
        <v>44515</v>
      </c>
      <c r="C2555">
        <v>8.8858703124999998</v>
      </c>
      <c r="D2555" t="s">
        <v>240</v>
      </c>
    </row>
    <row r="2556" spans="1:4" x14ac:dyDescent="0.35">
      <c r="A2556" t="s">
        <v>82</v>
      </c>
      <c r="B2556" s="88">
        <v>44607</v>
      </c>
      <c r="C2556">
        <v>8.8858703124999998</v>
      </c>
      <c r="D2556" t="s">
        <v>240</v>
      </c>
    </row>
    <row r="2557" spans="1:4" x14ac:dyDescent="0.35">
      <c r="A2557" t="s">
        <v>82</v>
      </c>
      <c r="B2557" s="88">
        <v>44696</v>
      </c>
      <c r="C2557">
        <v>9.657340624999998</v>
      </c>
      <c r="D2557" t="s">
        <v>240</v>
      </c>
    </row>
    <row r="2558" spans="1:4" x14ac:dyDescent="0.35">
      <c r="A2558" t="s">
        <v>82</v>
      </c>
      <c r="B2558" s="88">
        <v>44788</v>
      </c>
      <c r="C2558">
        <v>9.657340624999998</v>
      </c>
      <c r="D2558" t="s">
        <v>240</v>
      </c>
    </row>
    <row r="2559" spans="1:4" x14ac:dyDescent="0.35">
      <c r="A2559" t="s">
        <v>82</v>
      </c>
      <c r="B2559" s="88">
        <v>44880</v>
      </c>
      <c r="C2559">
        <v>9.657340624999998</v>
      </c>
      <c r="D2559" t="s">
        <v>240</v>
      </c>
    </row>
    <row r="2560" spans="1:4" x14ac:dyDescent="0.35">
      <c r="A2560" t="s">
        <v>82</v>
      </c>
      <c r="B2560" s="88">
        <v>44972</v>
      </c>
      <c r="C2560">
        <v>9.657340624999998</v>
      </c>
      <c r="D2560" t="s">
        <v>240</v>
      </c>
    </row>
    <row r="2561" spans="1:4" x14ac:dyDescent="0.35">
      <c r="A2561" t="s">
        <v>82</v>
      </c>
      <c r="B2561" s="88">
        <v>45061</v>
      </c>
      <c r="C2561">
        <v>10.7071109375</v>
      </c>
      <c r="D2561" t="s">
        <v>240</v>
      </c>
    </row>
    <row r="2562" spans="1:4" x14ac:dyDescent="0.35">
      <c r="A2562" t="s">
        <v>82</v>
      </c>
      <c r="B2562" s="88">
        <v>45153</v>
      </c>
      <c r="C2562">
        <v>10.7071109375</v>
      </c>
      <c r="D2562" t="s">
        <v>240</v>
      </c>
    </row>
    <row r="2563" spans="1:4" x14ac:dyDescent="0.35">
      <c r="A2563" t="s">
        <v>82</v>
      </c>
      <c r="B2563" s="88">
        <v>45245</v>
      </c>
      <c r="C2563">
        <v>10.7071109375</v>
      </c>
      <c r="D2563" t="s">
        <v>240</v>
      </c>
    </row>
    <row r="2564" spans="1:4" x14ac:dyDescent="0.35">
      <c r="A2564" t="s">
        <v>82</v>
      </c>
      <c r="B2564" s="88">
        <v>45337</v>
      </c>
      <c r="C2564">
        <v>10.7071109375</v>
      </c>
      <c r="D2564" t="s">
        <v>240</v>
      </c>
    </row>
    <row r="2565" spans="1:4" x14ac:dyDescent="0.35">
      <c r="A2565" t="s">
        <v>82</v>
      </c>
      <c r="B2565" s="88">
        <v>45427</v>
      </c>
      <c r="C2565">
        <v>12.24908125</v>
      </c>
      <c r="D2565" t="s">
        <v>240</v>
      </c>
    </row>
    <row r="2566" spans="1:4" x14ac:dyDescent="0.35">
      <c r="A2566" t="s">
        <v>82</v>
      </c>
      <c r="B2566" s="88">
        <v>45519</v>
      </c>
      <c r="C2566">
        <v>12.24908125</v>
      </c>
      <c r="D2566" t="s">
        <v>240</v>
      </c>
    </row>
    <row r="2567" spans="1:4" x14ac:dyDescent="0.35">
      <c r="A2567" t="s">
        <v>82</v>
      </c>
      <c r="B2567" s="88">
        <v>45611</v>
      </c>
      <c r="C2567">
        <v>12.24908125</v>
      </c>
      <c r="D2567" t="s">
        <v>240</v>
      </c>
    </row>
    <row r="2568" spans="1:4" x14ac:dyDescent="0.35">
      <c r="A2568" t="s">
        <v>82</v>
      </c>
      <c r="B2568" s="88">
        <v>45703</v>
      </c>
      <c r="C2568">
        <v>12.24908125</v>
      </c>
      <c r="D2568" t="s">
        <v>240</v>
      </c>
    </row>
    <row r="2569" spans="1:4" x14ac:dyDescent="0.35">
      <c r="A2569" t="s">
        <v>82</v>
      </c>
      <c r="B2569" s="88">
        <v>45792</v>
      </c>
      <c r="C2569">
        <v>16.463651562500001</v>
      </c>
      <c r="D2569" t="s">
        <v>240</v>
      </c>
    </row>
    <row r="2570" spans="1:4" x14ac:dyDescent="0.35">
      <c r="A2570" t="s">
        <v>82</v>
      </c>
      <c r="B2570" s="88">
        <v>45884</v>
      </c>
      <c r="C2570">
        <v>16.463651562500001</v>
      </c>
      <c r="D2570" t="s">
        <v>240</v>
      </c>
    </row>
    <row r="2571" spans="1:4" x14ac:dyDescent="0.35">
      <c r="A2571" t="s">
        <v>82</v>
      </c>
      <c r="B2571" s="88">
        <v>45976</v>
      </c>
      <c r="C2571">
        <v>16.463651562500001</v>
      </c>
      <c r="D2571" t="s">
        <v>240</v>
      </c>
    </row>
    <row r="2572" spans="1:4" x14ac:dyDescent="0.35">
      <c r="A2572" t="s">
        <v>82</v>
      </c>
      <c r="B2572" s="88">
        <v>46068</v>
      </c>
      <c r="C2572">
        <v>16.463651562500001</v>
      </c>
      <c r="D2572" t="s">
        <v>240</v>
      </c>
    </row>
    <row r="2573" spans="1:4" x14ac:dyDescent="0.35">
      <c r="A2573" t="s">
        <v>82</v>
      </c>
      <c r="B2573" s="88">
        <v>46157</v>
      </c>
      <c r="C2573">
        <v>16.584221875000001</v>
      </c>
      <c r="D2573" t="s">
        <v>240</v>
      </c>
    </row>
    <row r="2574" spans="1:4" x14ac:dyDescent="0.35">
      <c r="A2574" t="s">
        <v>82</v>
      </c>
      <c r="B2574" s="88">
        <v>46249</v>
      </c>
      <c r="C2574">
        <v>16.584221875000001</v>
      </c>
      <c r="D2574" t="s">
        <v>240</v>
      </c>
    </row>
    <row r="2575" spans="1:4" x14ac:dyDescent="0.35">
      <c r="A2575" t="s">
        <v>76</v>
      </c>
      <c r="B2575" s="88">
        <v>43511</v>
      </c>
      <c r="C2575">
        <v>12.736070312500001</v>
      </c>
      <c r="D2575" t="s">
        <v>240</v>
      </c>
    </row>
    <row r="2576" spans="1:4" x14ac:dyDescent="0.35">
      <c r="A2576" t="s">
        <v>76</v>
      </c>
      <c r="B2576" s="88">
        <v>43600</v>
      </c>
      <c r="C2576">
        <v>11.496264512499998</v>
      </c>
      <c r="D2576" t="s">
        <v>240</v>
      </c>
    </row>
    <row r="2577" spans="1:4" x14ac:dyDescent="0.35">
      <c r="A2577" t="s">
        <v>76</v>
      </c>
      <c r="B2577" s="88">
        <v>43692</v>
      </c>
      <c r="C2577">
        <v>11.496264512499998</v>
      </c>
      <c r="D2577" t="s">
        <v>240</v>
      </c>
    </row>
    <row r="2578" spans="1:4" x14ac:dyDescent="0.35">
      <c r="A2578" t="s">
        <v>76</v>
      </c>
      <c r="B2578" s="88">
        <v>43784</v>
      </c>
      <c r="C2578">
        <v>11.496264512499998</v>
      </c>
      <c r="D2578" t="s">
        <v>240</v>
      </c>
    </row>
    <row r="2579" spans="1:4" x14ac:dyDescent="0.35">
      <c r="A2579" t="s">
        <v>76</v>
      </c>
      <c r="B2579" s="88">
        <v>43876</v>
      </c>
      <c r="C2579">
        <v>11.496264512499998</v>
      </c>
      <c r="D2579" t="s">
        <v>240</v>
      </c>
    </row>
    <row r="2580" spans="1:4" x14ac:dyDescent="0.35">
      <c r="A2580" t="s">
        <v>76</v>
      </c>
      <c r="B2580" s="88">
        <v>43966</v>
      </c>
      <c r="C2580">
        <v>10.617322042499998</v>
      </c>
      <c r="D2580" t="s">
        <v>240</v>
      </c>
    </row>
    <row r="2581" spans="1:4" x14ac:dyDescent="0.35">
      <c r="A2581" t="s">
        <v>76</v>
      </c>
      <c r="B2581" s="88">
        <v>44058</v>
      </c>
      <c r="C2581">
        <v>10.617322042499998</v>
      </c>
      <c r="D2581" t="s">
        <v>240</v>
      </c>
    </row>
    <row r="2582" spans="1:4" x14ac:dyDescent="0.35">
      <c r="A2582" t="s">
        <v>76</v>
      </c>
      <c r="B2582" s="88">
        <v>44150</v>
      </c>
      <c r="C2582">
        <v>10.617322042499998</v>
      </c>
      <c r="D2582" t="s">
        <v>240</v>
      </c>
    </row>
    <row r="2583" spans="1:4" x14ac:dyDescent="0.35">
      <c r="A2583" t="s">
        <v>76</v>
      </c>
      <c r="B2583" s="88">
        <v>44242</v>
      </c>
      <c r="C2583">
        <v>10.617322042499998</v>
      </c>
      <c r="D2583" t="s">
        <v>240</v>
      </c>
    </row>
    <row r="2584" spans="1:4" x14ac:dyDescent="0.35">
      <c r="A2584" t="s">
        <v>76</v>
      </c>
      <c r="B2584" s="88">
        <v>44331</v>
      </c>
      <c r="C2584">
        <v>10.617322042499998</v>
      </c>
      <c r="D2584" t="s">
        <v>240</v>
      </c>
    </row>
    <row r="2585" spans="1:4" x14ac:dyDescent="0.35">
      <c r="A2585" t="s">
        <v>76</v>
      </c>
      <c r="B2585" s="88">
        <v>44423</v>
      </c>
      <c r="C2585">
        <v>10.617322042499998</v>
      </c>
      <c r="D2585" t="s">
        <v>240</v>
      </c>
    </row>
    <row r="2586" spans="1:4" x14ac:dyDescent="0.35">
      <c r="A2586" t="s">
        <v>76</v>
      </c>
      <c r="B2586" s="88">
        <v>44515</v>
      </c>
      <c r="C2586">
        <v>10.617322042499998</v>
      </c>
      <c r="D2586" t="s">
        <v>240</v>
      </c>
    </row>
    <row r="2587" spans="1:4" x14ac:dyDescent="0.35">
      <c r="A2587" t="s">
        <v>76</v>
      </c>
      <c r="B2587" s="88">
        <v>44607</v>
      </c>
      <c r="C2587">
        <v>10.617322042499998</v>
      </c>
      <c r="D2587" t="s">
        <v>240</v>
      </c>
    </row>
    <row r="2588" spans="1:4" x14ac:dyDescent="0.35">
      <c r="A2588" t="s">
        <v>76</v>
      </c>
      <c r="B2588" s="88">
        <v>44696</v>
      </c>
      <c r="C2588">
        <v>10.427584865</v>
      </c>
      <c r="D2588" t="s">
        <v>240</v>
      </c>
    </row>
    <row r="2589" spans="1:4" x14ac:dyDescent="0.35">
      <c r="A2589" t="s">
        <v>76</v>
      </c>
      <c r="B2589" s="88">
        <v>44788</v>
      </c>
      <c r="C2589">
        <v>10.427584865</v>
      </c>
      <c r="D2589" t="s">
        <v>240</v>
      </c>
    </row>
    <row r="2590" spans="1:4" x14ac:dyDescent="0.35">
      <c r="A2590" t="s">
        <v>76</v>
      </c>
      <c r="B2590" s="88">
        <v>44880</v>
      </c>
      <c r="C2590">
        <v>10.427584865</v>
      </c>
      <c r="D2590" t="s">
        <v>240</v>
      </c>
    </row>
    <row r="2591" spans="1:4" x14ac:dyDescent="0.35">
      <c r="A2591" t="s">
        <v>76</v>
      </c>
      <c r="B2591" s="88">
        <v>44972</v>
      </c>
      <c r="C2591">
        <v>10.427584865</v>
      </c>
      <c r="D2591" t="s">
        <v>240</v>
      </c>
    </row>
    <row r="2592" spans="1:4" x14ac:dyDescent="0.35">
      <c r="A2592" t="s">
        <v>76</v>
      </c>
      <c r="B2592" s="88">
        <v>45061</v>
      </c>
      <c r="C2592">
        <v>10.970535917499999</v>
      </c>
      <c r="D2592" t="s">
        <v>240</v>
      </c>
    </row>
    <row r="2593" spans="1:4" x14ac:dyDescent="0.35">
      <c r="A2593" t="s">
        <v>76</v>
      </c>
      <c r="B2593" s="88">
        <v>45153</v>
      </c>
      <c r="C2593">
        <v>10.970535917499999</v>
      </c>
      <c r="D2593" t="s">
        <v>240</v>
      </c>
    </row>
    <row r="2594" spans="1:4" x14ac:dyDescent="0.35">
      <c r="A2594" t="s">
        <v>76</v>
      </c>
      <c r="B2594" s="88">
        <v>45245</v>
      </c>
      <c r="C2594">
        <v>10.970535917499999</v>
      </c>
      <c r="D2594" t="s">
        <v>240</v>
      </c>
    </row>
    <row r="2595" spans="1:4" x14ac:dyDescent="0.35">
      <c r="A2595" t="s">
        <v>76</v>
      </c>
      <c r="B2595" s="88">
        <v>45337</v>
      </c>
      <c r="C2595">
        <v>10.970535917499999</v>
      </c>
      <c r="D2595" t="s">
        <v>240</v>
      </c>
    </row>
    <row r="2596" spans="1:4" x14ac:dyDescent="0.35">
      <c r="A2596" t="s">
        <v>76</v>
      </c>
      <c r="B2596" s="88">
        <v>45427</v>
      </c>
      <c r="C2596">
        <v>11.637908919999999</v>
      </c>
      <c r="D2596" t="s">
        <v>240</v>
      </c>
    </row>
    <row r="2597" spans="1:4" x14ac:dyDescent="0.35">
      <c r="A2597" t="s">
        <v>76</v>
      </c>
      <c r="B2597" s="88">
        <v>45519</v>
      </c>
      <c r="C2597">
        <v>11.637908919999999</v>
      </c>
      <c r="D2597" t="s">
        <v>240</v>
      </c>
    </row>
    <row r="2598" spans="1:4" x14ac:dyDescent="0.35">
      <c r="A2598" t="s">
        <v>76</v>
      </c>
      <c r="B2598" s="88">
        <v>45611</v>
      </c>
      <c r="C2598">
        <v>11.637908919999999</v>
      </c>
      <c r="D2598" t="s">
        <v>240</v>
      </c>
    </row>
    <row r="2599" spans="1:4" x14ac:dyDescent="0.35">
      <c r="A2599" t="s">
        <v>76</v>
      </c>
      <c r="B2599" s="88">
        <v>45703</v>
      </c>
      <c r="C2599">
        <v>11.637908919999999</v>
      </c>
      <c r="D2599" t="s">
        <v>240</v>
      </c>
    </row>
    <row r="2600" spans="1:4" x14ac:dyDescent="0.35">
      <c r="A2600" t="s">
        <v>76</v>
      </c>
      <c r="B2600" s="88">
        <v>45792</v>
      </c>
      <c r="C2600">
        <v>13.5332613525</v>
      </c>
      <c r="D2600" t="s">
        <v>240</v>
      </c>
    </row>
    <row r="2601" spans="1:4" x14ac:dyDescent="0.35">
      <c r="A2601" t="s">
        <v>76</v>
      </c>
      <c r="B2601" s="88">
        <v>45884</v>
      </c>
      <c r="C2601">
        <v>13.5332613525</v>
      </c>
      <c r="D2601" t="s">
        <v>240</v>
      </c>
    </row>
    <row r="2602" spans="1:4" x14ac:dyDescent="0.35">
      <c r="A2602" t="s">
        <v>76</v>
      </c>
      <c r="B2602" s="88">
        <v>45976</v>
      </c>
      <c r="C2602">
        <v>13.5332613525</v>
      </c>
      <c r="D2602" t="s">
        <v>240</v>
      </c>
    </row>
    <row r="2603" spans="1:4" x14ac:dyDescent="0.35">
      <c r="A2603" t="s">
        <v>76</v>
      </c>
      <c r="B2603" s="88">
        <v>46068</v>
      </c>
      <c r="C2603">
        <v>13.5332613525</v>
      </c>
      <c r="D2603" t="s">
        <v>240</v>
      </c>
    </row>
    <row r="2604" spans="1:4" x14ac:dyDescent="0.35">
      <c r="A2604" t="s">
        <v>76</v>
      </c>
      <c r="B2604" s="88">
        <v>46157</v>
      </c>
      <c r="C2604">
        <v>15.014826075</v>
      </c>
      <c r="D2604" t="s">
        <v>240</v>
      </c>
    </row>
    <row r="2605" spans="1:4" x14ac:dyDescent="0.35">
      <c r="A2605" t="s">
        <v>76</v>
      </c>
      <c r="B2605" s="88">
        <v>46249</v>
      </c>
      <c r="C2605">
        <v>15.014826075</v>
      </c>
      <c r="D2605" t="s">
        <v>240</v>
      </c>
    </row>
    <row r="2606" spans="1:4" x14ac:dyDescent="0.35">
      <c r="A2606" t="s">
        <v>75</v>
      </c>
      <c r="B2606" s="88">
        <v>43511</v>
      </c>
      <c r="C2606">
        <v>11.471070312499998</v>
      </c>
      <c r="D2606" t="s">
        <v>240</v>
      </c>
    </row>
    <row r="2607" spans="1:4" x14ac:dyDescent="0.35">
      <c r="A2607" t="s">
        <v>75</v>
      </c>
      <c r="B2607" s="88">
        <v>43600</v>
      </c>
      <c r="C2607">
        <v>11.2525703125</v>
      </c>
      <c r="D2607" t="s">
        <v>240</v>
      </c>
    </row>
    <row r="2608" spans="1:4" x14ac:dyDescent="0.35">
      <c r="A2608" t="s">
        <v>75</v>
      </c>
      <c r="B2608" s="88">
        <v>43692</v>
      </c>
      <c r="C2608">
        <v>11.2525703125</v>
      </c>
      <c r="D2608" t="s">
        <v>240</v>
      </c>
    </row>
    <row r="2609" spans="1:4" x14ac:dyDescent="0.35">
      <c r="A2609" t="s">
        <v>75</v>
      </c>
      <c r="B2609" s="88">
        <v>43784</v>
      </c>
      <c r="C2609">
        <v>11.2525703125</v>
      </c>
      <c r="D2609" t="s">
        <v>240</v>
      </c>
    </row>
    <row r="2610" spans="1:4" x14ac:dyDescent="0.35">
      <c r="A2610" t="s">
        <v>75</v>
      </c>
      <c r="B2610" s="88">
        <v>43876</v>
      </c>
      <c r="C2610">
        <v>11.2525703125</v>
      </c>
      <c r="D2610" t="s">
        <v>240</v>
      </c>
    </row>
    <row r="2611" spans="1:4" x14ac:dyDescent="0.35">
      <c r="A2611" t="s">
        <v>75</v>
      </c>
      <c r="B2611" s="88">
        <v>43966</v>
      </c>
      <c r="C2611">
        <v>9.7000703124999994</v>
      </c>
      <c r="D2611" t="s">
        <v>240</v>
      </c>
    </row>
    <row r="2612" spans="1:4" x14ac:dyDescent="0.35">
      <c r="A2612" t="s">
        <v>75</v>
      </c>
      <c r="B2612" s="88">
        <v>44058</v>
      </c>
      <c r="C2612">
        <v>9.7000703124999994</v>
      </c>
      <c r="D2612" t="s">
        <v>240</v>
      </c>
    </row>
    <row r="2613" spans="1:4" x14ac:dyDescent="0.35">
      <c r="A2613" t="s">
        <v>75</v>
      </c>
      <c r="B2613" s="88">
        <v>44150</v>
      </c>
      <c r="C2613">
        <v>9.7000703124999994</v>
      </c>
      <c r="D2613" t="s">
        <v>240</v>
      </c>
    </row>
    <row r="2614" spans="1:4" x14ac:dyDescent="0.35">
      <c r="A2614" t="s">
        <v>75</v>
      </c>
      <c r="B2614" s="88">
        <v>44242</v>
      </c>
      <c r="C2614">
        <v>9.7000703124999994</v>
      </c>
      <c r="D2614" t="s">
        <v>240</v>
      </c>
    </row>
    <row r="2615" spans="1:4" x14ac:dyDescent="0.35">
      <c r="A2615" t="s">
        <v>75</v>
      </c>
      <c r="B2615" s="88">
        <v>44331</v>
      </c>
      <c r="C2615">
        <v>10.1830703125</v>
      </c>
      <c r="D2615" t="s">
        <v>240</v>
      </c>
    </row>
    <row r="2616" spans="1:4" x14ac:dyDescent="0.35">
      <c r="A2616" t="s">
        <v>75</v>
      </c>
      <c r="B2616" s="88">
        <v>44423</v>
      </c>
      <c r="C2616">
        <v>10.1830703125</v>
      </c>
      <c r="D2616" t="s">
        <v>240</v>
      </c>
    </row>
    <row r="2617" spans="1:4" x14ac:dyDescent="0.35">
      <c r="A2617" t="s">
        <v>75</v>
      </c>
      <c r="B2617" s="88">
        <v>44515</v>
      </c>
      <c r="C2617">
        <v>10.1830703125</v>
      </c>
      <c r="D2617" t="s">
        <v>240</v>
      </c>
    </row>
    <row r="2618" spans="1:4" x14ac:dyDescent="0.35">
      <c r="A2618" t="s">
        <v>75</v>
      </c>
      <c r="B2618" s="88">
        <v>44607</v>
      </c>
      <c r="C2618">
        <v>10.1830703125</v>
      </c>
      <c r="D2618" t="s">
        <v>240</v>
      </c>
    </row>
    <row r="2619" spans="1:4" x14ac:dyDescent="0.35">
      <c r="A2619" t="s">
        <v>75</v>
      </c>
      <c r="B2619" s="88">
        <v>44696</v>
      </c>
      <c r="C2619">
        <v>9.9701406249999991</v>
      </c>
      <c r="D2619" t="s">
        <v>240</v>
      </c>
    </row>
    <row r="2620" spans="1:4" x14ac:dyDescent="0.35">
      <c r="A2620" t="s">
        <v>75</v>
      </c>
      <c r="B2620" s="88">
        <v>44788</v>
      </c>
      <c r="C2620">
        <v>9.9701406249999991</v>
      </c>
      <c r="D2620" t="s">
        <v>240</v>
      </c>
    </row>
    <row r="2621" spans="1:4" x14ac:dyDescent="0.35">
      <c r="A2621" t="s">
        <v>75</v>
      </c>
      <c r="B2621" s="88">
        <v>44880</v>
      </c>
      <c r="C2621">
        <v>9.9701406249999991</v>
      </c>
      <c r="D2621" t="s">
        <v>240</v>
      </c>
    </row>
    <row r="2622" spans="1:4" x14ac:dyDescent="0.35">
      <c r="A2622" t="s">
        <v>75</v>
      </c>
      <c r="B2622" s="88">
        <v>44972</v>
      </c>
      <c r="C2622">
        <v>9.9701406249999991</v>
      </c>
      <c r="D2622" t="s">
        <v>240</v>
      </c>
    </row>
    <row r="2623" spans="1:4" x14ac:dyDescent="0.35">
      <c r="A2623" t="s">
        <v>75</v>
      </c>
      <c r="B2623" s="88">
        <v>45061</v>
      </c>
      <c r="C2623">
        <v>9.1707109375000009</v>
      </c>
      <c r="D2623" t="s">
        <v>240</v>
      </c>
    </row>
    <row r="2624" spans="1:4" x14ac:dyDescent="0.35">
      <c r="A2624" t="s">
        <v>75</v>
      </c>
      <c r="B2624" s="88">
        <v>45153</v>
      </c>
      <c r="C2624">
        <v>9.1707109375000009</v>
      </c>
      <c r="D2624" t="s">
        <v>240</v>
      </c>
    </row>
    <row r="2625" spans="1:4" x14ac:dyDescent="0.35">
      <c r="A2625" t="s">
        <v>75</v>
      </c>
      <c r="B2625" s="88">
        <v>45245</v>
      </c>
      <c r="C2625">
        <v>9.1707109375000009</v>
      </c>
      <c r="D2625" t="s">
        <v>240</v>
      </c>
    </row>
    <row r="2626" spans="1:4" x14ac:dyDescent="0.35">
      <c r="A2626" t="s">
        <v>75</v>
      </c>
      <c r="B2626" s="88">
        <v>45337</v>
      </c>
      <c r="C2626">
        <v>9.1707109375000009</v>
      </c>
      <c r="D2626" t="s">
        <v>240</v>
      </c>
    </row>
    <row r="2627" spans="1:4" x14ac:dyDescent="0.35">
      <c r="A2627" t="s">
        <v>75</v>
      </c>
      <c r="B2627" s="88">
        <v>45427</v>
      </c>
      <c r="C2627">
        <v>9.6937812500000007</v>
      </c>
      <c r="D2627" t="s">
        <v>240</v>
      </c>
    </row>
    <row r="2628" spans="1:4" x14ac:dyDescent="0.35">
      <c r="A2628" t="s">
        <v>75</v>
      </c>
      <c r="B2628" s="88">
        <v>45519</v>
      </c>
      <c r="C2628">
        <v>9.6937812500000007</v>
      </c>
      <c r="D2628" t="s">
        <v>240</v>
      </c>
    </row>
    <row r="2629" spans="1:4" x14ac:dyDescent="0.35">
      <c r="A2629" t="s">
        <v>75</v>
      </c>
      <c r="B2629" s="88">
        <v>45611</v>
      </c>
      <c r="C2629">
        <v>9.6937812500000007</v>
      </c>
      <c r="D2629" t="s">
        <v>240</v>
      </c>
    </row>
    <row r="2630" spans="1:4" x14ac:dyDescent="0.35">
      <c r="A2630" t="s">
        <v>75</v>
      </c>
      <c r="B2630" s="88">
        <v>45703</v>
      </c>
      <c r="C2630">
        <v>9.6937812500000007</v>
      </c>
      <c r="D2630" t="s">
        <v>240</v>
      </c>
    </row>
    <row r="2631" spans="1:4" x14ac:dyDescent="0.35">
      <c r="A2631" t="s">
        <v>75</v>
      </c>
      <c r="B2631" s="88">
        <v>45792</v>
      </c>
      <c r="C2631">
        <v>11.2748515625</v>
      </c>
      <c r="D2631" t="s">
        <v>240</v>
      </c>
    </row>
    <row r="2632" spans="1:4" x14ac:dyDescent="0.35">
      <c r="A2632" t="s">
        <v>75</v>
      </c>
      <c r="B2632" s="88">
        <v>45884</v>
      </c>
      <c r="C2632">
        <v>11.2748515625</v>
      </c>
      <c r="D2632" t="s">
        <v>240</v>
      </c>
    </row>
    <row r="2633" spans="1:4" x14ac:dyDescent="0.35">
      <c r="A2633" t="s">
        <v>75</v>
      </c>
      <c r="B2633" s="88">
        <v>45976</v>
      </c>
      <c r="C2633">
        <v>11.2748515625</v>
      </c>
      <c r="D2633" t="s">
        <v>240</v>
      </c>
    </row>
    <row r="2634" spans="1:4" x14ac:dyDescent="0.35">
      <c r="A2634" t="s">
        <v>75</v>
      </c>
      <c r="B2634" s="88">
        <v>46068</v>
      </c>
      <c r="C2634">
        <v>11.2748515625</v>
      </c>
      <c r="D2634" t="s">
        <v>240</v>
      </c>
    </row>
    <row r="2635" spans="1:4" x14ac:dyDescent="0.35">
      <c r="A2635" t="s">
        <v>75</v>
      </c>
      <c r="B2635" s="88">
        <v>46157</v>
      </c>
      <c r="C2635">
        <v>12.280921875000001</v>
      </c>
      <c r="D2635" t="s">
        <v>240</v>
      </c>
    </row>
    <row r="2636" spans="1:4" x14ac:dyDescent="0.35">
      <c r="A2636" t="s">
        <v>75</v>
      </c>
      <c r="B2636" s="88">
        <v>46249</v>
      </c>
      <c r="C2636">
        <v>12.280921875000001</v>
      </c>
      <c r="D2636" t="s">
        <v>240</v>
      </c>
    </row>
    <row r="2637" spans="1:4" x14ac:dyDescent="0.35">
      <c r="A2637" t="s">
        <v>77</v>
      </c>
      <c r="B2637" s="88">
        <v>43511</v>
      </c>
      <c r="C2637">
        <v>13.042430312499999</v>
      </c>
      <c r="D2637" t="s">
        <v>240</v>
      </c>
    </row>
    <row r="2638" spans="1:4" x14ac:dyDescent="0.35">
      <c r="A2638" t="s">
        <v>77</v>
      </c>
      <c r="B2638" s="88">
        <v>43600</v>
      </c>
      <c r="C2638">
        <v>12.8025403125</v>
      </c>
      <c r="D2638" t="s">
        <v>240</v>
      </c>
    </row>
    <row r="2639" spans="1:4" x14ac:dyDescent="0.35">
      <c r="A2639" t="s">
        <v>77</v>
      </c>
      <c r="B2639" s="88">
        <v>43692</v>
      </c>
      <c r="C2639">
        <v>12.8025403125</v>
      </c>
      <c r="D2639" t="s">
        <v>240</v>
      </c>
    </row>
    <row r="2640" spans="1:4" x14ac:dyDescent="0.35">
      <c r="A2640" t="s">
        <v>77</v>
      </c>
      <c r="B2640" s="88">
        <v>43784</v>
      </c>
      <c r="C2640">
        <v>12.8025403125</v>
      </c>
      <c r="D2640" t="s">
        <v>240</v>
      </c>
    </row>
    <row r="2641" spans="1:4" x14ac:dyDescent="0.35">
      <c r="A2641" t="s">
        <v>77</v>
      </c>
      <c r="B2641" s="88">
        <v>43876</v>
      </c>
      <c r="C2641">
        <v>12.8025403125</v>
      </c>
      <c r="D2641" t="s">
        <v>240</v>
      </c>
    </row>
    <row r="2642" spans="1:4" x14ac:dyDescent="0.35">
      <c r="A2642" t="s">
        <v>77</v>
      </c>
      <c r="B2642" s="88">
        <v>43966</v>
      </c>
      <c r="C2642">
        <v>13.152830312499999</v>
      </c>
      <c r="D2642" t="s">
        <v>240</v>
      </c>
    </row>
    <row r="2643" spans="1:4" x14ac:dyDescent="0.35">
      <c r="A2643" t="s">
        <v>77</v>
      </c>
      <c r="B2643" s="88">
        <v>44058</v>
      </c>
      <c r="C2643">
        <v>13.152830312499999</v>
      </c>
      <c r="D2643" t="s">
        <v>240</v>
      </c>
    </row>
    <row r="2644" spans="1:4" x14ac:dyDescent="0.35">
      <c r="A2644" t="s">
        <v>77</v>
      </c>
      <c r="B2644" s="88">
        <v>44150</v>
      </c>
      <c r="C2644">
        <v>13.152830312499999</v>
      </c>
      <c r="D2644" t="s">
        <v>240</v>
      </c>
    </row>
    <row r="2645" spans="1:4" x14ac:dyDescent="0.35">
      <c r="A2645" t="s">
        <v>77</v>
      </c>
      <c r="B2645" s="88">
        <v>44242</v>
      </c>
      <c r="C2645">
        <v>13.152830312499999</v>
      </c>
      <c r="D2645" t="s">
        <v>240</v>
      </c>
    </row>
    <row r="2646" spans="1:4" x14ac:dyDescent="0.35">
      <c r="A2646" t="s">
        <v>77</v>
      </c>
      <c r="B2646" s="88">
        <v>44331</v>
      </c>
      <c r="C2646">
        <v>13.2995703125</v>
      </c>
      <c r="D2646" t="s">
        <v>240</v>
      </c>
    </row>
    <row r="2647" spans="1:4" x14ac:dyDescent="0.35">
      <c r="A2647" t="s">
        <v>77</v>
      </c>
      <c r="B2647" s="88">
        <v>44423</v>
      </c>
      <c r="C2647">
        <v>13.2995703125</v>
      </c>
      <c r="D2647" t="s">
        <v>240</v>
      </c>
    </row>
    <row r="2648" spans="1:4" x14ac:dyDescent="0.35">
      <c r="A2648" t="s">
        <v>77</v>
      </c>
      <c r="B2648" s="88">
        <v>44515</v>
      </c>
      <c r="C2648">
        <v>13.2995703125</v>
      </c>
      <c r="D2648" t="s">
        <v>240</v>
      </c>
    </row>
    <row r="2649" spans="1:4" x14ac:dyDescent="0.35">
      <c r="A2649" t="s">
        <v>77</v>
      </c>
      <c r="B2649" s="88">
        <v>44607</v>
      </c>
      <c r="C2649">
        <v>13.2995703125</v>
      </c>
      <c r="D2649" t="s">
        <v>240</v>
      </c>
    </row>
    <row r="2650" spans="1:4" x14ac:dyDescent="0.35">
      <c r="A2650" t="s">
        <v>77</v>
      </c>
      <c r="B2650" s="88">
        <v>44696</v>
      </c>
      <c r="C2650">
        <v>13.579760625</v>
      </c>
      <c r="D2650" t="s">
        <v>240</v>
      </c>
    </row>
    <row r="2651" spans="1:4" x14ac:dyDescent="0.35">
      <c r="A2651" t="s">
        <v>77</v>
      </c>
      <c r="B2651" s="88">
        <v>44788</v>
      </c>
      <c r="C2651">
        <v>13.579760625</v>
      </c>
      <c r="D2651" t="s">
        <v>240</v>
      </c>
    </row>
    <row r="2652" spans="1:4" x14ac:dyDescent="0.35">
      <c r="A2652" t="s">
        <v>77</v>
      </c>
      <c r="B2652" s="88">
        <v>44880</v>
      </c>
      <c r="C2652">
        <v>13.579760625</v>
      </c>
      <c r="D2652" t="s">
        <v>240</v>
      </c>
    </row>
    <row r="2653" spans="1:4" x14ac:dyDescent="0.35">
      <c r="A2653" t="s">
        <v>77</v>
      </c>
      <c r="B2653" s="88">
        <v>44972</v>
      </c>
      <c r="C2653">
        <v>13.579760625</v>
      </c>
      <c r="D2653" t="s">
        <v>240</v>
      </c>
    </row>
    <row r="2654" spans="1:4" x14ac:dyDescent="0.35">
      <c r="A2654" t="s">
        <v>77</v>
      </c>
      <c r="B2654" s="88">
        <v>45061</v>
      </c>
      <c r="C2654">
        <v>14.3673309375</v>
      </c>
      <c r="D2654" t="s">
        <v>240</v>
      </c>
    </row>
    <row r="2655" spans="1:4" x14ac:dyDescent="0.35">
      <c r="A2655" t="s">
        <v>77</v>
      </c>
      <c r="B2655" s="88">
        <v>45153</v>
      </c>
      <c r="C2655">
        <v>14.3673309375</v>
      </c>
      <c r="D2655" t="s">
        <v>240</v>
      </c>
    </row>
    <row r="2656" spans="1:4" x14ac:dyDescent="0.35">
      <c r="A2656" t="s">
        <v>77</v>
      </c>
      <c r="B2656" s="88">
        <v>45245</v>
      </c>
      <c r="C2656">
        <v>14.3673309375</v>
      </c>
      <c r="D2656" t="s">
        <v>240</v>
      </c>
    </row>
    <row r="2657" spans="1:4" x14ac:dyDescent="0.35">
      <c r="A2657" t="s">
        <v>77</v>
      </c>
      <c r="B2657" s="88">
        <v>45337</v>
      </c>
      <c r="C2657">
        <v>14.3673309375</v>
      </c>
      <c r="D2657" t="s">
        <v>240</v>
      </c>
    </row>
    <row r="2658" spans="1:4" x14ac:dyDescent="0.35">
      <c r="A2658" t="s">
        <v>77</v>
      </c>
      <c r="B2658" s="88">
        <v>45427</v>
      </c>
      <c r="C2658">
        <v>16.8015233953125</v>
      </c>
      <c r="D2658" t="s">
        <v>240</v>
      </c>
    </row>
    <row r="2659" spans="1:4" x14ac:dyDescent="0.35">
      <c r="A2659" t="s">
        <v>77</v>
      </c>
      <c r="B2659" s="88">
        <v>45519</v>
      </c>
      <c r="C2659">
        <v>16.8015233953125</v>
      </c>
      <c r="D2659" t="s">
        <v>240</v>
      </c>
    </row>
    <row r="2660" spans="1:4" x14ac:dyDescent="0.35">
      <c r="A2660" t="s">
        <v>77</v>
      </c>
      <c r="B2660" s="88">
        <v>45611</v>
      </c>
      <c r="C2660">
        <v>16.8015233953125</v>
      </c>
      <c r="D2660" t="s">
        <v>240</v>
      </c>
    </row>
    <row r="2661" spans="1:4" x14ac:dyDescent="0.35">
      <c r="A2661" t="s">
        <v>77</v>
      </c>
      <c r="B2661" s="88">
        <v>45703</v>
      </c>
      <c r="C2661">
        <v>16.8015233953125</v>
      </c>
      <c r="D2661" t="s">
        <v>240</v>
      </c>
    </row>
    <row r="2662" spans="1:4" x14ac:dyDescent="0.35">
      <c r="A2662" t="s">
        <v>77</v>
      </c>
      <c r="B2662" s="88">
        <v>45792</v>
      </c>
      <c r="C2662">
        <v>18.009463162500001</v>
      </c>
      <c r="D2662" t="s">
        <v>240</v>
      </c>
    </row>
    <row r="2663" spans="1:4" x14ac:dyDescent="0.35">
      <c r="A2663" t="s">
        <v>77</v>
      </c>
      <c r="B2663" s="88">
        <v>45884</v>
      </c>
      <c r="C2663">
        <v>18.009463162500001</v>
      </c>
      <c r="D2663" t="s">
        <v>240</v>
      </c>
    </row>
    <row r="2664" spans="1:4" x14ac:dyDescent="0.35">
      <c r="A2664" t="s">
        <v>77</v>
      </c>
      <c r="B2664" s="88">
        <v>45976</v>
      </c>
      <c r="C2664">
        <v>18.009463162500001</v>
      </c>
      <c r="D2664" t="s">
        <v>240</v>
      </c>
    </row>
    <row r="2665" spans="1:4" x14ac:dyDescent="0.35">
      <c r="A2665" t="s">
        <v>77</v>
      </c>
      <c r="B2665" s="88">
        <v>46068</v>
      </c>
      <c r="C2665">
        <v>18.009463162500001</v>
      </c>
      <c r="D2665" t="s">
        <v>240</v>
      </c>
    </row>
    <row r="2666" spans="1:4" x14ac:dyDescent="0.35">
      <c r="A2666" t="s">
        <v>77</v>
      </c>
      <c r="B2666" s="88">
        <v>46157</v>
      </c>
      <c r="C2666">
        <v>19.934705475000001</v>
      </c>
      <c r="D2666" t="s">
        <v>240</v>
      </c>
    </row>
    <row r="2667" spans="1:4" x14ac:dyDescent="0.35">
      <c r="A2667" t="s">
        <v>77</v>
      </c>
      <c r="B2667" s="88">
        <v>46249</v>
      </c>
      <c r="C2667">
        <v>19.934705475000001</v>
      </c>
      <c r="D2667" t="s">
        <v>240</v>
      </c>
    </row>
    <row r="2668" spans="1:4" x14ac:dyDescent="0.35">
      <c r="A2668" t="s">
        <v>85</v>
      </c>
      <c r="B2668" s="88">
        <v>43511</v>
      </c>
      <c r="C2668">
        <v>17.807743084312641</v>
      </c>
      <c r="D2668" t="s">
        <v>241</v>
      </c>
    </row>
    <row r="2669" spans="1:4" x14ac:dyDescent="0.35">
      <c r="A2669" t="s">
        <v>85</v>
      </c>
      <c r="B2669" s="88">
        <v>43600</v>
      </c>
      <c r="C2669">
        <v>18.025455406569499</v>
      </c>
      <c r="D2669" t="s">
        <v>241</v>
      </c>
    </row>
    <row r="2670" spans="1:4" x14ac:dyDescent="0.35">
      <c r="A2670" t="s">
        <v>85</v>
      </c>
      <c r="B2670" s="88">
        <v>43692</v>
      </c>
      <c r="C2670">
        <v>18.069523629737617</v>
      </c>
      <c r="D2670" t="s">
        <v>241</v>
      </c>
    </row>
    <row r="2671" spans="1:4" x14ac:dyDescent="0.35">
      <c r="A2671" t="s">
        <v>85</v>
      </c>
      <c r="B2671" s="88">
        <v>43784</v>
      </c>
      <c r="C2671">
        <v>18.606158300217285</v>
      </c>
      <c r="D2671" t="s">
        <v>241</v>
      </c>
    </row>
    <row r="2672" spans="1:4" x14ac:dyDescent="0.35">
      <c r="A2672" t="s">
        <v>85</v>
      </c>
      <c r="B2672" s="88">
        <v>43876</v>
      </c>
      <c r="C2672">
        <v>18.754973209241502</v>
      </c>
      <c r="D2672" t="s">
        <v>241</v>
      </c>
    </row>
    <row r="2673" spans="1:4" x14ac:dyDescent="0.35">
      <c r="A2673" t="s">
        <v>85</v>
      </c>
      <c r="B2673" s="88">
        <v>43966</v>
      </c>
      <c r="C2673">
        <v>19.593165390918713</v>
      </c>
      <c r="D2673" t="s">
        <v>241</v>
      </c>
    </row>
    <row r="2674" spans="1:4" x14ac:dyDescent="0.35">
      <c r="A2674" t="s">
        <v>85</v>
      </c>
      <c r="B2674" s="88">
        <v>44058</v>
      </c>
      <c r="C2674">
        <v>19.543974651163133</v>
      </c>
      <c r="D2674" t="s">
        <v>241</v>
      </c>
    </row>
    <row r="2675" spans="1:4" x14ac:dyDescent="0.35">
      <c r="A2675" t="s">
        <v>85</v>
      </c>
      <c r="B2675" s="88">
        <v>44150</v>
      </c>
      <c r="C2675">
        <v>19.434041240426005</v>
      </c>
      <c r="D2675" t="s">
        <v>241</v>
      </c>
    </row>
    <row r="2676" spans="1:4" x14ac:dyDescent="0.35">
      <c r="A2676" t="s">
        <v>85</v>
      </c>
      <c r="B2676" s="88">
        <v>44242</v>
      </c>
      <c r="C2676">
        <v>19.408480656375666</v>
      </c>
      <c r="D2676" t="s">
        <v>241</v>
      </c>
    </row>
    <row r="2677" spans="1:4" x14ac:dyDescent="0.35">
      <c r="A2677" t="s">
        <v>85</v>
      </c>
      <c r="B2677" s="88">
        <v>44331</v>
      </c>
      <c r="C2677">
        <v>19.470758785188494</v>
      </c>
      <c r="D2677" t="s">
        <v>241</v>
      </c>
    </row>
    <row r="2678" spans="1:4" x14ac:dyDescent="0.35">
      <c r="A2678" t="s">
        <v>85</v>
      </c>
      <c r="B2678" s="88">
        <v>44423</v>
      </c>
      <c r="C2678">
        <v>19.81646313752676</v>
      </c>
      <c r="D2678" t="s">
        <v>241</v>
      </c>
    </row>
    <row r="2679" spans="1:4" x14ac:dyDescent="0.35">
      <c r="A2679" t="s">
        <v>85</v>
      </c>
      <c r="B2679" s="88">
        <v>44515</v>
      </c>
      <c r="C2679">
        <v>20.106929614479096</v>
      </c>
      <c r="D2679" t="s">
        <v>241</v>
      </c>
    </row>
    <row r="2680" spans="1:4" x14ac:dyDescent="0.35">
      <c r="A2680" t="s">
        <v>85</v>
      </c>
      <c r="B2680" s="88">
        <v>44607</v>
      </c>
      <c r="C2680">
        <v>20.57438521157939</v>
      </c>
      <c r="D2680" t="s">
        <v>241</v>
      </c>
    </row>
    <row r="2681" spans="1:4" x14ac:dyDescent="0.35">
      <c r="A2681" t="s">
        <v>85</v>
      </c>
      <c r="B2681" s="88">
        <v>44696</v>
      </c>
      <c r="C2681">
        <v>20.751453867397785</v>
      </c>
      <c r="D2681" t="s">
        <v>241</v>
      </c>
    </row>
    <row r="2682" spans="1:4" x14ac:dyDescent="0.35">
      <c r="A2682" t="s">
        <v>85</v>
      </c>
      <c r="B2682" s="88">
        <v>44788</v>
      </c>
      <c r="C2682">
        <v>20.894637409768009</v>
      </c>
      <c r="D2682" t="s">
        <v>241</v>
      </c>
    </row>
    <row r="2683" spans="1:4" x14ac:dyDescent="0.35">
      <c r="A2683" t="s">
        <v>85</v>
      </c>
      <c r="B2683" s="88">
        <v>44880</v>
      </c>
      <c r="C2683">
        <v>20.928301325652356</v>
      </c>
      <c r="D2683" t="s">
        <v>241</v>
      </c>
    </row>
    <row r="2684" spans="1:4" x14ac:dyDescent="0.35">
      <c r="A2684" t="s">
        <v>85</v>
      </c>
      <c r="B2684" s="88">
        <v>44972</v>
      </c>
      <c r="C2684">
        <v>21.262618434699146</v>
      </c>
      <c r="D2684" t="s">
        <v>241</v>
      </c>
    </row>
    <row r="2685" spans="1:4" x14ac:dyDescent="0.35">
      <c r="A2685" t="s">
        <v>85</v>
      </c>
      <c r="B2685" s="88">
        <v>45061</v>
      </c>
      <c r="C2685">
        <v>21.104497758987701</v>
      </c>
      <c r="D2685" t="s">
        <v>241</v>
      </c>
    </row>
    <row r="2686" spans="1:4" x14ac:dyDescent="0.35">
      <c r="A2686" t="s">
        <v>85</v>
      </c>
      <c r="B2686" s="88">
        <v>45153</v>
      </c>
      <c r="C2686">
        <v>21.614428553962799</v>
      </c>
      <c r="D2686" t="s">
        <v>241</v>
      </c>
    </row>
    <row r="2687" spans="1:4" x14ac:dyDescent="0.35">
      <c r="A2687" t="s">
        <v>85</v>
      </c>
      <c r="B2687" s="88">
        <v>45245</v>
      </c>
      <c r="C2687">
        <v>21.8452182609524</v>
      </c>
      <c r="D2687" t="s">
        <v>241</v>
      </c>
    </row>
    <row r="2688" spans="1:4" x14ac:dyDescent="0.35">
      <c r="A2688" t="s">
        <v>85</v>
      </c>
      <c r="B2688" s="88">
        <v>45337</v>
      </c>
      <c r="C2688">
        <v>21.719429693840802</v>
      </c>
      <c r="D2688" t="s">
        <v>241</v>
      </c>
    </row>
    <row r="2689" spans="1:4" x14ac:dyDescent="0.35">
      <c r="A2689" t="s">
        <v>85</v>
      </c>
      <c r="B2689" s="88">
        <v>45427</v>
      </c>
      <c r="C2689">
        <v>21.9870003044038</v>
      </c>
      <c r="D2689" t="s">
        <v>241</v>
      </c>
    </row>
    <row r="2690" spans="1:4" x14ac:dyDescent="0.35">
      <c r="A2690" t="s">
        <v>85</v>
      </c>
      <c r="B2690" s="88">
        <v>45519</v>
      </c>
      <c r="C2690">
        <v>22.2295535659939</v>
      </c>
      <c r="D2690" t="s">
        <v>241</v>
      </c>
    </row>
    <row r="2691" spans="1:4" x14ac:dyDescent="0.35">
      <c r="A2691" t="s">
        <v>85</v>
      </c>
      <c r="B2691" s="88">
        <v>45611</v>
      </c>
      <c r="C2691">
        <v>22.638400304916399</v>
      </c>
      <c r="D2691" t="s">
        <v>241</v>
      </c>
    </row>
    <row r="2692" spans="1:4" x14ac:dyDescent="0.35">
      <c r="A2692" t="s">
        <v>85</v>
      </c>
      <c r="B2692" s="88">
        <v>45703</v>
      </c>
      <c r="C2692">
        <v>22.9532200560867</v>
      </c>
      <c r="D2692" t="s">
        <v>241</v>
      </c>
    </row>
    <row r="2693" spans="1:4" x14ac:dyDescent="0.35">
      <c r="A2693" t="s">
        <v>85</v>
      </c>
      <c r="B2693" s="88">
        <v>45792</v>
      </c>
      <c r="C2693">
        <v>24.063329434562601</v>
      </c>
      <c r="D2693" t="s">
        <v>241</v>
      </c>
    </row>
    <row r="2694" spans="1:4" x14ac:dyDescent="0.35">
      <c r="A2694" t="s">
        <v>85</v>
      </c>
      <c r="B2694" s="88">
        <v>45884</v>
      </c>
      <c r="C2694">
        <v>24.196890576669698</v>
      </c>
      <c r="D2694" t="s">
        <v>241</v>
      </c>
    </row>
    <row r="2695" spans="1:4" x14ac:dyDescent="0.35">
      <c r="A2695" t="s">
        <v>85</v>
      </c>
      <c r="B2695" s="88">
        <v>45976</v>
      </c>
      <c r="C2695">
        <v>24.110774699832199</v>
      </c>
      <c r="D2695" t="s">
        <v>241</v>
      </c>
    </row>
    <row r="2696" spans="1:4" x14ac:dyDescent="0.35">
      <c r="A2696" t="s">
        <v>85</v>
      </c>
      <c r="B2696" s="88">
        <v>46068</v>
      </c>
      <c r="C2696">
        <v>25.421761978992201</v>
      </c>
      <c r="D2696" t="s">
        <v>241</v>
      </c>
    </row>
    <row r="2697" spans="1:4" x14ac:dyDescent="0.35">
      <c r="A2697" t="s">
        <v>85</v>
      </c>
      <c r="B2697" s="88">
        <v>46157</v>
      </c>
      <c r="C2697">
        <v>25.226307662357101</v>
      </c>
      <c r="D2697" t="s">
        <v>241</v>
      </c>
    </row>
    <row r="2698" spans="1:4" x14ac:dyDescent="0.35">
      <c r="A2698" t="s">
        <v>85</v>
      </c>
      <c r="B2698" s="88">
        <v>46249</v>
      </c>
      <c r="C2698">
        <v>25.334057567091701</v>
      </c>
      <c r="D2698" t="s">
        <v>241</v>
      </c>
    </row>
    <row r="2699" spans="1:4" x14ac:dyDescent="0.35">
      <c r="A2699" t="s">
        <v>24</v>
      </c>
      <c r="B2699" s="88">
        <v>43511</v>
      </c>
      <c r="C2699">
        <v>17.205042152676224</v>
      </c>
      <c r="D2699" t="s">
        <v>241</v>
      </c>
    </row>
    <row r="2700" spans="1:4" x14ac:dyDescent="0.35">
      <c r="A2700" t="s">
        <v>24</v>
      </c>
      <c r="B2700" s="88">
        <v>43600</v>
      </c>
      <c r="C2700">
        <v>16.061438584066579</v>
      </c>
      <c r="D2700" t="s">
        <v>241</v>
      </c>
    </row>
    <row r="2701" spans="1:4" x14ac:dyDescent="0.35">
      <c r="A2701" t="s">
        <v>24</v>
      </c>
      <c r="B2701" s="88">
        <v>43692</v>
      </c>
      <c r="C2701">
        <v>16.031672798333997</v>
      </c>
      <c r="D2701" t="s">
        <v>241</v>
      </c>
    </row>
    <row r="2702" spans="1:4" x14ac:dyDescent="0.35">
      <c r="A2702" t="s">
        <v>24</v>
      </c>
      <c r="B2702" s="88">
        <v>43784</v>
      </c>
      <c r="C2702">
        <v>16.636365663008782</v>
      </c>
      <c r="D2702" t="s">
        <v>241</v>
      </c>
    </row>
    <row r="2703" spans="1:4" x14ac:dyDescent="0.35">
      <c r="A2703" t="s">
        <v>24</v>
      </c>
      <c r="B2703" s="88">
        <v>43876</v>
      </c>
      <c r="C2703">
        <v>16.705783879265894</v>
      </c>
      <c r="D2703" t="s">
        <v>241</v>
      </c>
    </row>
    <row r="2704" spans="1:4" x14ac:dyDescent="0.35">
      <c r="A2704" t="s">
        <v>24</v>
      </c>
      <c r="B2704" s="88">
        <v>43966</v>
      </c>
      <c r="C2704">
        <v>18.45203042529581</v>
      </c>
      <c r="D2704" t="s">
        <v>241</v>
      </c>
    </row>
    <row r="2705" spans="1:4" x14ac:dyDescent="0.35">
      <c r="A2705" t="s">
        <v>24</v>
      </c>
      <c r="B2705" s="88">
        <v>44058</v>
      </c>
      <c r="C2705">
        <v>18.440975420885668</v>
      </c>
      <c r="D2705" t="s">
        <v>241</v>
      </c>
    </row>
    <row r="2706" spans="1:4" x14ac:dyDescent="0.35">
      <c r="A2706" t="s">
        <v>24</v>
      </c>
      <c r="B2706" s="88">
        <v>44150</v>
      </c>
      <c r="C2706">
        <v>18.439216260963281</v>
      </c>
      <c r="D2706" t="s">
        <v>241</v>
      </c>
    </row>
    <row r="2707" spans="1:4" x14ac:dyDescent="0.35">
      <c r="A2707" t="s">
        <v>24</v>
      </c>
      <c r="B2707" s="88">
        <v>44242</v>
      </c>
      <c r="C2707">
        <v>18.474752650545494</v>
      </c>
      <c r="D2707" t="s">
        <v>241</v>
      </c>
    </row>
    <row r="2708" spans="1:4" x14ac:dyDescent="0.35">
      <c r="A2708" t="s">
        <v>24</v>
      </c>
      <c r="B2708" s="88">
        <v>44331</v>
      </c>
      <c r="C2708">
        <v>19.689732921532638</v>
      </c>
      <c r="D2708" t="s">
        <v>241</v>
      </c>
    </row>
    <row r="2709" spans="1:4" x14ac:dyDescent="0.35">
      <c r="A2709" t="s">
        <v>24</v>
      </c>
      <c r="B2709" s="88">
        <v>44423</v>
      </c>
      <c r="C2709">
        <v>19.341751145693728</v>
      </c>
      <c r="D2709" t="s">
        <v>241</v>
      </c>
    </row>
    <row r="2710" spans="1:4" x14ac:dyDescent="0.35">
      <c r="A2710" t="s">
        <v>24</v>
      </c>
      <c r="B2710" s="88">
        <v>44515</v>
      </c>
      <c r="C2710">
        <v>19.368426468590442</v>
      </c>
      <c r="D2710" t="s">
        <v>241</v>
      </c>
    </row>
    <row r="2711" spans="1:4" x14ac:dyDescent="0.35">
      <c r="A2711" t="s">
        <v>24</v>
      </c>
      <c r="B2711" s="88">
        <v>44607</v>
      </c>
      <c r="C2711">
        <v>19.725900375091136</v>
      </c>
      <c r="D2711" t="s">
        <v>241</v>
      </c>
    </row>
    <row r="2712" spans="1:4" x14ac:dyDescent="0.35">
      <c r="A2712" t="s">
        <v>24</v>
      </c>
      <c r="B2712" s="88">
        <v>44696</v>
      </c>
      <c r="C2712">
        <v>19.724460589469686</v>
      </c>
      <c r="D2712" t="s">
        <v>241</v>
      </c>
    </row>
    <row r="2713" spans="1:4" x14ac:dyDescent="0.35">
      <c r="A2713" t="s">
        <v>24</v>
      </c>
      <c r="B2713" s="88">
        <v>44788</v>
      </c>
      <c r="C2713">
        <v>20.521993181167225</v>
      </c>
      <c r="D2713" t="s">
        <v>241</v>
      </c>
    </row>
    <row r="2714" spans="1:4" x14ac:dyDescent="0.35">
      <c r="A2714" t="s">
        <v>24</v>
      </c>
      <c r="B2714" s="88">
        <v>44880</v>
      </c>
      <c r="C2714">
        <v>20.563208519215131</v>
      </c>
      <c r="D2714" t="s">
        <v>241</v>
      </c>
    </row>
    <row r="2715" spans="1:4" x14ac:dyDescent="0.35">
      <c r="A2715" t="s">
        <v>24</v>
      </c>
      <c r="B2715" s="88">
        <v>44972</v>
      </c>
      <c r="C2715">
        <v>20.813096978267595</v>
      </c>
      <c r="D2715" t="s">
        <v>241</v>
      </c>
    </row>
    <row r="2716" spans="1:4" x14ac:dyDescent="0.35">
      <c r="A2716" t="s">
        <v>24</v>
      </c>
      <c r="B2716" s="88">
        <v>45061</v>
      </c>
      <c r="C2716">
        <v>19.9957617423957</v>
      </c>
      <c r="D2716" t="s">
        <v>241</v>
      </c>
    </row>
    <row r="2717" spans="1:4" x14ac:dyDescent="0.35">
      <c r="A2717" t="s">
        <v>24</v>
      </c>
      <c r="B2717" s="88">
        <v>45153</v>
      </c>
      <c r="C2717">
        <v>20.394648541212199</v>
      </c>
      <c r="D2717" t="s">
        <v>241</v>
      </c>
    </row>
    <row r="2718" spans="1:4" x14ac:dyDescent="0.35">
      <c r="A2718" t="s">
        <v>24</v>
      </c>
      <c r="B2718" s="88">
        <v>45245</v>
      </c>
      <c r="C2718">
        <v>20.6882370298292</v>
      </c>
      <c r="D2718" t="s">
        <v>241</v>
      </c>
    </row>
    <row r="2719" spans="1:4" x14ac:dyDescent="0.35">
      <c r="A2719" t="s">
        <v>24</v>
      </c>
      <c r="B2719" s="88">
        <v>45337</v>
      </c>
      <c r="C2719">
        <v>21.117070702122799</v>
      </c>
      <c r="D2719" t="s">
        <v>241</v>
      </c>
    </row>
    <row r="2720" spans="1:4" x14ac:dyDescent="0.35">
      <c r="A2720" t="s">
        <v>24</v>
      </c>
      <c r="B2720" s="88">
        <v>45427</v>
      </c>
      <c r="C2720">
        <v>21.028121013315602</v>
      </c>
      <c r="D2720" t="s">
        <v>241</v>
      </c>
    </row>
    <row r="2721" spans="1:4" x14ac:dyDescent="0.35">
      <c r="A2721" t="s">
        <v>24</v>
      </c>
      <c r="B2721" s="88">
        <v>45519</v>
      </c>
      <c r="C2721">
        <v>20.804201343537098</v>
      </c>
      <c r="D2721" t="s">
        <v>241</v>
      </c>
    </row>
    <row r="2722" spans="1:4" x14ac:dyDescent="0.35">
      <c r="A2722" t="s">
        <v>24</v>
      </c>
      <c r="B2722" s="88">
        <v>45611</v>
      </c>
      <c r="C2722">
        <v>21.740675699966399</v>
      </c>
      <c r="D2722" t="s">
        <v>241</v>
      </c>
    </row>
    <row r="2723" spans="1:4" x14ac:dyDescent="0.35">
      <c r="A2723" t="s">
        <v>24</v>
      </c>
      <c r="B2723" s="88">
        <v>45703</v>
      </c>
      <c r="C2723">
        <v>21.868281793959898</v>
      </c>
      <c r="D2723" t="s">
        <v>241</v>
      </c>
    </row>
    <row r="2724" spans="1:4" x14ac:dyDescent="0.35">
      <c r="A2724" t="s">
        <v>24</v>
      </c>
      <c r="B2724" s="88">
        <v>45792</v>
      </c>
      <c r="C2724">
        <v>23.5760426487013</v>
      </c>
      <c r="D2724" t="s">
        <v>241</v>
      </c>
    </row>
    <row r="2725" spans="1:4" x14ac:dyDescent="0.35">
      <c r="A2725" t="s">
        <v>24</v>
      </c>
      <c r="B2725" s="88">
        <v>45884</v>
      </c>
      <c r="C2725">
        <v>23.681676546538402</v>
      </c>
      <c r="D2725" t="s">
        <v>241</v>
      </c>
    </row>
    <row r="2726" spans="1:4" x14ac:dyDescent="0.35">
      <c r="A2726" t="s">
        <v>24</v>
      </c>
      <c r="B2726" s="88">
        <v>45976</v>
      </c>
      <c r="C2726">
        <v>23.677151364470198</v>
      </c>
      <c r="D2726" t="s">
        <v>241</v>
      </c>
    </row>
    <row r="2727" spans="1:4" x14ac:dyDescent="0.35">
      <c r="A2727" t="s">
        <v>24</v>
      </c>
      <c r="B2727" s="88">
        <v>46068</v>
      </c>
      <c r="C2727">
        <v>24.7279097327858</v>
      </c>
      <c r="D2727" t="s">
        <v>241</v>
      </c>
    </row>
    <row r="2728" spans="1:4" x14ac:dyDescent="0.35">
      <c r="A2728" t="s">
        <v>24</v>
      </c>
      <c r="B2728" s="88">
        <v>46157</v>
      </c>
      <c r="C2728">
        <v>25.181113742308799</v>
      </c>
      <c r="D2728" t="s">
        <v>241</v>
      </c>
    </row>
    <row r="2729" spans="1:4" x14ac:dyDescent="0.35">
      <c r="A2729" t="s">
        <v>24</v>
      </c>
      <c r="B2729" s="88">
        <v>46249</v>
      </c>
      <c r="C2729">
        <v>25.258005775784699</v>
      </c>
      <c r="D2729" t="s">
        <v>241</v>
      </c>
    </row>
    <row r="2730" spans="1:4" x14ac:dyDescent="0.35">
      <c r="A2730" t="s">
        <v>35</v>
      </c>
      <c r="B2730" s="88">
        <v>43511</v>
      </c>
      <c r="C2730">
        <v>18.539192831558537</v>
      </c>
      <c r="D2730" t="s">
        <v>241</v>
      </c>
    </row>
    <row r="2731" spans="1:4" x14ac:dyDescent="0.35">
      <c r="A2731" t="s">
        <v>35</v>
      </c>
      <c r="B2731" s="88">
        <v>43600</v>
      </c>
      <c r="C2731">
        <v>18.338037102570006</v>
      </c>
      <c r="D2731" t="s">
        <v>241</v>
      </c>
    </row>
    <row r="2732" spans="1:4" x14ac:dyDescent="0.35">
      <c r="A2732" t="s">
        <v>35</v>
      </c>
      <c r="B2732" s="88">
        <v>43692</v>
      </c>
      <c r="C2732">
        <v>18.265734343403082</v>
      </c>
      <c r="D2732" t="s">
        <v>241</v>
      </c>
    </row>
    <row r="2733" spans="1:4" x14ac:dyDescent="0.35">
      <c r="A2733" t="s">
        <v>35</v>
      </c>
      <c r="B2733" s="88">
        <v>43784</v>
      </c>
      <c r="C2733">
        <v>18.897673179939304</v>
      </c>
      <c r="D2733" t="s">
        <v>241</v>
      </c>
    </row>
    <row r="2734" spans="1:4" x14ac:dyDescent="0.35">
      <c r="A2734" t="s">
        <v>35</v>
      </c>
      <c r="B2734" s="88">
        <v>43876</v>
      </c>
      <c r="C2734">
        <v>19.062747824524365</v>
      </c>
      <c r="D2734" t="s">
        <v>241</v>
      </c>
    </row>
    <row r="2735" spans="1:4" x14ac:dyDescent="0.35">
      <c r="A2735" t="s">
        <v>35</v>
      </c>
      <c r="B2735" s="88">
        <v>43966</v>
      </c>
      <c r="C2735">
        <v>20.010035039967548</v>
      </c>
      <c r="D2735" t="s">
        <v>241</v>
      </c>
    </row>
    <row r="2736" spans="1:4" x14ac:dyDescent="0.35">
      <c r="A2736" t="s">
        <v>35</v>
      </c>
      <c r="B2736" s="88">
        <v>44058</v>
      </c>
      <c r="C2736">
        <v>19.978430107462643</v>
      </c>
      <c r="D2736" t="s">
        <v>241</v>
      </c>
    </row>
    <row r="2737" spans="1:4" x14ac:dyDescent="0.35">
      <c r="A2737" t="s">
        <v>35</v>
      </c>
      <c r="B2737" s="88">
        <v>44150</v>
      </c>
      <c r="C2737">
        <v>19.20759000400659</v>
      </c>
      <c r="D2737" t="s">
        <v>241</v>
      </c>
    </row>
    <row r="2738" spans="1:4" x14ac:dyDescent="0.35">
      <c r="A2738" t="s">
        <v>35</v>
      </c>
      <c r="B2738" s="88">
        <v>44242</v>
      </c>
      <c r="C2738">
        <v>19.17681273684606</v>
      </c>
      <c r="D2738" t="s">
        <v>241</v>
      </c>
    </row>
    <row r="2739" spans="1:4" x14ac:dyDescent="0.35">
      <c r="A2739" t="s">
        <v>35</v>
      </c>
      <c r="B2739" s="88">
        <v>44331</v>
      </c>
      <c r="C2739">
        <v>19.037355558006631</v>
      </c>
      <c r="D2739" t="s">
        <v>241</v>
      </c>
    </row>
    <row r="2740" spans="1:4" x14ac:dyDescent="0.35">
      <c r="A2740" t="s">
        <v>35</v>
      </c>
      <c r="B2740" s="88">
        <v>44423</v>
      </c>
      <c r="C2740">
        <v>19.72680903774895</v>
      </c>
      <c r="D2740" t="s">
        <v>241</v>
      </c>
    </row>
    <row r="2741" spans="1:4" x14ac:dyDescent="0.35">
      <c r="A2741" t="s">
        <v>35</v>
      </c>
      <c r="B2741" s="88">
        <v>44515</v>
      </c>
      <c r="C2741">
        <v>19.903381052019029</v>
      </c>
      <c r="D2741" t="s">
        <v>241</v>
      </c>
    </row>
    <row r="2742" spans="1:4" x14ac:dyDescent="0.35">
      <c r="A2742" t="s">
        <v>35</v>
      </c>
      <c r="B2742" s="88">
        <v>44607</v>
      </c>
      <c r="C2742">
        <v>20.124906801726617</v>
      </c>
      <c r="D2742" t="s">
        <v>241</v>
      </c>
    </row>
    <row r="2743" spans="1:4" x14ac:dyDescent="0.35">
      <c r="A2743" t="s">
        <v>35</v>
      </c>
      <c r="B2743" s="88">
        <v>44696</v>
      </c>
      <c r="C2743">
        <v>19.152671602056717</v>
      </c>
      <c r="D2743" t="s">
        <v>241</v>
      </c>
    </row>
    <row r="2744" spans="1:4" x14ac:dyDescent="0.35">
      <c r="A2744" t="s">
        <v>35</v>
      </c>
      <c r="B2744" s="88">
        <v>44788</v>
      </c>
      <c r="C2744">
        <v>20.225334343468479</v>
      </c>
      <c r="D2744" t="s">
        <v>241</v>
      </c>
    </row>
    <row r="2745" spans="1:4" x14ac:dyDescent="0.35">
      <c r="A2745" t="s">
        <v>35</v>
      </c>
      <c r="B2745" s="88">
        <v>44880</v>
      </c>
      <c r="C2745">
        <v>20.151595362365601</v>
      </c>
      <c r="D2745" t="s">
        <v>241</v>
      </c>
    </row>
    <row r="2746" spans="1:4" x14ac:dyDescent="0.35">
      <c r="A2746" t="s">
        <v>35</v>
      </c>
      <c r="B2746" s="88">
        <v>44972</v>
      </c>
      <c r="C2746">
        <v>20.461160219564139</v>
      </c>
      <c r="D2746" t="s">
        <v>241</v>
      </c>
    </row>
    <row r="2747" spans="1:4" x14ac:dyDescent="0.35">
      <c r="A2747" t="s">
        <v>35</v>
      </c>
      <c r="B2747" s="88">
        <v>45061</v>
      </c>
      <c r="C2747">
        <v>19.540388379272301</v>
      </c>
      <c r="D2747" t="s">
        <v>241</v>
      </c>
    </row>
    <row r="2748" spans="1:4" x14ac:dyDescent="0.35">
      <c r="A2748" t="s">
        <v>35</v>
      </c>
      <c r="B2748" s="88">
        <v>45153</v>
      </c>
      <c r="C2748">
        <v>19.9638350731462</v>
      </c>
      <c r="D2748" t="s">
        <v>241</v>
      </c>
    </row>
    <row r="2749" spans="1:4" x14ac:dyDescent="0.35">
      <c r="A2749" t="s">
        <v>35</v>
      </c>
      <c r="B2749" s="88">
        <v>45245</v>
      </c>
      <c r="C2749">
        <v>20.177776478780199</v>
      </c>
      <c r="D2749" t="s">
        <v>241</v>
      </c>
    </row>
    <row r="2750" spans="1:4" x14ac:dyDescent="0.35">
      <c r="A2750" t="s">
        <v>35</v>
      </c>
      <c r="B2750" s="88">
        <v>45337</v>
      </c>
      <c r="C2750">
        <v>20.432873251909601</v>
      </c>
      <c r="D2750" t="s">
        <v>241</v>
      </c>
    </row>
    <row r="2751" spans="1:4" x14ac:dyDescent="0.35">
      <c r="A2751" t="s">
        <v>35</v>
      </c>
      <c r="B2751" s="88">
        <v>45427</v>
      </c>
      <c r="C2751">
        <v>20.645675031247201</v>
      </c>
      <c r="D2751" t="s">
        <v>241</v>
      </c>
    </row>
    <row r="2752" spans="1:4" x14ac:dyDescent="0.35">
      <c r="A2752" t="s">
        <v>35</v>
      </c>
      <c r="B2752" s="88">
        <v>45519</v>
      </c>
      <c r="C2752">
        <v>21.563320592338801</v>
      </c>
      <c r="D2752" t="s">
        <v>241</v>
      </c>
    </row>
    <row r="2753" spans="1:4" x14ac:dyDescent="0.35">
      <c r="A2753" t="s">
        <v>35</v>
      </c>
      <c r="B2753" s="88">
        <v>45611</v>
      </c>
      <c r="C2753">
        <v>22.1845811233162</v>
      </c>
      <c r="D2753" t="s">
        <v>241</v>
      </c>
    </row>
    <row r="2754" spans="1:4" x14ac:dyDescent="0.35">
      <c r="A2754" t="s">
        <v>35</v>
      </c>
      <c r="B2754" s="88">
        <v>45703</v>
      </c>
      <c r="C2754">
        <v>22.340101048374599</v>
      </c>
      <c r="D2754" t="s">
        <v>241</v>
      </c>
    </row>
    <row r="2755" spans="1:4" x14ac:dyDescent="0.35">
      <c r="A2755" t="s">
        <v>35</v>
      </c>
      <c r="B2755" s="88">
        <v>45792</v>
      </c>
      <c r="C2755">
        <v>23.829998577611999</v>
      </c>
      <c r="D2755" t="s">
        <v>241</v>
      </c>
    </row>
    <row r="2756" spans="1:4" x14ac:dyDescent="0.35">
      <c r="A2756" t="s">
        <v>35</v>
      </c>
      <c r="B2756" s="88">
        <v>45884</v>
      </c>
      <c r="C2756">
        <v>23.910850214289201</v>
      </c>
      <c r="D2756" t="s">
        <v>241</v>
      </c>
    </row>
    <row r="2757" spans="1:4" x14ac:dyDescent="0.35">
      <c r="A2757" t="s">
        <v>35</v>
      </c>
      <c r="B2757" s="88">
        <v>45976</v>
      </c>
      <c r="C2757">
        <v>23.883009502158899</v>
      </c>
      <c r="D2757" t="s">
        <v>241</v>
      </c>
    </row>
    <row r="2758" spans="1:4" x14ac:dyDescent="0.35">
      <c r="A2758" t="s">
        <v>35</v>
      </c>
      <c r="B2758" s="88">
        <v>46068</v>
      </c>
      <c r="C2758">
        <v>25.144737262846</v>
      </c>
      <c r="D2758" t="s">
        <v>241</v>
      </c>
    </row>
    <row r="2759" spans="1:4" x14ac:dyDescent="0.35">
      <c r="A2759" t="s">
        <v>35</v>
      </c>
      <c r="B2759" s="88">
        <v>46157</v>
      </c>
      <c r="C2759">
        <v>24.080120665229799</v>
      </c>
      <c r="D2759" t="s">
        <v>241</v>
      </c>
    </row>
    <row r="2760" spans="1:4" x14ac:dyDescent="0.35">
      <c r="A2760" t="s">
        <v>35</v>
      </c>
      <c r="B2760" s="88">
        <v>46249</v>
      </c>
      <c r="C2760">
        <v>24.149468654187402</v>
      </c>
      <c r="D2760" t="s">
        <v>241</v>
      </c>
    </row>
    <row r="2761" spans="1:4" x14ac:dyDescent="0.35">
      <c r="A2761" t="s">
        <v>81</v>
      </c>
      <c r="B2761" s="88">
        <v>43511</v>
      </c>
      <c r="C2761">
        <v>16.98663633662742</v>
      </c>
      <c r="D2761" t="s">
        <v>241</v>
      </c>
    </row>
    <row r="2762" spans="1:4" x14ac:dyDescent="0.35">
      <c r="A2762" t="s">
        <v>81</v>
      </c>
      <c r="B2762" s="88">
        <v>43600</v>
      </c>
      <c r="C2762">
        <v>17.013474834226031</v>
      </c>
      <c r="D2762" t="s">
        <v>241</v>
      </c>
    </row>
    <row r="2763" spans="1:4" x14ac:dyDescent="0.35">
      <c r="A2763" t="s">
        <v>81</v>
      </c>
      <c r="B2763" s="88">
        <v>43692</v>
      </c>
      <c r="C2763">
        <v>16.931256426088574</v>
      </c>
      <c r="D2763" t="s">
        <v>241</v>
      </c>
    </row>
    <row r="2764" spans="1:4" x14ac:dyDescent="0.35">
      <c r="A2764" t="s">
        <v>81</v>
      </c>
      <c r="B2764" s="88">
        <v>43784</v>
      </c>
      <c r="C2764">
        <v>17.339763728787382</v>
      </c>
      <c r="D2764" t="s">
        <v>241</v>
      </c>
    </row>
    <row r="2765" spans="1:4" x14ac:dyDescent="0.35">
      <c r="A2765" t="s">
        <v>81</v>
      </c>
      <c r="B2765" s="88">
        <v>43876</v>
      </c>
      <c r="C2765">
        <v>17.652911344335983</v>
      </c>
      <c r="D2765" t="s">
        <v>241</v>
      </c>
    </row>
    <row r="2766" spans="1:4" x14ac:dyDescent="0.35">
      <c r="A2766" t="s">
        <v>81</v>
      </c>
      <c r="B2766" s="88">
        <v>43966</v>
      </c>
      <c r="C2766">
        <v>18.080165067482987</v>
      </c>
      <c r="D2766" t="s">
        <v>241</v>
      </c>
    </row>
    <row r="2767" spans="1:4" x14ac:dyDescent="0.35">
      <c r="A2767" t="s">
        <v>81</v>
      </c>
      <c r="B2767" s="88">
        <v>44058</v>
      </c>
      <c r="C2767">
        <v>18.086780288377895</v>
      </c>
      <c r="D2767" t="s">
        <v>241</v>
      </c>
    </row>
    <row r="2768" spans="1:4" x14ac:dyDescent="0.35">
      <c r="A2768" t="s">
        <v>81</v>
      </c>
      <c r="B2768" s="88">
        <v>44150</v>
      </c>
      <c r="C2768">
        <v>17.512325094168638</v>
      </c>
      <c r="D2768" t="s">
        <v>241</v>
      </c>
    </row>
    <row r="2769" spans="1:4" x14ac:dyDescent="0.35">
      <c r="A2769" t="s">
        <v>81</v>
      </c>
      <c r="B2769" s="88">
        <v>44242</v>
      </c>
      <c r="C2769">
        <v>17.54274861900754</v>
      </c>
      <c r="D2769" t="s">
        <v>241</v>
      </c>
    </row>
    <row r="2770" spans="1:4" x14ac:dyDescent="0.35">
      <c r="A2770" t="s">
        <v>81</v>
      </c>
      <c r="B2770" s="88">
        <v>44331</v>
      </c>
      <c r="C2770">
        <v>17.043587821452029</v>
      </c>
      <c r="D2770" t="s">
        <v>241</v>
      </c>
    </row>
    <row r="2771" spans="1:4" x14ac:dyDescent="0.35">
      <c r="A2771" t="s">
        <v>81</v>
      </c>
      <c r="B2771" s="88">
        <v>44423</v>
      </c>
      <c r="C2771">
        <v>17.915555082098798</v>
      </c>
      <c r="D2771" t="s">
        <v>241</v>
      </c>
    </row>
    <row r="2772" spans="1:4" x14ac:dyDescent="0.35">
      <c r="A2772" t="s">
        <v>81</v>
      </c>
      <c r="B2772" s="88">
        <v>44515</v>
      </c>
      <c r="C2772">
        <v>18.348326021350708</v>
      </c>
      <c r="D2772" t="s">
        <v>241</v>
      </c>
    </row>
    <row r="2773" spans="1:4" x14ac:dyDescent="0.35">
      <c r="A2773" t="s">
        <v>81</v>
      </c>
      <c r="B2773" s="88">
        <v>44607</v>
      </c>
      <c r="C2773">
        <v>18.836558581410969</v>
      </c>
      <c r="D2773" t="s">
        <v>241</v>
      </c>
    </row>
    <row r="2774" spans="1:4" x14ac:dyDescent="0.35">
      <c r="A2774" t="s">
        <v>81</v>
      </c>
      <c r="B2774" s="88">
        <v>44696</v>
      </c>
      <c r="C2774">
        <v>18.436201013789216</v>
      </c>
      <c r="D2774" t="s">
        <v>241</v>
      </c>
    </row>
    <row r="2775" spans="1:4" x14ac:dyDescent="0.35">
      <c r="A2775" t="s">
        <v>81</v>
      </c>
      <c r="B2775" s="88">
        <v>44788</v>
      </c>
      <c r="C2775">
        <v>19.003392818137421</v>
      </c>
      <c r="D2775" t="s">
        <v>241</v>
      </c>
    </row>
    <row r="2776" spans="1:4" x14ac:dyDescent="0.35">
      <c r="A2776" t="s">
        <v>81</v>
      </c>
      <c r="B2776" s="88">
        <v>44880</v>
      </c>
      <c r="C2776">
        <v>18.95910922990943</v>
      </c>
      <c r="D2776" t="s">
        <v>241</v>
      </c>
    </row>
    <row r="2777" spans="1:4" x14ac:dyDescent="0.35">
      <c r="A2777" t="s">
        <v>81</v>
      </c>
      <c r="B2777" s="88">
        <v>44972</v>
      </c>
      <c r="C2777">
        <v>19.124304265542435</v>
      </c>
      <c r="D2777" t="s">
        <v>241</v>
      </c>
    </row>
    <row r="2778" spans="1:4" x14ac:dyDescent="0.35">
      <c r="A2778" t="s">
        <v>81</v>
      </c>
      <c r="B2778" s="88">
        <v>45061</v>
      </c>
      <c r="C2778">
        <v>19.663884548898199</v>
      </c>
      <c r="D2778" t="s">
        <v>241</v>
      </c>
    </row>
    <row r="2779" spans="1:4" x14ac:dyDescent="0.35">
      <c r="A2779" t="s">
        <v>81</v>
      </c>
      <c r="B2779" s="88">
        <v>45153</v>
      </c>
      <c r="C2779">
        <v>20.561130615388301</v>
      </c>
      <c r="D2779" t="s">
        <v>241</v>
      </c>
    </row>
    <row r="2780" spans="1:4" x14ac:dyDescent="0.35">
      <c r="A2780" t="s">
        <v>81</v>
      </c>
      <c r="B2780" s="88">
        <v>45245</v>
      </c>
      <c r="C2780">
        <v>20.6308056412784</v>
      </c>
      <c r="D2780" t="s">
        <v>241</v>
      </c>
    </row>
    <row r="2781" spans="1:4" x14ac:dyDescent="0.35">
      <c r="A2781" t="s">
        <v>81</v>
      </c>
      <c r="B2781" s="88">
        <v>45337</v>
      </c>
      <c r="C2781">
        <v>20.868258647897999</v>
      </c>
      <c r="D2781" t="s">
        <v>241</v>
      </c>
    </row>
    <row r="2782" spans="1:4" x14ac:dyDescent="0.35">
      <c r="A2782" t="s">
        <v>81</v>
      </c>
      <c r="B2782" s="88">
        <v>45427</v>
      </c>
      <c r="C2782">
        <v>21.087406177618199</v>
      </c>
      <c r="D2782" t="s">
        <v>241</v>
      </c>
    </row>
    <row r="2783" spans="1:4" x14ac:dyDescent="0.35">
      <c r="A2783" t="s">
        <v>81</v>
      </c>
      <c r="B2783" s="88">
        <v>45519</v>
      </c>
      <c r="C2783">
        <v>22.566701335970698</v>
      </c>
      <c r="D2783" t="s">
        <v>241</v>
      </c>
    </row>
    <row r="2784" spans="1:4" x14ac:dyDescent="0.35">
      <c r="A2784" t="s">
        <v>81</v>
      </c>
      <c r="B2784" s="88">
        <v>45611</v>
      </c>
      <c r="C2784">
        <v>23.484861079830299</v>
      </c>
      <c r="D2784" t="s">
        <v>241</v>
      </c>
    </row>
    <row r="2785" spans="1:4" x14ac:dyDescent="0.35">
      <c r="A2785" t="s">
        <v>81</v>
      </c>
      <c r="B2785" s="88">
        <v>45703</v>
      </c>
      <c r="C2785">
        <v>23.6228746489416</v>
      </c>
      <c r="D2785" t="s">
        <v>241</v>
      </c>
    </row>
    <row r="2786" spans="1:4" x14ac:dyDescent="0.35">
      <c r="A2786" t="s">
        <v>81</v>
      </c>
      <c r="B2786" s="88">
        <v>45792</v>
      </c>
      <c r="C2786">
        <v>24.702633226820801</v>
      </c>
      <c r="D2786" t="s">
        <v>241</v>
      </c>
    </row>
    <row r="2787" spans="1:4" x14ac:dyDescent="0.35">
      <c r="A2787" t="s">
        <v>81</v>
      </c>
      <c r="B2787" s="88">
        <v>45884</v>
      </c>
      <c r="C2787">
        <v>24.855125472821399</v>
      </c>
      <c r="D2787" t="s">
        <v>241</v>
      </c>
    </row>
    <row r="2788" spans="1:4" x14ac:dyDescent="0.35">
      <c r="A2788" t="s">
        <v>81</v>
      </c>
      <c r="B2788" s="88">
        <v>45976</v>
      </c>
      <c r="C2788">
        <v>24.791433302731299</v>
      </c>
      <c r="D2788" t="s">
        <v>241</v>
      </c>
    </row>
    <row r="2789" spans="1:4" x14ac:dyDescent="0.35">
      <c r="A2789" t="s">
        <v>81</v>
      </c>
      <c r="B2789" s="88">
        <v>46068</v>
      </c>
      <c r="C2789">
        <v>25.694617466732002</v>
      </c>
      <c r="D2789" t="s">
        <v>241</v>
      </c>
    </row>
    <row r="2790" spans="1:4" x14ac:dyDescent="0.35">
      <c r="A2790" t="s">
        <v>81</v>
      </c>
      <c r="B2790" s="88">
        <v>46157</v>
      </c>
      <c r="C2790">
        <v>25.6386267539676</v>
      </c>
      <c r="D2790" t="s">
        <v>241</v>
      </c>
    </row>
    <row r="2791" spans="1:4" x14ac:dyDescent="0.35">
      <c r="A2791" t="s">
        <v>81</v>
      </c>
      <c r="B2791" s="88">
        <v>46249</v>
      </c>
      <c r="C2791">
        <v>25.6950535220391</v>
      </c>
      <c r="D2791" t="s">
        <v>241</v>
      </c>
    </row>
    <row r="2792" spans="1:4" x14ac:dyDescent="0.35">
      <c r="A2792" t="s">
        <v>27</v>
      </c>
      <c r="B2792" s="88">
        <v>43511</v>
      </c>
      <c r="C2792">
        <v>18.18270158188362</v>
      </c>
      <c r="D2792" t="s">
        <v>241</v>
      </c>
    </row>
    <row r="2793" spans="1:4" x14ac:dyDescent="0.35">
      <c r="A2793" t="s">
        <v>27</v>
      </c>
      <c r="B2793" s="88">
        <v>43600</v>
      </c>
      <c r="C2793">
        <v>18.08353798987655</v>
      </c>
      <c r="D2793" t="s">
        <v>241</v>
      </c>
    </row>
    <row r="2794" spans="1:4" x14ac:dyDescent="0.35">
      <c r="A2794" t="s">
        <v>27</v>
      </c>
      <c r="B2794" s="88">
        <v>43692</v>
      </c>
      <c r="C2794">
        <v>18.06558509159273</v>
      </c>
      <c r="D2794" t="s">
        <v>241</v>
      </c>
    </row>
    <row r="2795" spans="1:4" x14ac:dyDescent="0.35">
      <c r="A2795" t="s">
        <v>27</v>
      </c>
      <c r="B2795" s="88">
        <v>43784</v>
      </c>
      <c r="C2795">
        <v>18.589352657524348</v>
      </c>
      <c r="D2795" t="s">
        <v>241</v>
      </c>
    </row>
    <row r="2796" spans="1:4" x14ac:dyDescent="0.35">
      <c r="A2796" t="s">
        <v>27</v>
      </c>
      <c r="B2796" s="88">
        <v>43876</v>
      </c>
      <c r="C2796">
        <v>18.697224997197058</v>
      </c>
      <c r="D2796" t="s">
        <v>241</v>
      </c>
    </row>
    <row r="2797" spans="1:4" x14ac:dyDescent="0.35">
      <c r="A2797" t="s">
        <v>27</v>
      </c>
      <c r="B2797" s="88">
        <v>43966</v>
      </c>
      <c r="C2797">
        <v>19.528946258888897</v>
      </c>
      <c r="D2797" t="s">
        <v>241</v>
      </c>
    </row>
    <row r="2798" spans="1:4" x14ac:dyDescent="0.35">
      <c r="A2798" t="s">
        <v>27</v>
      </c>
      <c r="B2798" s="88">
        <v>44058</v>
      </c>
      <c r="C2798">
        <v>19.498897761650721</v>
      </c>
      <c r="D2798" t="s">
        <v>241</v>
      </c>
    </row>
    <row r="2799" spans="1:4" x14ac:dyDescent="0.35">
      <c r="A2799" t="s">
        <v>27</v>
      </c>
      <c r="B2799" s="88">
        <v>44150</v>
      </c>
      <c r="C2799">
        <v>18.636399073638991</v>
      </c>
      <c r="D2799" t="s">
        <v>241</v>
      </c>
    </row>
    <row r="2800" spans="1:4" x14ac:dyDescent="0.35">
      <c r="A2800" t="s">
        <v>27</v>
      </c>
      <c r="B2800" s="88">
        <v>44242</v>
      </c>
      <c r="C2800">
        <v>18.647897179245813</v>
      </c>
      <c r="D2800" t="s">
        <v>241</v>
      </c>
    </row>
    <row r="2801" spans="1:4" x14ac:dyDescent="0.35">
      <c r="A2801" t="s">
        <v>27</v>
      </c>
      <c r="B2801" s="88">
        <v>44331</v>
      </c>
      <c r="C2801">
        <v>18.380634165611951</v>
      </c>
      <c r="D2801" t="s">
        <v>241</v>
      </c>
    </row>
    <row r="2802" spans="1:4" x14ac:dyDescent="0.35">
      <c r="A2802" t="s">
        <v>27</v>
      </c>
      <c r="B2802" s="88">
        <v>44423</v>
      </c>
      <c r="C2802">
        <v>18.951508907134752</v>
      </c>
      <c r="D2802" t="s">
        <v>241</v>
      </c>
    </row>
    <row r="2803" spans="1:4" x14ac:dyDescent="0.35">
      <c r="A2803" t="s">
        <v>27</v>
      </c>
      <c r="B2803" s="88">
        <v>44515</v>
      </c>
      <c r="C2803">
        <v>19.399783228564708</v>
      </c>
      <c r="D2803" t="s">
        <v>241</v>
      </c>
    </row>
    <row r="2804" spans="1:4" x14ac:dyDescent="0.35">
      <c r="A2804" t="s">
        <v>27</v>
      </c>
      <c r="B2804" s="88">
        <v>44607</v>
      </c>
      <c r="C2804">
        <v>19.64407044633559</v>
      </c>
      <c r="D2804" t="s">
        <v>241</v>
      </c>
    </row>
    <row r="2805" spans="1:4" x14ac:dyDescent="0.35">
      <c r="A2805" t="s">
        <v>27</v>
      </c>
      <c r="B2805" s="88">
        <v>44696</v>
      </c>
      <c r="C2805">
        <v>18.59969323612939</v>
      </c>
      <c r="D2805" t="s">
        <v>241</v>
      </c>
    </row>
    <row r="2806" spans="1:4" x14ac:dyDescent="0.35">
      <c r="A2806" t="s">
        <v>27</v>
      </c>
      <c r="B2806" s="88">
        <v>44788</v>
      </c>
      <c r="C2806">
        <v>19.648311477132566</v>
      </c>
      <c r="D2806" t="s">
        <v>241</v>
      </c>
    </row>
    <row r="2807" spans="1:4" x14ac:dyDescent="0.35">
      <c r="A2807" t="s">
        <v>27</v>
      </c>
      <c r="B2807" s="88">
        <v>44880</v>
      </c>
      <c r="C2807">
        <v>19.510644209912833</v>
      </c>
      <c r="D2807" t="s">
        <v>241</v>
      </c>
    </row>
    <row r="2808" spans="1:4" x14ac:dyDescent="0.35">
      <c r="A2808" t="s">
        <v>27</v>
      </c>
      <c r="B2808" s="88">
        <v>44972</v>
      </c>
      <c r="C2808">
        <v>19.875945784846063</v>
      </c>
      <c r="D2808" t="s">
        <v>241</v>
      </c>
    </row>
    <row r="2809" spans="1:4" x14ac:dyDescent="0.35">
      <c r="A2809" t="s">
        <v>27</v>
      </c>
      <c r="B2809" s="88">
        <v>45061</v>
      </c>
      <c r="C2809">
        <v>19.920363505546401</v>
      </c>
      <c r="D2809" t="s">
        <v>241</v>
      </c>
    </row>
    <row r="2810" spans="1:4" x14ac:dyDescent="0.35">
      <c r="A2810" t="s">
        <v>27</v>
      </c>
      <c r="B2810" s="88">
        <v>45153</v>
      </c>
      <c r="C2810">
        <v>20.388871315153899</v>
      </c>
      <c r="D2810" t="s">
        <v>241</v>
      </c>
    </row>
    <row r="2811" spans="1:4" x14ac:dyDescent="0.35">
      <c r="A2811" t="s">
        <v>27</v>
      </c>
      <c r="B2811" s="88">
        <v>45245</v>
      </c>
      <c r="C2811">
        <v>20.594701116532299</v>
      </c>
      <c r="D2811" t="s">
        <v>241</v>
      </c>
    </row>
    <row r="2812" spans="1:4" x14ac:dyDescent="0.35">
      <c r="A2812" t="s">
        <v>27</v>
      </c>
      <c r="B2812" s="88">
        <v>45337</v>
      </c>
      <c r="C2812">
        <v>20.7797160604329</v>
      </c>
      <c r="D2812" t="s">
        <v>241</v>
      </c>
    </row>
    <row r="2813" spans="1:4" x14ac:dyDescent="0.35">
      <c r="A2813" t="s">
        <v>27</v>
      </c>
      <c r="B2813" s="88">
        <v>45427</v>
      </c>
      <c r="C2813">
        <v>20.846182608873701</v>
      </c>
      <c r="D2813" t="s">
        <v>241</v>
      </c>
    </row>
    <row r="2814" spans="1:4" x14ac:dyDescent="0.35">
      <c r="A2814" t="s">
        <v>27</v>
      </c>
      <c r="B2814" s="88">
        <v>45519</v>
      </c>
      <c r="C2814">
        <v>21.4099175755522</v>
      </c>
      <c r="D2814" t="s">
        <v>241</v>
      </c>
    </row>
    <row r="2815" spans="1:4" x14ac:dyDescent="0.35">
      <c r="A2815" t="s">
        <v>27</v>
      </c>
      <c r="B2815" s="88">
        <v>45611</v>
      </c>
      <c r="C2815">
        <v>22.211305859769499</v>
      </c>
      <c r="D2815" t="s">
        <v>241</v>
      </c>
    </row>
    <row r="2816" spans="1:4" x14ac:dyDescent="0.35">
      <c r="A2816" t="s">
        <v>27</v>
      </c>
      <c r="B2816" s="88">
        <v>45703</v>
      </c>
      <c r="C2816">
        <v>22.345167805798098</v>
      </c>
      <c r="D2816" t="s">
        <v>241</v>
      </c>
    </row>
    <row r="2817" spans="1:4" x14ac:dyDescent="0.35">
      <c r="A2817" t="s">
        <v>27</v>
      </c>
      <c r="B2817" s="88">
        <v>45792</v>
      </c>
      <c r="C2817">
        <v>23.706197049007901</v>
      </c>
      <c r="D2817" t="s">
        <v>241</v>
      </c>
    </row>
    <row r="2818" spans="1:4" x14ac:dyDescent="0.35">
      <c r="A2818" t="s">
        <v>27</v>
      </c>
      <c r="B2818" s="88">
        <v>45884</v>
      </c>
      <c r="C2818">
        <v>23.758578216933699</v>
      </c>
      <c r="D2818" t="s">
        <v>241</v>
      </c>
    </row>
    <row r="2819" spans="1:4" x14ac:dyDescent="0.35">
      <c r="A2819" t="s">
        <v>27</v>
      </c>
      <c r="B2819" s="88">
        <v>45976</v>
      </c>
      <c r="C2819">
        <v>23.7527620615326</v>
      </c>
      <c r="D2819" t="s">
        <v>241</v>
      </c>
    </row>
    <row r="2820" spans="1:4" x14ac:dyDescent="0.35">
      <c r="A2820" t="s">
        <v>27</v>
      </c>
      <c r="B2820" s="88">
        <v>46068</v>
      </c>
      <c r="C2820">
        <v>24.7351928757693</v>
      </c>
      <c r="D2820" t="s">
        <v>241</v>
      </c>
    </row>
    <row r="2821" spans="1:4" x14ac:dyDescent="0.35">
      <c r="A2821" t="s">
        <v>27</v>
      </c>
      <c r="B2821" s="88">
        <v>46157</v>
      </c>
      <c r="C2821">
        <v>23.9739503592834</v>
      </c>
      <c r="D2821" t="s">
        <v>241</v>
      </c>
    </row>
    <row r="2822" spans="1:4" x14ac:dyDescent="0.35">
      <c r="A2822" t="s">
        <v>27</v>
      </c>
      <c r="B2822" s="88">
        <v>46249</v>
      </c>
      <c r="C2822">
        <v>24.086174476440402</v>
      </c>
      <c r="D2822" t="s">
        <v>241</v>
      </c>
    </row>
    <row r="2823" spans="1:4" x14ac:dyDescent="0.35">
      <c r="A2823" t="s">
        <v>26</v>
      </c>
      <c r="B2823" s="88">
        <v>43511</v>
      </c>
      <c r="C2823">
        <v>20.921580205564148</v>
      </c>
      <c r="D2823" t="s">
        <v>241</v>
      </c>
    </row>
    <row r="2824" spans="1:4" x14ac:dyDescent="0.35">
      <c r="A2824" t="s">
        <v>26</v>
      </c>
      <c r="B2824" s="88">
        <v>43600</v>
      </c>
      <c r="C2824">
        <v>21.069462055768533</v>
      </c>
      <c r="D2824" t="s">
        <v>241</v>
      </c>
    </row>
    <row r="2825" spans="1:4" x14ac:dyDescent="0.35">
      <c r="A2825" t="s">
        <v>26</v>
      </c>
      <c r="B2825" s="88">
        <v>43692</v>
      </c>
      <c r="C2825">
        <v>21.326003153950957</v>
      </c>
      <c r="D2825" t="s">
        <v>241</v>
      </c>
    </row>
    <row r="2826" spans="1:4" x14ac:dyDescent="0.35">
      <c r="A2826" t="s">
        <v>26</v>
      </c>
      <c r="B2826" s="88">
        <v>43784</v>
      </c>
      <c r="C2826">
        <v>21.655255332024495</v>
      </c>
      <c r="D2826" t="s">
        <v>241</v>
      </c>
    </row>
    <row r="2827" spans="1:4" x14ac:dyDescent="0.35">
      <c r="A2827" t="s">
        <v>26</v>
      </c>
      <c r="B2827" s="88">
        <v>43876</v>
      </c>
      <c r="C2827">
        <v>21.98407762744359</v>
      </c>
      <c r="D2827" t="s">
        <v>241</v>
      </c>
    </row>
    <row r="2828" spans="1:4" x14ac:dyDescent="0.35">
      <c r="A2828" t="s">
        <v>26</v>
      </c>
      <c r="B2828" s="88">
        <v>43966</v>
      </c>
      <c r="C2828">
        <v>22.638699437654932</v>
      </c>
      <c r="D2828" t="s">
        <v>241</v>
      </c>
    </row>
    <row r="2829" spans="1:4" x14ac:dyDescent="0.35">
      <c r="A2829" t="s">
        <v>26</v>
      </c>
      <c r="B2829" s="88">
        <v>44058</v>
      </c>
      <c r="C2829">
        <v>22.600493812803332</v>
      </c>
      <c r="D2829" t="s">
        <v>241</v>
      </c>
    </row>
    <row r="2830" spans="1:4" x14ac:dyDescent="0.35">
      <c r="A2830" t="s">
        <v>26</v>
      </c>
      <c r="B2830" s="88">
        <v>44150</v>
      </c>
      <c r="C2830">
        <v>22.545594391415481</v>
      </c>
      <c r="D2830" t="s">
        <v>241</v>
      </c>
    </row>
    <row r="2831" spans="1:4" x14ac:dyDescent="0.35">
      <c r="A2831" t="s">
        <v>26</v>
      </c>
      <c r="B2831" s="88">
        <v>44242</v>
      </c>
      <c r="C2831">
        <v>22.532308017982285</v>
      </c>
      <c r="D2831" t="s">
        <v>241</v>
      </c>
    </row>
    <row r="2832" spans="1:4" x14ac:dyDescent="0.35">
      <c r="A2832" t="s">
        <v>26</v>
      </c>
      <c r="B2832" s="88">
        <v>44331</v>
      </c>
      <c r="C2832">
        <v>23.078247376195314</v>
      </c>
      <c r="D2832" t="s">
        <v>241</v>
      </c>
    </row>
    <row r="2833" spans="1:4" x14ac:dyDescent="0.35">
      <c r="A2833" t="s">
        <v>26</v>
      </c>
      <c r="B2833" s="88">
        <v>44423</v>
      </c>
      <c r="C2833">
        <v>23.291936523232216</v>
      </c>
      <c r="D2833" t="s">
        <v>241</v>
      </c>
    </row>
    <row r="2834" spans="1:4" x14ac:dyDescent="0.35">
      <c r="A2834" t="s">
        <v>26</v>
      </c>
      <c r="B2834" s="88">
        <v>44515</v>
      </c>
      <c r="C2834">
        <v>23.285393992590727</v>
      </c>
      <c r="D2834" t="s">
        <v>241</v>
      </c>
    </row>
    <row r="2835" spans="1:4" x14ac:dyDescent="0.35">
      <c r="A2835" t="s">
        <v>26</v>
      </c>
      <c r="B2835" s="88">
        <v>44607</v>
      </c>
      <c r="C2835">
        <v>23.271469576345673</v>
      </c>
      <c r="D2835" t="s">
        <v>241</v>
      </c>
    </row>
    <row r="2836" spans="1:4" x14ac:dyDescent="0.35">
      <c r="A2836" t="s">
        <v>26</v>
      </c>
      <c r="B2836" s="88">
        <v>44696</v>
      </c>
      <c r="C2836">
        <v>23.781691995919122</v>
      </c>
      <c r="D2836" t="s">
        <v>241</v>
      </c>
    </row>
    <row r="2837" spans="1:4" x14ac:dyDescent="0.35">
      <c r="A2837" t="s">
        <v>26</v>
      </c>
      <c r="B2837" s="88">
        <v>44788</v>
      </c>
      <c r="C2837">
        <v>23.985151882441702</v>
      </c>
      <c r="D2837" t="s">
        <v>241</v>
      </c>
    </row>
    <row r="2838" spans="1:4" x14ac:dyDescent="0.35">
      <c r="A2838" t="s">
        <v>26</v>
      </c>
      <c r="B2838" s="88">
        <v>44880</v>
      </c>
      <c r="C2838">
        <v>23.960876111940888</v>
      </c>
      <c r="D2838" t="s">
        <v>241</v>
      </c>
    </row>
    <row r="2839" spans="1:4" x14ac:dyDescent="0.35">
      <c r="A2839" t="s">
        <v>26</v>
      </c>
      <c r="B2839" s="88">
        <v>44972</v>
      </c>
      <c r="C2839">
        <v>23.365220431711275</v>
      </c>
      <c r="D2839" t="s">
        <v>241</v>
      </c>
    </row>
    <row r="2840" spans="1:4" x14ac:dyDescent="0.35">
      <c r="A2840" t="s">
        <v>26</v>
      </c>
      <c r="B2840" s="88">
        <v>45061</v>
      </c>
      <c r="C2840">
        <v>24.4286324950032</v>
      </c>
      <c r="D2840" t="s">
        <v>241</v>
      </c>
    </row>
    <row r="2841" spans="1:4" x14ac:dyDescent="0.35">
      <c r="A2841" t="s">
        <v>26</v>
      </c>
      <c r="B2841" s="88">
        <v>45153</v>
      </c>
      <c r="C2841">
        <v>24.7219569145912</v>
      </c>
      <c r="D2841" t="s">
        <v>241</v>
      </c>
    </row>
    <row r="2842" spans="1:4" x14ac:dyDescent="0.35">
      <c r="A2842" t="s">
        <v>26</v>
      </c>
      <c r="B2842" s="88">
        <v>45245</v>
      </c>
      <c r="C2842">
        <v>24.9486796709262</v>
      </c>
      <c r="D2842" t="s">
        <v>241</v>
      </c>
    </row>
    <row r="2843" spans="1:4" x14ac:dyDescent="0.35">
      <c r="A2843" t="s">
        <v>26</v>
      </c>
      <c r="B2843" s="88">
        <v>45337</v>
      </c>
      <c r="C2843">
        <v>24.8871266309859</v>
      </c>
      <c r="D2843" t="s">
        <v>241</v>
      </c>
    </row>
    <row r="2844" spans="1:4" x14ac:dyDescent="0.35">
      <c r="A2844" t="s">
        <v>26</v>
      </c>
      <c r="B2844" s="88">
        <v>45427</v>
      </c>
      <c r="C2844">
        <v>26.333448347663499</v>
      </c>
      <c r="D2844" t="s">
        <v>241</v>
      </c>
    </row>
    <row r="2845" spans="1:4" x14ac:dyDescent="0.35">
      <c r="A2845" t="s">
        <v>26</v>
      </c>
      <c r="B2845" s="88">
        <v>45519</v>
      </c>
      <c r="C2845">
        <v>27.048530192027801</v>
      </c>
      <c r="D2845" t="s">
        <v>241</v>
      </c>
    </row>
    <row r="2846" spans="1:4" x14ac:dyDescent="0.35">
      <c r="A2846" t="s">
        <v>26</v>
      </c>
      <c r="B2846" s="88">
        <v>45611</v>
      </c>
      <c r="C2846">
        <v>27.616143423868799</v>
      </c>
      <c r="D2846" t="s">
        <v>241</v>
      </c>
    </row>
    <row r="2847" spans="1:4" x14ac:dyDescent="0.35">
      <c r="A2847" t="s">
        <v>26</v>
      </c>
      <c r="B2847" s="88">
        <v>45703</v>
      </c>
      <c r="C2847">
        <v>27.7378134896875</v>
      </c>
      <c r="D2847" t="s">
        <v>241</v>
      </c>
    </row>
    <row r="2848" spans="1:4" x14ac:dyDescent="0.35">
      <c r="A2848" t="s">
        <v>26</v>
      </c>
      <c r="B2848" s="88">
        <v>45792</v>
      </c>
      <c r="C2848">
        <v>27.085540650115799</v>
      </c>
      <c r="D2848" t="s">
        <v>241</v>
      </c>
    </row>
    <row r="2849" spans="1:4" x14ac:dyDescent="0.35">
      <c r="A2849" t="s">
        <v>26</v>
      </c>
      <c r="B2849" s="88">
        <v>45884</v>
      </c>
      <c r="C2849">
        <v>27.1301366502456</v>
      </c>
      <c r="D2849" t="s">
        <v>241</v>
      </c>
    </row>
    <row r="2850" spans="1:4" x14ac:dyDescent="0.35">
      <c r="A2850" t="s">
        <v>26</v>
      </c>
      <c r="B2850" s="88">
        <v>45976</v>
      </c>
      <c r="C2850">
        <v>27.161147822780499</v>
      </c>
      <c r="D2850" t="s">
        <v>241</v>
      </c>
    </row>
    <row r="2851" spans="1:4" x14ac:dyDescent="0.35">
      <c r="A2851" t="s">
        <v>26</v>
      </c>
      <c r="B2851" s="88">
        <v>46068</v>
      </c>
      <c r="C2851">
        <v>27.833968354221199</v>
      </c>
      <c r="D2851" t="s">
        <v>241</v>
      </c>
    </row>
    <row r="2852" spans="1:4" x14ac:dyDescent="0.35">
      <c r="A2852" t="s">
        <v>26</v>
      </c>
      <c r="B2852" s="88">
        <v>46157</v>
      </c>
      <c r="C2852">
        <v>29.030118760156899</v>
      </c>
      <c r="D2852" t="s">
        <v>241</v>
      </c>
    </row>
    <row r="2853" spans="1:4" x14ac:dyDescent="0.35">
      <c r="A2853" t="s">
        <v>26</v>
      </c>
      <c r="B2853" s="88">
        <v>46249</v>
      </c>
      <c r="C2853">
        <v>28.741232168378101</v>
      </c>
      <c r="D2853" t="s">
        <v>241</v>
      </c>
    </row>
    <row r="2854" spans="1:4" x14ac:dyDescent="0.35">
      <c r="A2854" t="s">
        <v>33</v>
      </c>
      <c r="B2854" s="88">
        <v>43511</v>
      </c>
      <c r="C2854">
        <v>16.777538271491984</v>
      </c>
      <c r="D2854" t="s">
        <v>241</v>
      </c>
    </row>
    <row r="2855" spans="1:4" x14ac:dyDescent="0.35">
      <c r="A2855" t="s">
        <v>33</v>
      </c>
      <c r="B2855" s="88">
        <v>43600</v>
      </c>
      <c r="C2855">
        <v>16.914202515577276</v>
      </c>
      <c r="D2855" t="s">
        <v>241</v>
      </c>
    </row>
    <row r="2856" spans="1:4" x14ac:dyDescent="0.35">
      <c r="A2856" t="s">
        <v>33</v>
      </c>
      <c r="B2856" s="88">
        <v>43692</v>
      </c>
      <c r="C2856">
        <v>16.974791653064781</v>
      </c>
      <c r="D2856" t="s">
        <v>241</v>
      </c>
    </row>
    <row r="2857" spans="1:4" x14ac:dyDescent="0.35">
      <c r="A2857" t="s">
        <v>33</v>
      </c>
      <c r="B2857" s="88">
        <v>43784</v>
      </c>
      <c r="C2857">
        <v>17.521739081776726</v>
      </c>
      <c r="D2857" t="s">
        <v>241</v>
      </c>
    </row>
    <row r="2858" spans="1:4" x14ac:dyDescent="0.35">
      <c r="A2858" t="s">
        <v>33</v>
      </c>
      <c r="B2858" s="88">
        <v>43876</v>
      </c>
      <c r="C2858">
        <v>17.590632589285914</v>
      </c>
      <c r="D2858" t="s">
        <v>241</v>
      </c>
    </row>
    <row r="2859" spans="1:4" x14ac:dyDescent="0.35">
      <c r="A2859" t="s">
        <v>33</v>
      </c>
      <c r="B2859" s="88">
        <v>43966</v>
      </c>
      <c r="C2859">
        <v>18.079087941056695</v>
      </c>
      <c r="D2859" t="s">
        <v>241</v>
      </c>
    </row>
    <row r="2860" spans="1:4" x14ac:dyDescent="0.35">
      <c r="A2860" t="s">
        <v>33</v>
      </c>
      <c r="B2860" s="88">
        <v>44058</v>
      </c>
      <c r="C2860">
        <v>18.051481939760482</v>
      </c>
      <c r="D2860" t="s">
        <v>241</v>
      </c>
    </row>
    <row r="2861" spans="1:4" x14ac:dyDescent="0.35">
      <c r="A2861" t="s">
        <v>33</v>
      </c>
      <c r="B2861" s="88">
        <v>44150</v>
      </c>
      <c r="C2861">
        <v>18.040576117604576</v>
      </c>
      <c r="D2861" t="s">
        <v>241</v>
      </c>
    </row>
    <row r="2862" spans="1:4" x14ac:dyDescent="0.35">
      <c r="A2862" t="s">
        <v>33</v>
      </c>
      <c r="B2862" s="88">
        <v>44242</v>
      </c>
      <c r="C2862">
        <v>18.097637709777683</v>
      </c>
      <c r="D2862" t="s">
        <v>241</v>
      </c>
    </row>
    <row r="2863" spans="1:4" x14ac:dyDescent="0.35">
      <c r="A2863" t="s">
        <v>33</v>
      </c>
      <c r="B2863" s="88">
        <v>44331</v>
      </c>
      <c r="C2863">
        <v>19.125731262902395</v>
      </c>
      <c r="D2863" t="s">
        <v>241</v>
      </c>
    </row>
    <row r="2864" spans="1:4" x14ac:dyDescent="0.35">
      <c r="A2864" t="s">
        <v>33</v>
      </c>
      <c r="B2864" s="88">
        <v>44423</v>
      </c>
      <c r="C2864">
        <v>19.256184920273906</v>
      </c>
      <c r="D2864" t="s">
        <v>241</v>
      </c>
    </row>
    <row r="2865" spans="1:4" x14ac:dyDescent="0.35">
      <c r="A2865" t="s">
        <v>33</v>
      </c>
      <c r="B2865" s="88">
        <v>44515</v>
      </c>
      <c r="C2865">
        <v>19.571934907254093</v>
      </c>
      <c r="D2865" t="s">
        <v>241</v>
      </c>
    </row>
    <row r="2866" spans="1:4" x14ac:dyDescent="0.35">
      <c r="A2866" t="s">
        <v>33</v>
      </c>
      <c r="B2866" s="88">
        <v>44607</v>
      </c>
      <c r="C2866">
        <v>20.317703514448059</v>
      </c>
      <c r="D2866" t="s">
        <v>241</v>
      </c>
    </row>
    <row r="2867" spans="1:4" x14ac:dyDescent="0.35">
      <c r="A2867" t="s">
        <v>33</v>
      </c>
      <c r="B2867" s="88">
        <v>44696</v>
      </c>
      <c r="C2867">
        <v>20.842310496340964</v>
      </c>
      <c r="D2867" t="s">
        <v>241</v>
      </c>
    </row>
    <row r="2868" spans="1:4" x14ac:dyDescent="0.35">
      <c r="A2868" t="s">
        <v>33</v>
      </c>
      <c r="B2868" s="88">
        <v>44788</v>
      </c>
      <c r="C2868">
        <v>20.540473211662778</v>
      </c>
      <c r="D2868" t="s">
        <v>241</v>
      </c>
    </row>
    <row r="2869" spans="1:4" x14ac:dyDescent="0.35">
      <c r="A2869" t="s">
        <v>33</v>
      </c>
      <c r="B2869" s="88">
        <v>44880</v>
      </c>
      <c r="C2869">
        <v>20.515548183997879</v>
      </c>
      <c r="D2869" t="s">
        <v>241</v>
      </c>
    </row>
    <row r="2870" spans="1:4" x14ac:dyDescent="0.35">
      <c r="A2870" t="s">
        <v>33</v>
      </c>
      <c r="B2870" s="88">
        <v>44972</v>
      </c>
      <c r="C2870">
        <v>21.007702945262878</v>
      </c>
      <c r="D2870" t="s">
        <v>241</v>
      </c>
    </row>
    <row r="2871" spans="1:4" x14ac:dyDescent="0.35">
      <c r="A2871" t="s">
        <v>33</v>
      </c>
      <c r="B2871" s="88">
        <v>45061</v>
      </c>
      <c r="C2871">
        <v>20.516590377180499</v>
      </c>
      <c r="D2871" t="s">
        <v>241</v>
      </c>
    </row>
    <row r="2872" spans="1:4" x14ac:dyDescent="0.35">
      <c r="A2872" t="s">
        <v>33</v>
      </c>
      <c r="B2872" s="88">
        <v>45153</v>
      </c>
      <c r="C2872">
        <v>20.676692633020402</v>
      </c>
      <c r="D2872" t="s">
        <v>241</v>
      </c>
    </row>
    <row r="2873" spans="1:4" x14ac:dyDescent="0.35">
      <c r="A2873" t="s">
        <v>33</v>
      </c>
      <c r="B2873" s="88">
        <v>45245</v>
      </c>
      <c r="C2873">
        <v>20.761044303815002</v>
      </c>
      <c r="D2873" t="s">
        <v>241</v>
      </c>
    </row>
    <row r="2874" spans="1:4" x14ac:dyDescent="0.35">
      <c r="A2874" t="s">
        <v>33</v>
      </c>
      <c r="B2874" s="88">
        <v>45337</v>
      </c>
      <c r="C2874">
        <v>20.893430229138801</v>
      </c>
      <c r="D2874" t="s">
        <v>241</v>
      </c>
    </row>
    <row r="2875" spans="1:4" x14ac:dyDescent="0.35">
      <c r="A2875" t="s">
        <v>33</v>
      </c>
      <c r="B2875" s="88">
        <v>45427</v>
      </c>
      <c r="C2875">
        <v>21.132262493149199</v>
      </c>
      <c r="D2875" t="s">
        <v>241</v>
      </c>
    </row>
    <row r="2876" spans="1:4" x14ac:dyDescent="0.35">
      <c r="A2876" t="s">
        <v>33</v>
      </c>
      <c r="B2876" s="88">
        <v>45519</v>
      </c>
      <c r="C2876">
        <v>21.5635911063805</v>
      </c>
      <c r="D2876" t="s">
        <v>241</v>
      </c>
    </row>
    <row r="2877" spans="1:4" x14ac:dyDescent="0.35">
      <c r="A2877" t="s">
        <v>33</v>
      </c>
      <c r="B2877" s="88">
        <v>45611</v>
      </c>
      <c r="C2877">
        <v>22.0701593084401</v>
      </c>
      <c r="D2877" t="s">
        <v>241</v>
      </c>
    </row>
    <row r="2878" spans="1:4" x14ac:dyDescent="0.35">
      <c r="A2878" t="s">
        <v>33</v>
      </c>
      <c r="B2878" s="88">
        <v>45703</v>
      </c>
      <c r="C2878">
        <v>22.963071343233899</v>
      </c>
      <c r="D2878" t="s">
        <v>241</v>
      </c>
    </row>
    <row r="2879" spans="1:4" x14ac:dyDescent="0.35">
      <c r="A2879" t="s">
        <v>33</v>
      </c>
      <c r="B2879" s="88">
        <v>45792</v>
      </c>
      <c r="C2879">
        <v>23.633048284422198</v>
      </c>
      <c r="D2879" t="s">
        <v>241</v>
      </c>
    </row>
    <row r="2880" spans="1:4" x14ac:dyDescent="0.35">
      <c r="A2880" t="s">
        <v>33</v>
      </c>
      <c r="B2880" s="88">
        <v>45884</v>
      </c>
      <c r="C2880">
        <v>23.785495895512099</v>
      </c>
      <c r="D2880" t="s">
        <v>241</v>
      </c>
    </row>
    <row r="2881" spans="1:4" x14ac:dyDescent="0.35">
      <c r="A2881" t="s">
        <v>33</v>
      </c>
      <c r="B2881" s="88">
        <v>45976</v>
      </c>
      <c r="C2881">
        <v>23.876402895833301</v>
      </c>
      <c r="D2881" t="s">
        <v>241</v>
      </c>
    </row>
    <row r="2882" spans="1:4" x14ac:dyDescent="0.35">
      <c r="A2882" t="s">
        <v>33</v>
      </c>
      <c r="B2882" s="88">
        <v>46068</v>
      </c>
      <c r="C2882">
        <v>24.893865836876401</v>
      </c>
      <c r="D2882" t="s">
        <v>241</v>
      </c>
    </row>
    <row r="2883" spans="1:4" x14ac:dyDescent="0.35">
      <c r="A2883" t="s">
        <v>33</v>
      </c>
      <c r="B2883" s="88">
        <v>46157</v>
      </c>
      <c r="C2883">
        <v>24.099379817441001</v>
      </c>
      <c r="D2883" t="s">
        <v>241</v>
      </c>
    </row>
    <row r="2884" spans="1:4" x14ac:dyDescent="0.35">
      <c r="A2884" t="s">
        <v>33</v>
      </c>
      <c r="B2884" s="88">
        <v>46249</v>
      </c>
      <c r="C2884">
        <v>24.3712534040355</v>
      </c>
      <c r="D2884" t="s">
        <v>241</v>
      </c>
    </row>
    <row r="2885" spans="1:4" x14ac:dyDescent="0.35">
      <c r="A2885" t="s">
        <v>34</v>
      </c>
      <c r="B2885" s="88">
        <v>43511</v>
      </c>
      <c r="C2885">
        <v>17.343974116867585</v>
      </c>
      <c r="D2885" t="s">
        <v>241</v>
      </c>
    </row>
    <row r="2886" spans="1:4" x14ac:dyDescent="0.35">
      <c r="A2886" t="s">
        <v>34</v>
      </c>
      <c r="B2886" s="88">
        <v>43600</v>
      </c>
      <c r="C2886">
        <v>17.406846664756152</v>
      </c>
      <c r="D2886" t="s">
        <v>241</v>
      </c>
    </row>
    <row r="2887" spans="1:4" x14ac:dyDescent="0.35">
      <c r="A2887" t="s">
        <v>34</v>
      </c>
      <c r="B2887" s="88">
        <v>43692</v>
      </c>
      <c r="C2887">
        <v>17.448792558494503</v>
      </c>
      <c r="D2887" t="s">
        <v>241</v>
      </c>
    </row>
    <row r="2888" spans="1:4" x14ac:dyDescent="0.35">
      <c r="A2888" t="s">
        <v>34</v>
      </c>
      <c r="B2888" s="88">
        <v>43784</v>
      </c>
      <c r="C2888">
        <v>17.897926581855366</v>
      </c>
      <c r="D2888" t="s">
        <v>241</v>
      </c>
    </row>
    <row r="2889" spans="1:4" x14ac:dyDescent="0.35">
      <c r="A2889" t="s">
        <v>34</v>
      </c>
      <c r="B2889" s="88">
        <v>43876</v>
      </c>
      <c r="C2889">
        <v>18.145824813415739</v>
      </c>
      <c r="D2889" t="s">
        <v>241</v>
      </c>
    </row>
    <row r="2890" spans="1:4" x14ac:dyDescent="0.35">
      <c r="A2890" t="s">
        <v>34</v>
      </c>
      <c r="B2890" s="88">
        <v>43966</v>
      </c>
      <c r="C2890">
        <v>18.598764303000465</v>
      </c>
      <c r="D2890" t="s">
        <v>241</v>
      </c>
    </row>
    <row r="2891" spans="1:4" x14ac:dyDescent="0.35">
      <c r="A2891" t="s">
        <v>34</v>
      </c>
      <c r="B2891" s="88">
        <v>44058</v>
      </c>
      <c r="C2891">
        <v>18.606604762008104</v>
      </c>
      <c r="D2891" t="s">
        <v>241</v>
      </c>
    </row>
    <row r="2892" spans="1:4" x14ac:dyDescent="0.35">
      <c r="A2892" t="s">
        <v>34</v>
      </c>
      <c r="B2892" s="88">
        <v>44150</v>
      </c>
      <c r="C2892">
        <v>18.412291440744454</v>
      </c>
      <c r="D2892" t="s">
        <v>241</v>
      </c>
    </row>
    <row r="2893" spans="1:4" x14ac:dyDescent="0.35">
      <c r="A2893" t="s">
        <v>34</v>
      </c>
      <c r="B2893" s="88">
        <v>44242</v>
      </c>
      <c r="C2893">
        <v>18.540005251783597</v>
      </c>
      <c r="D2893" t="s">
        <v>241</v>
      </c>
    </row>
    <row r="2894" spans="1:4" x14ac:dyDescent="0.35">
      <c r="A2894" t="s">
        <v>34</v>
      </c>
      <c r="B2894" s="88">
        <v>44331</v>
      </c>
      <c r="C2894">
        <v>18.214527573929288</v>
      </c>
      <c r="D2894" t="s">
        <v>241</v>
      </c>
    </row>
    <row r="2895" spans="1:4" x14ac:dyDescent="0.35">
      <c r="A2895" t="s">
        <v>34</v>
      </c>
      <c r="B2895" s="88">
        <v>44423</v>
      </c>
      <c r="C2895">
        <v>19.023388154354823</v>
      </c>
      <c r="D2895" t="s">
        <v>241</v>
      </c>
    </row>
    <row r="2896" spans="1:4" x14ac:dyDescent="0.35">
      <c r="A2896" t="s">
        <v>34</v>
      </c>
      <c r="B2896" s="88">
        <v>44515</v>
      </c>
      <c r="C2896">
        <v>19.247934588964522</v>
      </c>
      <c r="D2896" t="s">
        <v>241</v>
      </c>
    </row>
    <row r="2897" spans="1:4" x14ac:dyDescent="0.35">
      <c r="A2897" t="s">
        <v>34</v>
      </c>
      <c r="B2897" s="88">
        <v>44607</v>
      </c>
      <c r="C2897">
        <v>20.04068898680573</v>
      </c>
      <c r="D2897" t="s">
        <v>241</v>
      </c>
    </row>
    <row r="2898" spans="1:4" x14ac:dyDescent="0.35">
      <c r="A2898" t="s">
        <v>34</v>
      </c>
      <c r="B2898" s="88">
        <v>44696</v>
      </c>
      <c r="C2898">
        <v>19.832269101066643</v>
      </c>
      <c r="D2898" t="s">
        <v>241</v>
      </c>
    </row>
    <row r="2899" spans="1:4" x14ac:dyDescent="0.35">
      <c r="A2899" t="s">
        <v>34</v>
      </c>
      <c r="B2899" s="88">
        <v>44788</v>
      </c>
      <c r="C2899">
        <v>19.707926755926962</v>
      </c>
      <c r="D2899" t="s">
        <v>241</v>
      </c>
    </row>
    <row r="2900" spans="1:4" x14ac:dyDescent="0.35">
      <c r="A2900" t="s">
        <v>34</v>
      </c>
      <c r="B2900" s="88">
        <v>44880</v>
      </c>
      <c r="C2900">
        <v>19.778864776989806</v>
      </c>
      <c r="D2900" t="s">
        <v>241</v>
      </c>
    </row>
    <row r="2901" spans="1:4" x14ac:dyDescent="0.35">
      <c r="A2901" t="s">
        <v>34</v>
      </c>
      <c r="B2901" s="88">
        <v>44972</v>
      </c>
      <c r="C2901">
        <v>20.287074622151522</v>
      </c>
      <c r="D2901" t="s">
        <v>241</v>
      </c>
    </row>
    <row r="2902" spans="1:4" x14ac:dyDescent="0.35">
      <c r="A2902" t="s">
        <v>34</v>
      </c>
      <c r="B2902" s="88">
        <v>45061</v>
      </c>
      <c r="C2902">
        <v>19.831598951655501</v>
      </c>
      <c r="D2902" t="s">
        <v>241</v>
      </c>
    </row>
    <row r="2903" spans="1:4" x14ac:dyDescent="0.35">
      <c r="A2903" t="s">
        <v>34</v>
      </c>
      <c r="B2903" s="88">
        <v>45153</v>
      </c>
      <c r="C2903">
        <v>20.139464942268201</v>
      </c>
      <c r="D2903" t="s">
        <v>241</v>
      </c>
    </row>
    <row r="2904" spans="1:4" x14ac:dyDescent="0.35">
      <c r="A2904" t="s">
        <v>34</v>
      </c>
      <c r="B2904" s="88">
        <v>45245</v>
      </c>
      <c r="C2904">
        <v>20.353404726496201</v>
      </c>
      <c r="D2904" t="s">
        <v>241</v>
      </c>
    </row>
    <row r="2905" spans="1:4" x14ac:dyDescent="0.35">
      <c r="A2905" t="s">
        <v>34</v>
      </c>
      <c r="B2905" s="88">
        <v>45337</v>
      </c>
      <c r="C2905">
        <v>20.468276896308598</v>
      </c>
      <c r="D2905" t="s">
        <v>241</v>
      </c>
    </row>
    <row r="2906" spans="1:4" x14ac:dyDescent="0.35">
      <c r="A2906" t="s">
        <v>34</v>
      </c>
      <c r="B2906" s="88">
        <v>45427</v>
      </c>
      <c r="C2906">
        <v>20.359241936998998</v>
      </c>
      <c r="D2906" t="s">
        <v>241</v>
      </c>
    </row>
    <row r="2907" spans="1:4" x14ac:dyDescent="0.35">
      <c r="A2907" t="s">
        <v>34</v>
      </c>
      <c r="B2907" s="88">
        <v>45519</v>
      </c>
      <c r="C2907">
        <v>22.370725149196801</v>
      </c>
      <c r="D2907" t="s">
        <v>241</v>
      </c>
    </row>
    <row r="2908" spans="1:4" x14ac:dyDescent="0.35">
      <c r="A2908" t="s">
        <v>34</v>
      </c>
      <c r="B2908" s="88">
        <v>45611</v>
      </c>
      <c r="C2908">
        <v>22.747764264733899</v>
      </c>
      <c r="D2908" t="s">
        <v>241</v>
      </c>
    </row>
    <row r="2909" spans="1:4" x14ac:dyDescent="0.35">
      <c r="A2909" t="s">
        <v>34</v>
      </c>
      <c r="B2909" s="88">
        <v>45703</v>
      </c>
      <c r="C2909">
        <v>23.454791691309499</v>
      </c>
      <c r="D2909" t="s">
        <v>241</v>
      </c>
    </row>
    <row r="2910" spans="1:4" x14ac:dyDescent="0.35">
      <c r="A2910" t="s">
        <v>34</v>
      </c>
      <c r="B2910" s="88">
        <v>45792</v>
      </c>
      <c r="C2910">
        <v>24.423115734681399</v>
      </c>
      <c r="D2910" t="s">
        <v>241</v>
      </c>
    </row>
    <row r="2911" spans="1:4" x14ac:dyDescent="0.35">
      <c r="A2911" t="s">
        <v>34</v>
      </c>
      <c r="B2911" s="88">
        <v>45884</v>
      </c>
      <c r="C2911">
        <v>24.557807661116598</v>
      </c>
      <c r="D2911" t="s">
        <v>241</v>
      </c>
    </row>
    <row r="2912" spans="1:4" x14ac:dyDescent="0.35">
      <c r="A2912" t="s">
        <v>34</v>
      </c>
      <c r="B2912" s="88">
        <v>45976</v>
      </c>
      <c r="C2912">
        <v>24.623851268920902</v>
      </c>
      <c r="D2912" t="s">
        <v>241</v>
      </c>
    </row>
    <row r="2913" spans="1:4" x14ac:dyDescent="0.35">
      <c r="A2913" t="s">
        <v>34</v>
      </c>
      <c r="B2913" s="88">
        <v>46068</v>
      </c>
      <c r="C2913">
        <v>26.175794783886399</v>
      </c>
      <c r="D2913" t="s">
        <v>241</v>
      </c>
    </row>
    <row r="2914" spans="1:4" x14ac:dyDescent="0.35">
      <c r="A2914" t="s">
        <v>34</v>
      </c>
      <c r="B2914" s="88">
        <v>46157</v>
      </c>
      <c r="C2914">
        <v>25.784570843028199</v>
      </c>
      <c r="D2914" t="s">
        <v>241</v>
      </c>
    </row>
    <row r="2915" spans="1:4" x14ac:dyDescent="0.35">
      <c r="A2915" t="s">
        <v>34</v>
      </c>
      <c r="B2915" s="88">
        <v>46249</v>
      </c>
      <c r="C2915">
        <v>25.930518409755098</v>
      </c>
      <c r="D2915" t="s">
        <v>241</v>
      </c>
    </row>
    <row r="2916" spans="1:4" x14ac:dyDescent="0.35">
      <c r="A2916" t="s">
        <v>29</v>
      </c>
      <c r="B2916" s="88">
        <v>43511</v>
      </c>
      <c r="C2916">
        <v>19.002592369613389</v>
      </c>
      <c r="D2916" t="s">
        <v>241</v>
      </c>
    </row>
    <row r="2917" spans="1:4" x14ac:dyDescent="0.35">
      <c r="A2917" t="s">
        <v>29</v>
      </c>
      <c r="B2917" s="88">
        <v>43600</v>
      </c>
      <c r="C2917">
        <v>18.953303628269243</v>
      </c>
      <c r="D2917" t="s">
        <v>241</v>
      </c>
    </row>
    <row r="2918" spans="1:4" x14ac:dyDescent="0.35">
      <c r="A2918" t="s">
        <v>29</v>
      </c>
      <c r="B2918" s="88">
        <v>43692</v>
      </c>
      <c r="C2918">
        <v>18.772994799973912</v>
      </c>
      <c r="D2918" t="s">
        <v>241</v>
      </c>
    </row>
    <row r="2919" spans="1:4" x14ac:dyDescent="0.35">
      <c r="A2919" t="s">
        <v>29</v>
      </c>
      <c r="B2919" s="88">
        <v>43784</v>
      </c>
      <c r="C2919">
        <v>19.44726067504541</v>
      </c>
      <c r="D2919" t="s">
        <v>241</v>
      </c>
    </row>
    <row r="2920" spans="1:4" x14ac:dyDescent="0.35">
      <c r="A2920" t="s">
        <v>29</v>
      </c>
      <c r="B2920" s="88">
        <v>43876</v>
      </c>
      <c r="C2920">
        <v>19.694405578319657</v>
      </c>
      <c r="D2920" t="s">
        <v>241</v>
      </c>
    </row>
    <row r="2921" spans="1:4" x14ac:dyDescent="0.35">
      <c r="A2921" t="s">
        <v>29</v>
      </c>
      <c r="B2921" s="88">
        <v>43966</v>
      </c>
      <c r="C2921">
        <v>20.568053213684255</v>
      </c>
      <c r="D2921" t="s">
        <v>241</v>
      </c>
    </row>
    <row r="2922" spans="1:4" x14ac:dyDescent="0.35">
      <c r="A2922" t="s">
        <v>29</v>
      </c>
      <c r="B2922" s="88">
        <v>44058</v>
      </c>
      <c r="C2922">
        <v>20.569051629912199</v>
      </c>
      <c r="D2922" t="s">
        <v>241</v>
      </c>
    </row>
    <row r="2923" spans="1:4" x14ac:dyDescent="0.35">
      <c r="A2923" t="s">
        <v>29</v>
      </c>
      <c r="B2923" s="88">
        <v>44150</v>
      </c>
      <c r="C2923">
        <v>20.55954219505649</v>
      </c>
      <c r="D2923" t="s">
        <v>241</v>
      </c>
    </row>
    <row r="2924" spans="1:4" x14ac:dyDescent="0.35">
      <c r="A2924" t="s">
        <v>29</v>
      </c>
      <c r="B2924" s="88">
        <v>44242</v>
      </c>
      <c r="C2924">
        <v>19.398852428065286</v>
      </c>
      <c r="D2924" t="s">
        <v>241</v>
      </c>
    </row>
    <row r="2925" spans="1:4" x14ac:dyDescent="0.35">
      <c r="A2925" t="s">
        <v>29</v>
      </c>
      <c r="B2925" s="88">
        <v>44331</v>
      </c>
      <c r="C2925">
        <v>20.729250683795957</v>
      </c>
      <c r="D2925" t="s">
        <v>241</v>
      </c>
    </row>
    <row r="2926" spans="1:4" x14ac:dyDescent="0.35">
      <c r="A2926" t="s">
        <v>29</v>
      </c>
      <c r="B2926" s="88">
        <v>44423</v>
      </c>
      <c r="C2926">
        <v>21.141848499664842</v>
      </c>
      <c r="D2926" t="s">
        <v>241</v>
      </c>
    </row>
    <row r="2927" spans="1:4" x14ac:dyDescent="0.35">
      <c r="A2927" t="s">
        <v>29</v>
      </c>
      <c r="B2927" s="88">
        <v>44515</v>
      </c>
      <c r="C2927">
        <v>21.653243108538955</v>
      </c>
      <c r="D2927" t="s">
        <v>241</v>
      </c>
    </row>
    <row r="2928" spans="1:4" x14ac:dyDescent="0.35">
      <c r="A2928" t="s">
        <v>29</v>
      </c>
      <c r="B2928" s="88">
        <v>44607</v>
      </c>
      <c r="C2928">
        <v>21.910014786518577</v>
      </c>
      <c r="D2928" t="s">
        <v>241</v>
      </c>
    </row>
    <row r="2929" spans="1:4" x14ac:dyDescent="0.35">
      <c r="A2929" t="s">
        <v>29</v>
      </c>
      <c r="B2929" s="88">
        <v>44696</v>
      </c>
      <c r="C2929">
        <v>22.254635738484438</v>
      </c>
      <c r="D2929" t="s">
        <v>241</v>
      </c>
    </row>
    <row r="2930" spans="1:4" x14ac:dyDescent="0.35">
      <c r="A2930" t="s">
        <v>29</v>
      </c>
      <c r="B2930" s="88">
        <v>44788</v>
      </c>
      <c r="C2930">
        <v>22.640367387747162</v>
      </c>
      <c r="D2930" t="s">
        <v>241</v>
      </c>
    </row>
    <row r="2931" spans="1:4" x14ac:dyDescent="0.35">
      <c r="A2931" t="s">
        <v>29</v>
      </c>
      <c r="B2931" s="88">
        <v>44880</v>
      </c>
      <c r="C2931">
        <v>22.822812982428871</v>
      </c>
      <c r="D2931" t="s">
        <v>241</v>
      </c>
    </row>
    <row r="2932" spans="1:4" x14ac:dyDescent="0.35">
      <c r="A2932" t="s">
        <v>29</v>
      </c>
      <c r="B2932" s="88">
        <v>44972</v>
      </c>
      <c r="C2932">
        <v>22.847021669544283</v>
      </c>
      <c r="D2932" t="s">
        <v>241</v>
      </c>
    </row>
    <row r="2933" spans="1:4" x14ac:dyDescent="0.35">
      <c r="A2933" t="s">
        <v>29</v>
      </c>
      <c r="B2933" s="88">
        <v>45061</v>
      </c>
      <c r="C2933">
        <v>22.6155547178275</v>
      </c>
      <c r="D2933" t="s">
        <v>241</v>
      </c>
    </row>
    <row r="2934" spans="1:4" x14ac:dyDescent="0.35">
      <c r="A2934" t="s">
        <v>29</v>
      </c>
      <c r="B2934" s="88">
        <v>45153</v>
      </c>
      <c r="C2934">
        <v>22.572664680116802</v>
      </c>
      <c r="D2934" t="s">
        <v>241</v>
      </c>
    </row>
    <row r="2935" spans="1:4" x14ac:dyDescent="0.35">
      <c r="A2935" t="s">
        <v>29</v>
      </c>
      <c r="B2935" s="88">
        <v>45245</v>
      </c>
      <c r="C2935">
        <v>23.042213137303001</v>
      </c>
      <c r="D2935" t="s">
        <v>241</v>
      </c>
    </row>
    <row r="2936" spans="1:4" x14ac:dyDescent="0.35">
      <c r="A2936" t="s">
        <v>29</v>
      </c>
      <c r="B2936" s="88">
        <v>45337</v>
      </c>
      <c r="C2936">
        <v>23.030017549394</v>
      </c>
      <c r="D2936" t="s">
        <v>241</v>
      </c>
    </row>
    <row r="2937" spans="1:4" x14ac:dyDescent="0.35">
      <c r="A2937" t="s">
        <v>29</v>
      </c>
      <c r="B2937" s="88">
        <v>45427</v>
      </c>
      <c r="C2937">
        <v>23.3370914025495</v>
      </c>
      <c r="D2937" t="s">
        <v>241</v>
      </c>
    </row>
    <row r="2938" spans="1:4" x14ac:dyDescent="0.35">
      <c r="A2938" t="s">
        <v>29</v>
      </c>
      <c r="B2938" s="88">
        <v>45519</v>
      </c>
      <c r="C2938">
        <v>23.6884246004803</v>
      </c>
      <c r="D2938" t="s">
        <v>241</v>
      </c>
    </row>
    <row r="2939" spans="1:4" x14ac:dyDescent="0.35">
      <c r="A2939" t="s">
        <v>29</v>
      </c>
      <c r="B2939" s="88">
        <v>45611</v>
      </c>
      <c r="C2939">
        <v>24.4386782041354</v>
      </c>
      <c r="D2939" t="s">
        <v>241</v>
      </c>
    </row>
    <row r="2940" spans="1:4" x14ac:dyDescent="0.35">
      <c r="A2940" t="s">
        <v>29</v>
      </c>
      <c r="B2940" s="88">
        <v>45703</v>
      </c>
      <c r="C2940">
        <v>24.716759596773102</v>
      </c>
      <c r="D2940" t="s">
        <v>241</v>
      </c>
    </row>
    <row r="2941" spans="1:4" x14ac:dyDescent="0.35">
      <c r="A2941" t="s">
        <v>29</v>
      </c>
      <c r="B2941" s="88">
        <v>45792</v>
      </c>
      <c r="C2941">
        <v>26.190994795195198</v>
      </c>
      <c r="D2941" t="s">
        <v>241</v>
      </c>
    </row>
    <row r="2942" spans="1:4" x14ac:dyDescent="0.35">
      <c r="A2942" t="s">
        <v>29</v>
      </c>
      <c r="B2942" s="88">
        <v>45884</v>
      </c>
      <c r="C2942">
        <v>26.464931721155299</v>
      </c>
      <c r="D2942" t="s">
        <v>241</v>
      </c>
    </row>
    <row r="2943" spans="1:4" x14ac:dyDescent="0.35">
      <c r="A2943" t="s">
        <v>29</v>
      </c>
      <c r="B2943" s="88">
        <v>45976</v>
      </c>
      <c r="C2943">
        <v>26.443249523770199</v>
      </c>
      <c r="D2943" t="s">
        <v>241</v>
      </c>
    </row>
    <row r="2944" spans="1:4" x14ac:dyDescent="0.35">
      <c r="A2944" t="s">
        <v>29</v>
      </c>
      <c r="B2944" s="88">
        <v>46068</v>
      </c>
      <c r="C2944">
        <v>27.182697257095601</v>
      </c>
      <c r="D2944" t="s">
        <v>241</v>
      </c>
    </row>
    <row r="2945" spans="1:4" x14ac:dyDescent="0.35">
      <c r="A2945" t="s">
        <v>29</v>
      </c>
      <c r="B2945" s="88">
        <v>46157</v>
      </c>
      <c r="C2945">
        <v>27.356171807947199</v>
      </c>
      <c r="D2945" t="s">
        <v>241</v>
      </c>
    </row>
    <row r="2946" spans="1:4" x14ac:dyDescent="0.35">
      <c r="A2946" t="s">
        <v>29</v>
      </c>
      <c r="B2946" s="88">
        <v>46249</v>
      </c>
      <c r="C2946">
        <v>27.475240557029601</v>
      </c>
      <c r="D2946" t="s">
        <v>241</v>
      </c>
    </row>
    <row r="2947" spans="1:4" x14ac:dyDescent="0.35">
      <c r="A2947" t="s">
        <v>36</v>
      </c>
      <c r="B2947" s="88">
        <v>43511</v>
      </c>
      <c r="C2947">
        <v>16.188359071960146</v>
      </c>
      <c r="D2947" t="s">
        <v>241</v>
      </c>
    </row>
    <row r="2948" spans="1:4" x14ac:dyDescent="0.35">
      <c r="A2948" t="s">
        <v>36</v>
      </c>
      <c r="B2948" s="88">
        <v>43600</v>
      </c>
      <c r="C2948">
        <v>16.555327374431194</v>
      </c>
      <c r="D2948" t="s">
        <v>241</v>
      </c>
    </row>
    <row r="2949" spans="1:4" x14ac:dyDescent="0.35">
      <c r="A2949" t="s">
        <v>36</v>
      </c>
      <c r="B2949" s="88">
        <v>43692</v>
      </c>
      <c r="C2949">
        <v>16.770794393676503</v>
      </c>
      <c r="D2949" t="s">
        <v>241</v>
      </c>
    </row>
    <row r="2950" spans="1:4" x14ac:dyDescent="0.35">
      <c r="A2950" t="s">
        <v>36</v>
      </c>
      <c r="B2950" s="88">
        <v>43784</v>
      </c>
      <c r="C2950">
        <v>17.301974268828936</v>
      </c>
      <c r="D2950" t="s">
        <v>241</v>
      </c>
    </row>
    <row r="2951" spans="1:4" x14ac:dyDescent="0.35">
      <c r="A2951" t="s">
        <v>36</v>
      </c>
      <c r="B2951" s="88">
        <v>43876</v>
      </c>
      <c r="C2951">
        <v>17.495076540076326</v>
      </c>
      <c r="D2951" t="s">
        <v>241</v>
      </c>
    </row>
    <row r="2952" spans="1:4" x14ac:dyDescent="0.35">
      <c r="A2952" t="s">
        <v>36</v>
      </c>
      <c r="B2952" s="88">
        <v>43966</v>
      </c>
      <c r="C2952">
        <v>17.761462689969687</v>
      </c>
      <c r="D2952" t="s">
        <v>241</v>
      </c>
    </row>
    <row r="2953" spans="1:4" x14ac:dyDescent="0.35">
      <c r="A2953" t="s">
        <v>36</v>
      </c>
      <c r="B2953" s="88">
        <v>44058</v>
      </c>
      <c r="C2953">
        <v>17.768134608263381</v>
      </c>
      <c r="D2953" t="s">
        <v>241</v>
      </c>
    </row>
    <row r="2954" spans="1:4" x14ac:dyDescent="0.35">
      <c r="A2954" t="s">
        <v>36</v>
      </c>
      <c r="B2954" s="88">
        <v>44150</v>
      </c>
      <c r="C2954">
        <v>17.531241442261173</v>
      </c>
      <c r="D2954" t="s">
        <v>241</v>
      </c>
    </row>
    <row r="2955" spans="1:4" x14ac:dyDescent="0.35">
      <c r="A2955" t="s">
        <v>36</v>
      </c>
      <c r="B2955" s="88">
        <v>44242</v>
      </c>
      <c r="C2955">
        <v>17.829624220729411</v>
      </c>
      <c r="D2955" t="s">
        <v>241</v>
      </c>
    </row>
    <row r="2956" spans="1:4" x14ac:dyDescent="0.35">
      <c r="A2956" t="s">
        <v>36</v>
      </c>
      <c r="B2956" s="88">
        <v>44331</v>
      </c>
      <c r="C2956">
        <v>17.704823595990369</v>
      </c>
      <c r="D2956" t="s">
        <v>241</v>
      </c>
    </row>
    <row r="2957" spans="1:4" x14ac:dyDescent="0.35">
      <c r="A2957" t="s">
        <v>36</v>
      </c>
      <c r="B2957" s="88">
        <v>44423</v>
      </c>
      <c r="C2957">
        <v>18.256323714815807</v>
      </c>
      <c r="D2957" t="s">
        <v>241</v>
      </c>
    </row>
    <row r="2958" spans="1:4" x14ac:dyDescent="0.35">
      <c r="A2958" t="s">
        <v>36</v>
      </c>
      <c r="B2958" s="88">
        <v>44515</v>
      </c>
      <c r="C2958">
        <v>18.64978022113899</v>
      </c>
      <c r="D2958" t="s">
        <v>241</v>
      </c>
    </row>
    <row r="2959" spans="1:4" x14ac:dyDescent="0.35">
      <c r="A2959" t="s">
        <v>36</v>
      </c>
      <c r="B2959" s="88">
        <v>44607</v>
      </c>
      <c r="C2959">
        <v>19.282810033889724</v>
      </c>
      <c r="D2959" t="s">
        <v>241</v>
      </c>
    </row>
    <row r="2960" spans="1:4" x14ac:dyDescent="0.35">
      <c r="A2960" t="s">
        <v>36</v>
      </c>
      <c r="B2960" s="88">
        <v>44696</v>
      </c>
      <c r="C2960">
        <v>18.798743334825925</v>
      </c>
      <c r="D2960" t="s">
        <v>241</v>
      </c>
    </row>
    <row r="2961" spans="1:4" x14ac:dyDescent="0.35">
      <c r="A2961" t="s">
        <v>36</v>
      </c>
      <c r="B2961" s="88">
        <v>44788</v>
      </c>
      <c r="C2961">
        <v>19.10349330686692</v>
      </c>
      <c r="D2961" t="s">
        <v>241</v>
      </c>
    </row>
    <row r="2962" spans="1:4" x14ac:dyDescent="0.35">
      <c r="A2962" t="s">
        <v>36</v>
      </c>
      <c r="B2962" s="88">
        <v>44880</v>
      </c>
      <c r="C2962">
        <v>19.103583845944367</v>
      </c>
      <c r="D2962" t="s">
        <v>241</v>
      </c>
    </row>
    <row r="2963" spans="1:4" x14ac:dyDescent="0.35">
      <c r="A2963" t="s">
        <v>36</v>
      </c>
      <c r="B2963" s="88">
        <v>44972</v>
      </c>
      <c r="C2963">
        <v>19.850213298408381</v>
      </c>
      <c r="D2963" t="s">
        <v>241</v>
      </c>
    </row>
    <row r="2964" spans="1:4" x14ac:dyDescent="0.35">
      <c r="A2964" t="s">
        <v>36</v>
      </c>
      <c r="B2964" s="88">
        <v>45061</v>
      </c>
      <c r="C2964">
        <v>18.7384372717944</v>
      </c>
      <c r="D2964" t="s">
        <v>241</v>
      </c>
    </row>
    <row r="2965" spans="1:4" x14ac:dyDescent="0.35">
      <c r="A2965" t="s">
        <v>36</v>
      </c>
      <c r="B2965" s="88">
        <v>45153</v>
      </c>
      <c r="C2965">
        <v>18.782940227124602</v>
      </c>
      <c r="D2965" t="s">
        <v>241</v>
      </c>
    </row>
    <row r="2966" spans="1:4" x14ac:dyDescent="0.35">
      <c r="A2966" t="s">
        <v>36</v>
      </c>
      <c r="B2966" s="88">
        <v>45245</v>
      </c>
      <c r="C2966">
        <v>19.076302912766099</v>
      </c>
      <c r="D2966" t="s">
        <v>241</v>
      </c>
    </row>
    <row r="2967" spans="1:4" x14ac:dyDescent="0.35">
      <c r="A2967" t="s">
        <v>36</v>
      </c>
      <c r="B2967" s="88">
        <v>45337</v>
      </c>
      <c r="C2967">
        <v>19.281226666525001</v>
      </c>
      <c r="D2967" t="s">
        <v>241</v>
      </c>
    </row>
    <row r="2968" spans="1:4" x14ac:dyDescent="0.35">
      <c r="A2968" t="s">
        <v>36</v>
      </c>
      <c r="B2968" s="88">
        <v>45427</v>
      </c>
      <c r="C2968">
        <v>19.908215095187</v>
      </c>
      <c r="D2968" t="s">
        <v>241</v>
      </c>
    </row>
    <row r="2969" spans="1:4" x14ac:dyDescent="0.35">
      <c r="A2969" t="s">
        <v>36</v>
      </c>
      <c r="B2969" s="88">
        <v>45519</v>
      </c>
      <c r="C2969">
        <v>19.919012240401699</v>
      </c>
      <c r="D2969" t="s">
        <v>241</v>
      </c>
    </row>
    <row r="2970" spans="1:4" x14ac:dyDescent="0.35">
      <c r="A2970" t="s">
        <v>36</v>
      </c>
      <c r="B2970" s="88">
        <v>45611</v>
      </c>
      <c r="C2970">
        <v>20.726218861268499</v>
      </c>
      <c r="D2970" t="s">
        <v>241</v>
      </c>
    </row>
    <row r="2971" spans="1:4" x14ac:dyDescent="0.35">
      <c r="A2971" t="s">
        <v>36</v>
      </c>
      <c r="B2971" s="88">
        <v>45703</v>
      </c>
      <c r="C2971">
        <v>21.380264272087199</v>
      </c>
      <c r="D2971" t="s">
        <v>241</v>
      </c>
    </row>
    <row r="2972" spans="1:4" x14ac:dyDescent="0.35">
      <c r="A2972" t="s">
        <v>36</v>
      </c>
      <c r="B2972" s="88">
        <v>45792</v>
      </c>
      <c r="C2972">
        <v>22.1674285024942</v>
      </c>
      <c r="D2972" t="s">
        <v>241</v>
      </c>
    </row>
    <row r="2973" spans="1:4" x14ac:dyDescent="0.35">
      <c r="A2973" t="s">
        <v>36</v>
      </c>
      <c r="B2973" s="88">
        <v>45884</v>
      </c>
      <c r="C2973">
        <v>22.631235421903199</v>
      </c>
      <c r="D2973" t="s">
        <v>241</v>
      </c>
    </row>
    <row r="2974" spans="1:4" x14ac:dyDescent="0.35">
      <c r="A2974" t="s">
        <v>36</v>
      </c>
      <c r="B2974" s="88">
        <v>45976</v>
      </c>
      <c r="C2974">
        <v>22.632954448382499</v>
      </c>
      <c r="D2974" t="s">
        <v>241</v>
      </c>
    </row>
    <row r="2975" spans="1:4" x14ac:dyDescent="0.35">
      <c r="A2975" t="s">
        <v>36</v>
      </c>
      <c r="B2975" s="88">
        <v>46068</v>
      </c>
      <c r="C2975">
        <v>23.519136399178901</v>
      </c>
      <c r="D2975" t="s">
        <v>241</v>
      </c>
    </row>
    <row r="2976" spans="1:4" x14ac:dyDescent="0.35">
      <c r="A2976" t="s">
        <v>36</v>
      </c>
      <c r="B2976" s="88">
        <v>46157</v>
      </c>
      <c r="C2976">
        <v>21.714898844369301</v>
      </c>
      <c r="D2976" t="s">
        <v>241</v>
      </c>
    </row>
    <row r="2977" spans="1:4" x14ac:dyDescent="0.35">
      <c r="A2977" t="s">
        <v>36</v>
      </c>
      <c r="B2977" s="88">
        <v>46249</v>
      </c>
      <c r="C2977">
        <v>21.9643685175499</v>
      </c>
      <c r="D2977" t="s">
        <v>241</v>
      </c>
    </row>
    <row r="2978" spans="1:4" x14ac:dyDescent="0.35">
      <c r="A2978" t="s">
        <v>30</v>
      </c>
      <c r="B2978" s="88">
        <v>43511</v>
      </c>
      <c r="C2978">
        <v>19.783142925915868</v>
      </c>
      <c r="D2978" t="s">
        <v>241</v>
      </c>
    </row>
    <row r="2979" spans="1:4" x14ac:dyDescent="0.35">
      <c r="A2979" t="s">
        <v>30</v>
      </c>
      <c r="B2979" s="88">
        <v>43600</v>
      </c>
      <c r="C2979">
        <v>19.454774090482445</v>
      </c>
      <c r="D2979" t="s">
        <v>241</v>
      </c>
    </row>
    <row r="2980" spans="1:4" x14ac:dyDescent="0.35">
      <c r="A2980" t="s">
        <v>30</v>
      </c>
      <c r="B2980" s="88">
        <v>43692</v>
      </c>
      <c r="C2980">
        <v>19.636597934942092</v>
      </c>
      <c r="D2980" t="s">
        <v>241</v>
      </c>
    </row>
    <row r="2981" spans="1:4" x14ac:dyDescent="0.35">
      <c r="A2981" t="s">
        <v>30</v>
      </c>
      <c r="B2981" s="88">
        <v>43784</v>
      </c>
      <c r="C2981">
        <v>19.82094853177837</v>
      </c>
      <c r="D2981" t="s">
        <v>241</v>
      </c>
    </row>
    <row r="2982" spans="1:4" x14ac:dyDescent="0.35">
      <c r="A2982" t="s">
        <v>30</v>
      </c>
      <c r="B2982" s="88">
        <v>43876</v>
      </c>
      <c r="C2982">
        <v>19.96278470205943</v>
      </c>
      <c r="D2982" t="s">
        <v>241</v>
      </c>
    </row>
    <row r="2983" spans="1:4" x14ac:dyDescent="0.35">
      <c r="A2983" t="s">
        <v>30</v>
      </c>
      <c r="B2983" s="88">
        <v>43966</v>
      </c>
      <c r="C2983">
        <v>20.675420120248472</v>
      </c>
      <c r="D2983" t="s">
        <v>241</v>
      </c>
    </row>
    <row r="2984" spans="1:4" x14ac:dyDescent="0.35">
      <c r="A2984" t="s">
        <v>30</v>
      </c>
      <c r="B2984" s="88">
        <v>44058</v>
      </c>
      <c r="C2984">
        <v>20.655697763446305</v>
      </c>
      <c r="D2984" t="s">
        <v>241</v>
      </c>
    </row>
    <row r="2985" spans="1:4" x14ac:dyDescent="0.35">
      <c r="A2985" t="s">
        <v>30</v>
      </c>
      <c r="B2985" s="88">
        <v>44150</v>
      </c>
      <c r="C2985">
        <v>20.623289462701941</v>
      </c>
      <c r="D2985" t="s">
        <v>241</v>
      </c>
    </row>
    <row r="2986" spans="1:4" x14ac:dyDescent="0.35">
      <c r="A2986" t="s">
        <v>30</v>
      </c>
      <c r="B2986" s="88">
        <v>44242</v>
      </c>
      <c r="C2986">
        <v>20.643742753484144</v>
      </c>
      <c r="D2986" t="s">
        <v>241</v>
      </c>
    </row>
    <row r="2987" spans="1:4" x14ac:dyDescent="0.35">
      <c r="A2987" t="s">
        <v>30</v>
      </c>
      <c r="B2987" s="88">
        <v>44331</v>
      </c>
      <c r="C2987">
        <v>21.23298450219049</v>
      </c>
      <c r="D2987" t="s">
        <v>241</v>
      </c>
    </row>
    <row r="2988" spans="1:4" x14ac:dyDescent="0.35">
      <c r="A2988" t="s">
        <v>30</v>
      </c>
      <c r="B2988" s="88">
        <v>44423</v>
      </c>
      <c r="C2988">
        <v>21.259117996018286</v>
      </c>
      <c r="D2988" t="s">
        <v>241</v>
      </c>
    </row>
    <row r="2989" spans="1:4" x14ac:dyDescent="0.35">
      <c r="A2989" t="s">
        <v>30</v>
      </c>
      <c r="B2989" s="88">
        <v>44515</v>
      </c>
      <c r="C2989">
        <v>21.197822605568032</v>
      </c>
      <c r="D2989" t="s">
        <v>241</v>
      </c>
    </row>
    <row r="2990" spans="1:4" x14ac:dyDescent="0.35">
      <c r="A2990" t="s">
        <v>30</v>
      </c>
      <c r="B2990" s="88">
        <v>44607</v>
      </c>
      <c r="C2990">
        <v>21.322017391211649</v>
      </c>
      <c r="D2990" t="s">
        <v>241</v>
      </c>
    </row>
    <row r="2991" spans="1:4" x14ac:dyDescent="0.35">
      <c r="A2991" t="s">
        <v>30</v>
      </c>
      <c r="B2991" s="88">
        <v>44696</v>
      </c>
      <c r="C2991">
        <v>21.77891388754573</v>
      </c>
      <c r="D2991" t="s">
        <v>241</v>
      </c>
    </row>
    <row r="2992" spans="1:4" x14ac:dyDescent="0.35">
      <c r="A2992" t="s">
        <v>30</v>
      </c>
      <c r="B2992" s="88">
        <v>44788</v>
      </c>
      <c r="C2992">
        <v>21.797635642614921</v>
      </c>
      <c r="D2992" t="s">
        <v>241</v>
      </c>
    </row>
    <row r="2993" spans="1:4" x14ac:dyDescent="0.35">
      <c r="A2993" t="s">
        <v>30</v>
      </c>
      <c r="B2993" s="88">
        <v>44880</v>
      </c>
      <c r="C2993">
        <v>21.778920617186429</v>
      </c>
      <c r="D2993" t="s">
        <v>241</v>
      </c>
    </row>
    <row r="2994" spans="1:4" x14ac:dyDescent="0.35">
      <c r="A2994" t="s">
        <v>30</v>
      </c>
      <c r="B2994" s="88">
        <v>44972</v>
      </c>
      <c r="C2994">
        <v>21.81744169864087</v>
      </c>
      <c r="D2994" t="s">
        <v>241</v>
      </c>
    </row>
    <row r="2995" spans="1:4" x14ac:dyDescent="0.35">
      <c r="A2995" t="s">
        <v>30</v>
      </c>
      <c r="B2995" s="88">
        <v>45061</v>
      </c>
      <c r="C2995">
        <v>22.143589084869301</v>
      </c>
      <c r="D2995" t="s">
        <v>241</v>
      </c>
    </row>
    <row r="2996" spans="1:4" x14ac:dyDescent="0.35">
      <c r="A2996" t="s">
        <v>30</v>
      </c>
      <c r="B2996" s="88">
        <v>45153</v>
      </c>
      <c r="C2996">
        <v>22.3446489621547</v>
      </c>
      <c r="D2996" t="s">
        <v>241</v>
      </c>
    </row>
    <row r="2997" spans="1:4" x14ac:dyDescent="0.35">
      <c r="A2997" t="s">
        <v>30</v>
      </c>
      <c r="B2997" s="88">
        <v>45245</v>
      </c>
      <c r="C2997">
        <v>22.427521952304001</v>
      </c>
      <c r="D2997" t="s">
        <v>241</v>
      </c>
    </row>
    <row r="2998" spans="1:4" x14ac:dyDescent="0.35">
      <c r="A2998" t="s">
        <v>30</v>
      </c>
      <c r="B2998" s="88">
        <v>45337</v>
      </c>
      <c r="C2998">
        <v>22.498064295080301</v>
      </c>
      <c r="D2998" t="s">
        <v>241</v>
      </c>
    </row>
    <row r="2999" spans="1:4" x14ac:dyDescent="0.35">
      <c r="A2999" t="s">
        <v>30</v>
      </c>
      <c r="B2999" s="88">
        <v>45427</v>
      </c>
      <c r="C2999">
        <v>23.3801834678242</v>
      </c>
      <c r="D2999" t="s">
        <v>241</v>
      </c>
    </row>
    <row r="3000" spans="1:4" x14ac:dyDescent="0.35">
      <c r="A3000" t="s">
        <v>30</v>
      </c>
      <c r="B3000" s="88">
        <v>45519</v>
      </c>
      <c r="C3000">
        <v>23.5519137404882</v>
      </c>
      <c r="D3000" t="s">
        <v>241</v>
      </c>
    </row>
    <row r="3001" spans="1:4" x14ac:dyDescent="0.35">
      <c r="A3001" t="s">
        <v>30</v>
      </c>
      <c r="B3001" s="88">
        <v>45611</v>
      </c>
      <c r="C3001">
        <v>23.7871487415552</v>
      </c>
      <c r="D3001" t="s">
        <v>241</v>
      </c>
    </row>
    <row r="3002" spans="1:4" x14ac:dyDescent="0.35">
      <c r="A3002" t="s">
        <v>30</v>
      </c>
      <c r="B3002" s="88">
        <v>45703</v>
      </c>
      <c r="C3002">
        <v>23.966958445210899</v>
      </c>
      <c r="D3002" t="s">
        <v>241</v>
      </c>
    </row>
    <row r="3003" spans="1:4" x14ac:dyDescent="0.35">
      <c r="A3003" t="s">
        <v>30</v>
      </c>
      <c r="B3003" s="88">
        <v>45792</v>
      </c>
      <c r="C3003">
        <v>24.435142614881499</v>
      </c>
      <c r="D3003" t="s">
        <v>241</v>
      </c>
    </row>
    <row r="3004" spans="1:4" x14ac:dyDescent="0.35">
      <c r="A3004" t="s">
        <v>30</v>
      </c>
      <c r="B3004" s="88">
        <v>45884</v>
      </c>
      <c r="C3004">
        <v>24.504249642904401</v>
      </c>
      <c r="D3004" t="s">
        <v>241</v>
      </c>
    </row>
    <row r="3005" spans="1:4" x14ac:dyDescent="0.35">
      <c r="A3005" t="s">
        <v>30</v>
      </c>
      <c r="B3005" s="88">
        <v>45976</v>
      </c>
      <c r="C3005">
        <v>24.507884067889499</v>
      </c>
      <c r="D3005" t="s">
        <v>241</v>
      </c>
    </row>
    <row r="3006" spans="1:4" x14ac:dyDescent="0.35">
      <c r="A3006" t="s">
        <v>30</v>
      </c>
      <c r="B3006" s="88">
        <v>46068</v>
      </c>
      <c r="C3006">
        <v>25.066163514533699</v>
      </c>
      <c r="D3006" t="s">
        <v>241</v>
      </c>
    </row>
    <row r="3007" spans="1:4" x14ac:dyDescent="0.35">
      <c r="A3007" t="s">
        <v>30</v>
      </c>
      <c r="B3007" s="88">
        <v>46157</v>
      </c>
      <c r="C3007">
        <v>25.767480066968201</v>
      </c>
      <c r="D3007" t="s">
        <v>241</v>
      </c>
    </row>
    <row r="3008" spans="1:4" x14ac:dyDescent="0.35">
      <c r="A3008" t="s">
        <v>30</v>
      </c>
      <c r="B3008" s="88">
        <v>46249</v>
      </c>
      <c r="C3008">
        <v>25.868144569564802</v>
      </c>
      <c r="D3008" t="s">
        <v>241</v>
      </c>
    </row>
    <row r="3009" spans="1:4" x14ac:dyDescent="0.35">
      <c r="A3009" t="s">
        <v>32</v>
      </c>
      <c r="B3009" s="88">
        <v>43511</v>
      </c>
      <c r="C3009">
        <v>17.120065627478205</v>
      </c>
      <c r="D3009" t="s">
        <v>241</v>
      </c>
    </row>
    <row r="3010" spans="1:4" x14ac:dyDescent="0.35">
      <c r="A3010" t="s">
        <v>32</v>
      </c>
      <c r="B3010" s="88">
        <v>43600</v>
      </c>
      <c r="C3010">
        <v>17.129300618881942</v>
      </c>
      <c r="D3010" t="s">
        <v>241</v>
      </c>
    </row>
    <row r="3011" spans="1:4" x14ac:dyDescent="0.35">
      <c r="A3011" t="s">
        <v>32</v>
      </c>
      <c r="B3011" s="88">
        <v>43692</v>
      </c>
      <c r="C3011">
        <v>17.45886671091165</v>
      </c>
      <c r="D3011" t="s">
        <v>241</v>
      </c>
    </row>
    <row r="3012" spans="1:4" x14ac:dyDescent="0.35">
      <c r="A3012" t="s">
        <v>32</v>
      </c>
      <c r="B3012" s="88">
        <v>43784</v>
      </c>
      <c r="C3012">
        <v>17.903207867596919</v>
      </c>
      <c r="D3012" t="s">
        <v>241</v>
      </c>
    </row>
    <row r="3013" spans="1:4" x14ac:dyDescent="0.35">
      <c r="A3013" t="s">
        <v>32</v>
      </c>
      <c r="B3013" s="88">
        <v>43876</v>
      </c>
      <c r="C3013">
        <v>18.056717457191546</v>
      </c>
      <c r="D3013" t="s">
        <v>241</v>
      </c>
    </row>
    <row r="3014" spans="1:4" x14ac:dyDescent="0.35">
      <c r="A3014" t="s">
        <v>32</v>
      </c>
      <c r="B3014" s="88">
        <v>43966</v>
      </c>
      <c r="C3014">
        <v>18.636577782058374</v>
      </c>
      <c r="D3014" t="s">
        <v>241</v>
      </c>
    </row>
    <row r="3015" spans="1:4" x14ac:dyDescent="0.35">
      <c r="A3015" t="s">
        <v>32</v>
      </c>
      <c r="B3015" s="88">
        <v>44058</v>
      </c>
      <c r="C3015">
        <v>18.631301332179493</v>
      </c>
      <c r="D3015" t="s">
        <v>241</v>
      </c>
    </row>
    <row r="3016" spans="1:4" x14ac:dyDescent="0.35">
      <c r="A3016" t="s">
        <v>32</v>
      </c>
      <c r="B3016" s="88">
        <v>44150</v>
      </c>
      <c r="C3016">
        <v>17.718523047014294</v>
      </c>
      <c r="D3016" t="s">
        <v>241</v>
      </c>
    </row>
    <row r="3017" spans="1:4" x14ac:dyDescent="0.35">
      <c r="A3017" t="s">
        <v>32</v>
      </c>
      <c r="B3017" s="88">
        <v>44242</v>
      </c>
      <c r="C3017">
        <v>17.814084989801412</v>
      </c>
      <c r="D3017" t="s">
        <v>241</v>
      </c>
    </row>
    <row r="3018" spans="1:4" x14ac:dyDescent="0.35">
      <c r="A3018" t="s">
        <v>32</v>
      </c>
      <c r="B3018" s="88">
        <v>44331</v>
      </c>
      <c r="C3018">
        <v>18.656578034675832</v>
      </c>
      <c r="D3018" t="s">
        <v>241</v>
      </c>
    </row>
    <row r="3019" spans="1:4" x14ac:dyDescent="0.35">
      <c r="A3019" t="s">
        <v>32</v>
      </c>
      <c r="B3019" s="88">
        <v>44423</v>
      </c>
      <c r="C3019">
        <v>18.851511193002828</v>
      </c>
      <c r="D3019" t="s">
        <v>241</v>
      </c>
    </row>
    <row r="3020" spans="1:4" x14ac:dyDescent="0.35">
      <c r="A3020" t="s">
        <v>32</v>
      </c>
      <c r="B3020" s="88">
        <v>44515</v>
      </c>
      <c r="C3020">
        <v>19.523429550326686</v>
      </c>
      <c r="D3020" t="s">
        <v>241</v>
      </c>
    </row>
    <row r="3021" spans="1:4" x14ac:dyDescent="0.35">
      <c r="A3021" t="s">
        <v>32</v>
      </c>
      <c r="B3021" s="88">
        <v>44607</v>
      </c>
      <c r="C3021">
        <v>19.684771572563328</v>
      </c>
      <c r="D3021" t="s">
        <v>241</v>
      </c>
    </row>
    <row r="3022" spans="1:4" x14ac:dyDescent="0.35">
      <c r="A3022" t="s">
        <v>32</v>
      </c>
      <c r="B3022" s="88">
        <v>44696</v>
      </c>
      <c r="C3022">
        <v>19.269034068075499</v>
      </c>
      <c r="D3022" t="s">
        <v>241</v>
      </c>
    </row>
    <row r="3023" spans="1:4" x14ac:dyDescent="0.35">
      <c r="A3023" t="s">
        <v>32</v>
      </c>
      <c r="B3023" s="88">
        <v>44788</v>
      </c>
      <c r="C3023">
        <v>18.572233905224575</v>
      </c>
      <c r="D3023" t="s">
        <v>241</v>
      </c>
    </row>
    <row r="3024" spans="1:4" x14ac:dyDescent="0.35">
      <c r="A3024" t="s">
        <v>32</v>
      </c>
      <c r="B3024" s="88">
        <v>44880</v>
      </c>
      <c r="C3024">
        <v>20.057296367425977</v>
      </c>
      <c r="D3024" t="s">
        <v>241</v>
      </c>
    </row>
    <row r="3025" spans="1:4" x14ac:dyDescent="0.35">
      <c r="A3025" t="s">
        <v>32</v>
      </c>
      <c r="B3025" s="88">
        <v>44972</v>
      </c>
      <c r="C3025">
        <v>19.988755662435601</v>
      </c>
      <c r="D3025" t="s">
        <v>241</v>
      </c>
    </row>
    <row r="3026" spans="1:4" x14ac:dyDescent="0.35">
      <c r="A3026" t="s">
        <v>32</v>
      </c>
      <c r="B3026" s="88">
        <v>45061</v>
      </c>
      <c r="C3026">
        <v>20.895364818002498</v>
      </c>
      <c r="D3026" t="s">
        <v>241</v>
      </c>
    </row>
    <row r="3027" spans="1:4" x14ac:dyDescent="0.35">
      <c r="A3027" t="s">
        <v>32</v>
      </c>
      <c r="B3027" s="88">
        <v>45153</v>
      </c>
      <c r="C3027">
        <v>20.995700676728301</v>
      </c>
      <c r="D3027" t="s">
        <v>241</v>
      </c>
    </row>
    <row r="3028" spans="1:4" x14ac:dyDescent="0.35">
      <c r="A3028" t="s">
        <v>32</v>
      </c>
      <c r="B3028" s="88">
        <v>45245</v>
      </c>
      <c r="C3028">
        <v>21.430630517112501</v>
      </c>
      <c r="D3028" t="s">
        <v>241</v>
      </c>
    </row>
    <row r="3029" spans="1:4" x14ac:dyDescent="0.35">
      <c r="A3029" t="s">
        <v>32</v>
      </c>
      <c r="B3029" s="88">
        <v>45337</v>
      </c>
      <c r="C3029">
        <v>21.415410819489601</v>
      </c>
      <c r="D3029" t="s">
        <v>241</v>
      </c>
    </row>
    <row r="3030" spans="1:4" x14ac:dyDescent="0.35">
      <c r="A3030" t="s">
        <v>32</v>
      </c>
      <c r="B3030" s="88">
        <v>45427</v>
      </c>
      <c r="C3030">
        <v>21.7594126581956</v>
      </c>
      <c r="D3030" t="s">
        <v>241</v>
      </c>
    </row>
    <row r="3031" spans="1:4" x14ac:dyDescent="0.35">
      <c r="A3031" t="s">
        <v>32</v>
      </c>
      <c r="B3031" s="88">
        <v>45519</v>
      </c>
      <c r="C3031">
        <v>22.2145751593164</v>
      </c>
      <c r="D3031" t="s">
        <v>241</v>
      </c>
    </row>
    <row r="3032" spans="1:4" x14ac:dyDescent="0.35">
      <c r="A3032" t="s">
        <v>32</v>
      </c>
      <c r="B3032" s="88">
        <v>45611</v>
      </c>
      <c r="C3032">
        <v>23.066284348427502</v>
      </c>
      <c r="D3032" t="s">
        <v>241</v>
      </c>
    </row>
    <row r="3033" spans="1:4" x14ac:dyDescent="0.35">
      <c r="A3033" t="s">
        <v>32</v>
      </c>
      <c r="B3033" s="88">
        <v>45703</v>
      </c>
      <c r="C3033">
        <v>23.205103731643302</v>
      </c>
      <c r="D3033" t="s">
        <v>241</v>
      </c>
    </row>
    <row r="3034" spans="1:4" x14ac:dyDescent="0.35">
      <c r="A3034" t="s">
        <v>32</v>
      </c>
      <c r="B3034" s="88">
        <v>45792</v>
      </c>
      <c r="C3034">
        <v>24.154852333527099</v>
      </c>
      <c r="D3034" t="s">
        <v>241</v>
      </c>
    </row>
    <row r="3035" spans="1:4" x14ac:dyDescent="0.35">
      <c r="A3035" t="s">
        <v>32</v>
      </c>
      <c r="B3035" s="88">
        <v>45884</v>
      </c>
      <c r="C3035">
        <v>24.3372614890026</v>
      </c>
      <c r="D3035" t="s">
        <v>241</v>
      </c>
    </row>
    <row r="3036" spans="1:4" x14ac:dyDescent="0.35">
      <c r="A3036" t="s">
        <v>32</v>
      </c>
      <c r="B3036" s="88">
        <v>45976</v>
      </c>
      <c r="C3036">
        <v>24.3055425212263</v>
      </c>
      <c r="D3036" t="s">
        <v>241</v>
      </c>
    </row>
    <row r="3037" spans="1:4" x14ac:dyDescent="0.35">
      <c r="A3037" t="s">
        <v>32</v>
      </c>
      <c r="B3037" s="88">
        <v>46068</v>
      </c>
      <c r="C3037">
        <v>25.019942051322801</v>
      </c>
      <c r="D3037" t="s">
        <v>241</v>
      </c>
    </row>
    <row r="3038" spans="1:4" x14ac:dyDescent="0.35">
      <c r="A3038" t="s">
        <v>32</v>
      </c>
      <c r="B3038" s="88">
        <v>46157</v>
      </c>
      <c r="C3038">
        <v>25.263799618089301</v>
      </c>
      <c r="D3038" t="s">
        <v>241</v>
      </c>
    </row>
    <row r="3039" spans="1:4" x14ac:dyDescent="0.35">
      <c r="A3039" t="s">
        <v>32</v>
      </c>
      <c r="B3039" s="88">
        <v>46249</v>
      </c>
      <c r="C3039">
        <v>25.4676003850394</v>
      </c>
      <c r="D3039" t="s">
        <v>241</v>
      </c>
    </row>
    <row r="3040" spans="1:4" x14ac:dyDescent="0.35">
      <c r="A3040" t="s">
        <v>38</v>
      </c>
      <c r="B3040" s="88">
        <v>43511</v>
      </c>
      <c r="C3040">
        <v>17.418507649011573</v>
      </c>
      <c r="D3040" t="s">
        <v>241</v>
      </c>
    </row>
    <row r="3041" spans="1:4" x14ac:dyDescent="0.35">
      <c r="A3041" t="s">
        <v>38</v>
      </c>
      <c r="B3041" s="88">
        <v>43600</v>
      </c>
      <c r="C3041">
        <v>16.628342439626756</v>
      </c>
      <c r="D3041" t="s">
        <v>241</v>
      </c>
    </row>
    <row r="3042" spans="1:4" x14ac:dyDescent="0.35">
      <c r="A3042" t="s">
        <v>38</v>
      </c>
      <c r="B3042" s="88">
        <v>43692</v>
      </c>
      <c r="C3042">
        <v>16.643228431856798</v>
      </c>
      <c r="D3042" t="s">
        <v>241</v>
      </c>
    </row>
    <row r="3043" spans="1:4" x14ac:dyDescent="0.35">
      <c r="A3043" t="s">
        <v>38</v>
      </c>
      <c r="B3043" s="88">
        <v>43784</v>
      </c>
      <c r="C3043">
        <v>17.227303482182982</v>
      </c>
      <c r="D3043" t="s">
        <v>241</v>
      </c>
    </row>
    <row r="3044" spans="1:4" x14ac:dyDescent="0.35">
      <c r="A3044" t="s">
        <v>38</v>
      </c>
      <c r="B3044" s="88">
        <v>43876</v>
      </c>
      <c r="C3044">
        <v>17.885076125353017</v>
      </c>
      <c r="D3044" t="s">
        <v>241</v>
      </c>
    </row>
    <row r="3045" spans="1:4" x14ac:dyDescent="0.35">
      <c r="A3045" t="s">
        <v>38</v>
      </c>
      <c r="B3045" s="88">
        <v>43966</v>
      </c>
      <c r="C3045">
        <v>18.394252408491887</v>
      </c>
      <c r="D3045" t="s">
        <v>241</v>
      </c>
    </row>
    <row r="3046" spans="1:4" x14ac:dyDescent="0.35">
      <c r="A3046" t="s">
        <v>38</v>
      </c>
      <c r="B3046" s="88">
        <v>44058</v>
      </c>
      <c r="C3046">
        <v>18.396660326516979</v>
      </c>
      <c r="D3046" t="s">
        <v>241</v>
      </c>
    </row>
    <row r="3047" spans="1:4" x14ac:dyDescent="0.35">
      <c r="A3047" t="s">
        <v>38</v>
      </c>
      <c r="B3047" s="88">
        <v>44150</v>
      </c>
      <c r="C3047">
        <v>18.400042490663751</v>
      </c>
      <c r="D3047" t="s">
        <v>241</v>
      </c>
    </row>
    <row r="3048" spans="1:4" x14ac:dyDescent="0.35">
      <c r="A3048" t="s">
        <v>38</v>
      </c>
      <c r="B3048" s="88">
        <v>44242</v>
      </c>
      <c r="C3048">
        <v>19.087138538980653</v>
      </c>
      <c r="D3048" t="s">
        <v>241</v>
      </c>
    </row>
    <row r="3049" spans="1:4" x14ac:dyDescent="0.35">
      <c r="A3049" t="s">
        <v>38</v>
      </c>
      <c r="B3049" s="88">
        <v>44331</v>
      </c>
      <c r="C3049">
        <v>18.831861165081921</v>
      </c>
      <c r="D3049" t="s">
        <v>241</v>
      </c>
    </row>
    <row r="3050" spans="1:4" x14ac:dyDescent="0.35">
      <c r="A3050" t="s">
        <v>38</v>
      </c>
      <c r="B3050" s="88">
        <v>44423</v>
      </c>
      <c r="C3050">
        <v>19.115386312067738</v>
      </c>
      <c r="D3050" t="s">
        <v>241</v>
      </c>
    </row>
    <row r="3051" spans="1:4" x14ac:dyDescent="0.35">
      <c r="A3051" t="s">
        <v>38</v>
      </c>
      <c r="B3051" s="88">
        <v>44515</v>
      </c>
      <c r="C3051">
        <v>19.632598102089339</v>
      </c>
      <c r="D3051" t="s">
        <v>241</v>
      </c>
    </row>
    <row r="3052" spans="1:4" x14ac:dyDescent="0.35">
      <c r="A3052" t="s">
        <v>38</v>
      </c>
      <c r="B3052" s="88">
        <v>44607</v>
      </c>
      <c r="C3052">
        <v>19.97426499391927</v>
      </c>
      <c r="D3052" t="s">
        <v>241</v>
      </c>
    </row>
    <row r="3053" spans="1:4" x14ac:dyDescent="0.35">
      <c r="A3053" t="s">
        <v>38</v>
      </c>
      <c r="B3053" s="88">
        <v>44696</v>
      </c>
      <c r="C3053">
        <v>20.711201064221136</v>
      </c>
      <c r="D3053" t="s">
        <v>241</v>
      </c>
    </row>
    <row r="3054" spans="1:4" x14ac:dyDescent="0.35">
      <c r="A3054" t="s">
        <v>38</v>
      </c>
      <c r="B3054" s="88">
        <v>44788</v>
      </c>
      <c r="C3054">
        <v>19.685199479240801</v>
      </c>
      <c r="D3054" t="s">
        <v>241</v>
      </c>
    </row>
    <row r="3055" spans="1:4" x14ac:dyDescent="0.35">
      <c r="A3055" t="s">
        <v>38</v>
      </c>
      <c r="B3055" s="88">
        <v>44880</v>
      </c>
      <c r="C3055">
        <v>20.794185768767946</v>
      </c>
      <c r="D3055" t="s">
        <v>241</v>
      </c>
    </row>
    <row r="3056" spans="1:4" x14ac:dyDescent="0.35">
      <c r="A3056" t="s">
        <v>38</v>
      </c>
      <c r="B3056" s="88">
        <v>44972</v>
      </c>
      <c r="C3056">
        <v>21.099973356943622</v>
      </c>
      <c r="D3056" t="s">
        <v>241</v>
      </c>
    </row>
    <row r="3057" spans="1:4" x14ac:dyDescent="0.35">
      <c r="A3057" t="s">
        <v>38</v>
      </c>
      <c r="B3057" s="88">
        <v>45061</v>
      </c>
      <c r="C3057">
        <v>21.022836493662101</v>
      </c>
      <c r="D3057" t="s">
        <v>241</v>
      </c>
    </row>
    <row r="3058" spans="1:4" x14ac:dyDescent="0.35">
      <c r="A3058" t="s">
        <v>38</v>
      </c>
      <c r="B3058" s="88">
        <v>45153</v>
      </c>
      <c r="C3058">
        <v>21.686339101330098</v>
      </c>
      <c r="D3058" t="s">
        <v>241</v>
      </c>
    </row>
    <row r="3059" spans="1:4" x14ac:dyDescent="0.35">
      <c r="A3059" t="s">
        <v>38</v>
      </c>
      <c r="B3059" s="88">
        <v>45245</v>
      </c>
      <c r="C3059">
        <v>21.6071563769205</v>
      </c>
      <c r="D3059" t="s">
        <v>241</v>
      </c>
    </row>
    <row r="3060" spans="1:4" x14ac:dyDescent="0.35">
      <c r="A3060" t="s">
        <v>38</v>
      </c>
      <c r="B3060" s="88">
        <v>45337</v>
      </c>
      <c r="C3060">
        <v>22.564649466890899</v>
      </c>
      <c r="D3060" t="s">
        <v>241</v>
      </c>
    </row>
    <row r="3061" spans="1:4" x14ac:dyDescent="0.35">
      <c r="A3061" t="s">
        <v>38</v>
      </c>
      <c r="B3061" s="88">
        <v>45427</v>
      </c>
      <c r="C3061">
        <v>23.4245055047036</v>
      </c>
      <c r="D3061" t="s">
        <v>241</v>
      </c>
    </row>
    <row r="3062" spans="1:4" x14ac:dyDescent="0.35">
      <c r="A3062" t="s">
        <v>38</v>
      </c>
      <c r="B3062" s="88">
        <v>45519</v>
      </c>
      <c r="C3062">
        <v>22.851869015000801</v>
      </c>
      <c r="D3062" t="s">
        <v>241</v>
      </c>
    </row>
    <row r="3063" spans="1:4" x14ac:dyDescent="0.35">
      <c r="A3063" t="s">
        <v>38</v>
      </c>
      <c r="B3063" s="88">
        <v>45611</v>
      </c>
      <c r="C3063">
        <v>22.979263125737202</v>
      </c>
      <c r="D3063" t="s">
        <v>241</v>
      </c>
    </row>
    <row r="3064" spans="1:4" x14ac:dyDescent="0.35">
      <c r="A3064" t="s">
        <v>38</v>
      </c>
      <c r="B3064" s="88">
        <v>45703</v>
      </c>
      <c r="C3064">
        <v>23.143517396041801</v>
      </c>
      <c r="D3064" t="s">
        <v>241</v>
      </c>
    </row>
    <row r="3065" spans="1:4" x14ac:dyDescent="0.35">
      <c r="A3065" t="s">
        <v>38</v>
      </c>
      <c r="B3065" s="88">
        <v>45792</v>
      </c>
      <c r="C3065">
        <v>24.9776900385434</v>
      </c>
      <c r="D3065" t="s">
        <v>241</v>
      </c>
    </row>
    <row r="3066" spans="1:4" x14ac:dyDescent="0.35">
      <c r="A3066" t="s">
        <v>38</v>
      </c>
      <c r="B3066" s="88">
        <v>45884</v>
      </c>
      <c r="C3066">
        <v>25.198135416775301</v>
      </c>
      <c r="D3066" t="s">
        <v>241</v>
      </c>
    </row>
    <row r="3067" spans="1:4" x14ac:dyDescent="0.35">
      <c r="A3067" t="s">
        <v>38</v>
      </c>
      <c r="B3067" s="88">
        <v>45976</v>
      </c>
      <c r="C3067">
        <v>24.579763315062401</v>
      </c>
      <c r="D3067" t="s">
        <v>241</v>
      </c>
    </row>
    <row r="3068" spans="1:4" x14ac:dyDescent="0.35">
      <c r="A3068" t="s">
        <v>38</v>
      </c>
      <c r="B3068" s="88">
        <v>46068</v>
      </c>
      <c r="C3068">
        <v>26.141227966105799</v>
      </c>
      <c r="D3068" t="s">
        <v>241</v>
      </c>
    </row>
    <row r="3069" spans="1:4" x14ac:dyDescent="0.35">
      <c r="A3069" t="s">
        <v>38</v>
      </c>
      <c r="B3069" s="88">
        <v>46157</v>
      </c>
      <c r="C3069">
        <v>26.045289316222899</v>
      </c>
      <c r="D3069" t="s">
        <v>241</v>
      </c>
    </row>
    <row r="3070" spans="1:4" x14ac:dyDescent="0.35">
      <c r="A3070" t="s">
        <v>38</v>
      </c>
      <c r="B3070" s="88">
        <v>46249</v>
      </c>
      <c r="C3070">
        <v>26.8494762382748</v>
      </c>
      <c r="D3070" t="s">
        <v>241</v>
      </c>
    </row>
    <row r="3071" spans="1:4" x14ac:dyDescent="0.35">
      <c r="A3071" t="s">
        <v>39</v>
      </c>
      <c r="B3071" s="88">
        <v>43511</v>
      </c>
      <c r="C3071">
        <v>17.807040654215058</v>
      </c>
      <c r="D3071" t="s">
        <v>241</v>
      </c>
    </row>
    <row r="3072" spans="1:4" x14ac:dyDescent="0.35">
      <c r="A3072" t="s">
        <v>39</v>
      </c>
      <c r="B3072" s="88">
        <v>43600</v>
      </c>
      <c r="C3072">
        <v>17.784205612157013</v>
      </c>
      <c r="D3072" t="s">
        <v>241</v>
      </c>
    </row>
    <row r="3073" spans="1:4" x14ac:dyDescent="0.35">
      <c r="A3073" t="s">
        <v>39</v>
      </c>
      <c r="B3073" s="88">
        <v>43692</v>
      </c>
      <c r="C3073">
        <v>18.054119685219526</v>
      </c>
      <c r="D3073" t="s">
        <v>241</v>
      </c>
    </row>
    <row r="3074" spans="1:4" x14ac:dyDescent="0.35">
      <c r="A3074" t="s">
        <v>39</v>
      </c>
      <c r="B3074" s="88">
        <v>43784</v>
      </c>
      <c r="C3074">
        <v>18.635976793002296</v>
      </c>
      <c r="D3074" t="s">
        <v>241</v>
      </c>
    </row>
    <row r="3075" spans="1:4" x14ac:dyDescent="0.35">
      <c r="A3075" t="s">
        <v>39</v>
      </c>
      <c r="B3075" s="88">
        <v>43876</v>
      </c>
      <c r="C3075">
        <v>18.745173555643557</v>
      </c>
      <c r="D3075" t="s">
        <v>241</v>
      </c>
    </row>
    <row r="3076" spans="1:4" x14ac:dyDescent="0.35">
      <c r="A3076" t="s">
        <v>39</v>
      </c>
      <c r="B3076" s="88">
        <v>43966</v>
      </c>
      <c r="C3076">
        <v>18.676949326747426</v>
      </c>
      <c r="D3076" t="s">
        <v>241</v>
      </c>
    </row>
    <row r="3077" spans="1:4" x14ac:dyDescent="0.35">
      <c r="A3077" t="s">
        <v>39</v>
      </c>
      <c r="B3077" s="88">
        <v>44058</v>
      </c>
      <c r="C3077">
        <v>18.668422861442686</v>
      </c>
      <c r="D3077" t="s">
        <v>241</v>
      </c>
    </row>
    <row r="3078" spans="1:4" x14ac:dyDescent="0.35">
      <c r="A3078" t="s">
        <v>39</v>
      </c>
      <c r="B3078" s="88">
        <v>44150</v>
      </c>
      <c r="C3078">
        <v>18.678629758081058</v>
      </c>
      <c r="D3078" t="s">
        <v>241</v>
      </c>
    </row>
    <row r="3079" spans="1:4" x14ac:dyDescent="0.35">
      <c r="A3079" t="s">
        <v>39</v>
      </c>
      <c r="B3079" s="88">
        <v>44242</v>
      </c>
      <c r="C3079">
        <v>18.071785840647209</v>
      </c>
      <c r="D3079" t="s">
        <v>241</v>
      </c>
    </row>
    <row r="3080" spans="1:4" x14ac:dyDescent="0.35">
      <c r="A3080" t="s">
        <v>39</v>
      </c>
      <c r="B3080" s="88">
        <v>44331</v>
      </c>
      <c r="C3080">
        <v>17.953298326456093</v>
      </c>
      <c r="D3080" t="s">
        <v>241</v>
      </c>
    </row>
    <row r="3081" spans="1:4" x14ac:dyDescent="0.35">
      <c r="A3081" t="s">
        <v>39</v>
      </c>
      <c r="B3081" s="88">
        <v>44423</v>
      </c>
      <c r="C3081">
        <v>18.308717762807447</v>
      </c>
      <c r="D3081" t="s">
        <v>241</v>
      </c>
    </row>
    <row r="3082" spans="1:4" x14ac:dyDescent="0.35">
      <c r="A3082" t="s">
        <v>39</v>
      </c>
      <c r="B3082" s="88">
        <v>44515</v>
      </c>
      <c r="C3082">
        <v>19.235960421647857</v>
      </c>
      <c r="D3082" t="s">
        <v>241</v>
      </c>
    </row>
    <row r="3083" spans="1:4" x14ac:dyDescent="0.35">
      <c r="A3083" t="s">
        <v>39</v>
      </c>
      <c r="B3083" s="88">
        <v>44607</v>
      </c>
      <c r="C3083">
        <v>19.351914857944582</v>
      </c>
      <c r="D3083" t="s">
        <v>241</v>
      </c>
    </row>
    <row r="3084" spans="1:4" x14ac:dyDescent="0.35">
      <c r="A3084" t="s">
        <v>39</v>
      </c>
      <c r="B3084" s="88">
        <v>44696</v>
      </c>
      <c r="C3084">
        <v>18.828320316262712</v>
      </c>
      <c r="D3084" t="s">
        <v>241</v>
      </c>
    </row>
    <row r="3085" spans="1:4" x14ac:dyDescent="0.35">
      <c r="A3085" t="s">
        <v>39</v>
      </c>
      <c r="B3085" s="88">
        <v>44788</v>
      </c>
      <c r="C3085">
        <v>19.64572151987138</v>
      </c>
      <c r="D3085" t="s">
        <v>241</v>
      </c>
    </row>
    <row r="3086" spans="1:4" x14ac:dyDescent="0.35">
      <c r="A3086" t="s">
        <v>39</v>
      </c>
      <c r="B3086" s="88">
        <v>44880</v>
      </c>
      <c r="C3086">
        <v>19.859369033235879</v>
      </c>
      <c r="D3086" t="s">
        <v>241</v>
      </c>
    </row>
    <row r="3087" spans="1:4" x14ac:dyDescent="0.35">
      <c r="A3087" t="s">
        <v>39</v>
      </c>
      <c r="B3087" s="88">
        <v>44972</v>
      </c>
      <c r="C3087">
        <v>20.142262666125156</v>
      </c>
      <c r="D3087" t="s">
        <v>241</v>
      </c>
    </row>
    <row r="3088" spans="1:4" x14ac:dyDescent="0.35">
      <c r="A3088" t="s">
        <v>39</v>
      </c>
      <c r="B3088" s="88">
        <v>45061</v>
      </c>
      <c r="C3088">
        <v>19.743550080633</v>
      </c>
      <c r="D3088" t="s">
        <v>241</v>
      </c>
    </row>
    <row r="3089" spans="1:4" x14ac:dyDescent="0.35">
      <c r="A3089" t="s">
        <v>39</v>
      </c>
      <c r="B3089" s="88">
        <v>45153</v>
      </c>
      <c r="C3089">
        <v>19.9060345438808</v>
      </c>
      <c r="D3089" t="s">
        <v>241</v>
      </c>
    </row>
    <row r="3090" spans="1:4" x14ac:dyDescent="0.35">
      <c r="A3090" t="s">
        <v>39</v>
      </c>
      <c r="B3090" s="88">
        <v>45245</v>
      </c>
      <c r="C3090">
        <v>20.280839218381701</v>
      </c>
      <c r="D3090" t="s">
        <v>241</v>
      </c>
    </row>
    <row r="3091" spans="1:4" x14ac:dyDescent="0.35">
      <c r="A3091" t="s">
        <v>39</v>
      </c>
      <c r="B3091" s="88">
        <v>45337</v>
      </c>
      <c r="C3091">
        <v>20.510014637287501</v>
      </c>
      <c r="D3091" t="s">
        <v>241</v>
      </c>
    </row>
    <row r="3092" spans="1:4" x14ac:dyDescent="0.35">
      <c r="A3092" t="s">
        <v>39</v>
      </c>
      <c r="B3092" s="88">
        <v>45427</v>
      </c>
      <c r="C3092">
        <v>19.936738048960802</v>
      </c>
      <c r="D3092" t="s">
        <v>241</v>
      </c>
    </row>
    <row r="3093" spans="1:4" x14ac:dyDescent="0.35">
      <c r="A3093" t="s">
        <v>39</v>
      </c>
      <c r="B3093" s="88">
        <v>45519</v>
      </c>
      <c r="C3093">
        <v>21.836789551902498</v>
      </c>
      <c r="D3093" t="s">
        <v>241</v>
      </c>
    </row>
    <row r="3094" spans="1:4" x14ac:dyDescent="0.35">
      <c r="A3094" t="s">
        <v>39</v>
      </c>
      <c r="B3094" s="88">
        <v>45611</v>
      </c>
      <c r="C3094">
        <v>22.416222143744498</v>
      </c>
      <c r="D3094" t="s">
        <v>241</v>
      </c>
    </row>
    <row r="3095" spans="1:4" x14ac:dyDescent="0.35">
      <c r="A3095" t="s">
        <v>39</v>
      </c>
      <c r="B3095" s="88">
        <v>45703</v>
      </c>
      <c r="C3095">
        <v>22.607553270199698</v>
      </c>
      <c r="D3095" t="s">
        <v>241</v>
      </c>
    </row>
    <row r="3096" spans="1:4" x14ac:dyDescent="0.35">
      <c r="A3096" t="s">
        <v>39</v>
      </c>
      <c r="B3096" s="88">
        <v>45792</v>
      </c>
      <c r="C3096">
        <v>23.791066939096201</v>
      </c>
      <c r="D3096" t="s">
        <v>241</v>
      </c>
    </row>
    <row r="3097" spans="1:4" x14ac:dyDescent="0.35">
      <c r="A3097" t="s">
        <v>39</v>
      </c>
      <c r="B3097" s="88">
        <v>45884</v>
      </c>
      <c r="C3097">
        <v>23.931022019581398</v>
      </c>
      <c r="D3097" t="s">
        <v>241</v>
      </c>
    </row>
    <row r="3098" spans="1:4" x14ac:dyDescent="0.35">
      <c r="A3098" t="s">
        <v>39</v>
      </c>
      <c r="B3098" s="88">
        <v>45976</v>
      </c>
      <c r="C3098">
        <v>23.838845033336799</v>
      </c>
      <c r="D3098" t="s">
        <v>241</v>
      </c>
    </row>
    <row r="3099" spans="1:4" x14ac:dyDescent="0.35">
      <c r="A3099" t="s">
        <v>39</v>
      </c>
      <c r="B3099" s="88">
        <v>46068</v>
      </c>
      <c r="C3099">
        <v>24.804944721096401</v>
      </c>
      <c r="D3099" t="s">
        <v>241</v>
      </c>
    </row>
    <row r="3100" spans="1:4" x14ac:dyDescent="0.35">
      <c r="A3100" t="s">
        <v>39</v>
      </c>
      <c r="B3100" s="88">
        <v>46157</v>
      </c>
      <c r="C3100">
        <v>25.097497242909899</v>
      </c>
      <c r="D3100" t="s">
        <v>241</v>
      </c>
    </row>
    <row r="3101" spans="1:4" x14ac:dyDescent="0.35">
      <c r="A3101" t="s">
        <v>39</v>
      </c>
      <c r="B3101" s="88">
        <v>46249</v>
      </c>
      <c r="C3101">
        <v>25.1826606168142</v>
      </c>
      <c r="D3101" t="s">
        <v>241</v>
      </c>
    </row>
    <row r="3102" spans="1:4" x14ac:dyDescent="0.35">
      <c r="A3102" t="s">
        <v>42</v>
      </c>
      <c r="B3102" s="88">
        <v>43511</v>
      </c>
      <c r="C3102">
        <v>17.814242181168012</v>
      </c>
      <c r="D3102" t="s">
        <v>241</v>
      </c>
    </row>
    <row r="3103" spans="1:4" x14ac:dyDescent="0.35">
      <c r="A3103" t="s">
        <v>42</v>
      </c>
      <c r="B3103" s="88">
        <v>43600</v>
      </c>
      <c r="C3103">
        <v>17.764623596003513</v>
      </c>
      <c r="D3103" t="s">
        <v>241</v>
      </c>
    </row>
    <row r="3104" spans="1:4" x14ac:dyDescent="0.35">
      <c r="A3104" t="s">
        <v>42</v>
      </c>
      <c r="B3104" s="88">
        <v>43692</v>
      </c>
      <c r="C3104">
        <v>18.039338351789748</v>
      </c>
      <c r="D3104" t="s">
        <v>241</v>
      </c>
    </row>
    <row r="3105" spans="1:4" x14ac:dyDescent="0.35">
      <c r="A3105" t="s">
        <v>42</v>
      </c>
      <c r="B3105" s="88">
        <v>43784</v>
      </c>
      <c r="C3105">
        <v>18.657011963536487</v>
      </c>
      <c r="D3105" t="s">
        <v>241</v>
      </c>
    </row>
    <row r="3106" spans="1:4" x14ac:dyDescent="0.35">
      <c r="A3106" t="s">
        <v>42</v>
      </c>
      <c r="B3106" s="88">
        <v>43876</v>
      </c>
      <c r="C3106">
        <v>18.729089284343111</v>
      </c>
      <c r="D3106" t="s">
        <v>241</v>
      </c>
    </row>
    <row r="3107" spans="1:4" x14ac:dyDescent="0.35">
      <c r="A3107" t="s">
        <v>42</v>
      </c>
      <c r="B3107" s="88">
        <v>43966</v>
      </c>
      <c r="C3107">
        <v>18.338294092372422</v>
      </c>
      <c r="D3107" t="s">
        <v>241</v>
      </c>
    </row>
    <row r="3108" spans="1:4" x14ac:dyDescent="0.35">
      <c r="A3108" t="s">
        <v>42</v>
      </c>
      <c r="B3108" s="88">
        <v>44058</v>
      </c>
      <c r="C3108">
        <v>18.329767627067689</v>
      </c>
      <c r="D3108" t="s">
        <v>241</v>
      </c>
    </row>
    <row r="3109" spans="1:4" x14ac:dyDescent="0.35">
      <c r="A3109" t="s">
        <v>42</v>
      </c>
      <c r="B3109" s="88">
        <v>44150</v>
      </c>
      <c r="C3109">
        <v>18.340451919665313</v>
      </c>
      <c r="D3109" t="s">
        <v>241</v>
      </c>
    </row>
    <row r="3110" spans="1:4" x14ac:dyDescent="0.35">
      <c r="A3110" t="s">
        <v>42</v>
      </c>
      <c r="B3110" s="88">
        <v>44242</v>
      </c>
      <c r="C3110">
        <v>17.733600825984986</v>
      </c>
      <c r="D3110" t="s">
        <v>241</v>
      </c>
    </row>
    <row r="3111" spans="1:4" x14ac:dyDescent="0.35">
      <c r="A3111" t="s">
        <v>42</v>
      </c>
      <c r="B3111" s="88">
        <v>44331</v>
      </c>
      <c r="C3111">
        <v>17.414441791803434</v>
      </c>
      <c r="D3111" t="s">
        <v>241</v>
      </c>
    </row>
    <row r="3112" spans="1:4" x14ac:dyDescent="0.35">
      <c r="A3112" t="s">
        <v>42</v>
      </c>
      <c r="B3112" s="88">
        <v>44423</v>
      </c>
      <c r="C3112">
        <v>17.774839127694413</v>
      </c>
      <c r="D3112" t="s">
        <v>241</v>
      </c>
    </row>
    <row r="3113" spans="1:4" x14ac:dyDescent="0.35">
      <c r="A3113" t="s">
        <v>42</v>
      </c>
      <c r="B3113" s="88">
        <v>44515</v>
      </c>
      <c r="C3113">
        <v>18.704752612478089</v>
      </c>
      <c r="D3113" t="s">
        <v>241</v>
      </c>
    </row>
    <row r="3114" spans="1:4" x14ac:dyDescent="0.35">
      <c r="A3114" t="s">
        <v>42</v>
      </c>
      <c r="B3114" s="88">
        <v>44607</v>
      </c>
      <c r="C3114">
        <v>18.807216953072224</v>
      </c>
      <c r="D3114" t="s">
        <v>241</v>
      </c>
    </row>
    <row r="3115" spans="1:4" x14ac:dyDescent="0.35">
      <c r="A3115" t="s">
        <v>42</v>
      </c>
      <c r="B3115" s="88">
        <v>44696</v>
      </c>
      <c r="C3115">
        <v>18.203163474480355</v>
      </c>
      <c r="D3115" t="s">
        <v>241</v>
      </c>
    </row>
    <row r="3116" spans="1:4" x14ac:dyDescent="0.35">
      <c r="A3116" t="s">
        <v>42</v>
      </c>
      <c r="B3116" s="88">
        <v>44788</v>
      </c>
      <c r="C3116">
        <v>19.264537488621393</v>
      </c>
      <c r="D3116" t="s">
        <v>241</v>
      </c>
    </row>
    <row r="3117" spans="1:4" x14ac:dyDescent="0.35">
      <c r="A3117" t="s">
        <v>42</v>
      </c>
      <c r="B3117" s="88">
        <v>44880</v>
      </c>
      <c r="C3117">
        <v>19.478185001985871</v>
      </c>
      <c r="D3117" t="s">
        <v>241</v>
      </c>
    </row>
    <row r="3118" spans="1:4" x14ac:dyDescent="0.35">
      <c r="A3118" t="s">
        <v>42</v>
      </c>
      <c r="B3118" s="88">
        <v>44972</v>
      </c>
      <c r="C3118">
        <v>19.761078634875147</v>
      </c>
      <c r="D3118" t="s">
        <v>241</v>
      </c>
    </row>
    <row r="3119" spans="1:4" x14ac:dyDescent="0.35">
      <c r="A3119" t="s">
        <v>42</v>
      </c>
      <c r="B3119" s="88">
        <v>45061</v>
      </c>
      <c r="C3119">
        <v>19.363550080632901</v>
      </c>
      <c r="D3119" t="s">
        <v>241</v>
      </c>
    </row>
    <row r="3120" spans="1:4" x14ac:dyDescent="0.35">
      <c r="A3120" t="s">
        <v>42</v>
      </c>
      <c r="B3120" s="88">
        <v>45153</v>
      </c>
      <c r="C3120">
        <v>19.526034543880801</v>
      </c>
      <c r="D3120" t="s">
        <v>241</v>
      </c>
    </row>
    <row r="3121" spans="1:4" x14ac:dyDescent="0.35">
      <c r="A3121" t="s">
        <v>42</v>
      </c>
      <c r="B3121" s="88">
        <v>45245</v>
      </c>
      <c r="C3121">
        <v>19.900839218381702</v>
      </c>
      <c r="D3121" t="s">
        <v>241</v>
      </c>
    </row>
    <row r="3122" spans="1:4" x14ac:dyDescent="0.35">
      <c r="A3122" t="s">
        <v>42</v>
      </c>
      <c r="B3122" s="88">
        <v>45337</v>
      </c>
      <c r="C3122">
        <v>20.130014637287498</v>
      </c>
      <c r="D3122" t="s">
        <v>241</v>
      </c>
    </row>
    <row r="3123" spans="1:4" x14ac:dyDescent="0.35">
      <c r="A3123" t="s">
        <v>42</v>
      </c>
      <c r="B3123" s="88">
        <v>45427</v>
      </c>
      <c r="C3123">
        <v>19.556738048960799</v>
      </c>
      <c r="D3123" t="s">
        <v>241</v>
      </c>
    </row>
    <row r="3124" spans="1:4" x14ac:dyDescent="0.35">
      <c r="A3124" t="s">
        <v>42</v>
      </c>
      <c r="B3124" s="88">
        <v>45519</v>
      </c>
      <c r="C3124">
        <v>21.456789551902499</v>
      </c>
      <c r="D3124" t="s">
        <v>241</v>
      </c>
    </row>
    <row r="3125" spans="1:4" x14ac:dyDescent="0.35">
      <c r="A3125" t="s">
        <v>42</v>
      </c>
      <c r="B3125" s="88">
        <v>45611</v>
      </c>
      <c r="C3125">
        <v>22.036222143744499</v>
      </c>
      <c r="D3125" t="s">
        <v>241</v>
      </c>
    </row>
    <row r="3126" spans="1:4" x14ac:dyDescent="0.35">
      <c r="A3126" t="s">
        <v>42</v>
      </c>
      <c r="B3126" s="88">
        <v>45703</v>
      </c>
      <c r="C3126">
        <v>22.227553270199699</v>
      </c>
      <c r="D3126" t="s">
        <v>241</v>
      </c>
    </row>
    <row r="3127" spans="1:4" x14ac:dyDescent="0.35">
      <c r="A3127" t="s">
        <v>42</v>
      </c>
      <c r="B3127" s="88">
        <v>45792</v>
      </c>
      <c r="C3127">
        <v>23.411066939096202</v>
      </c>
      <c r="D3127" t="s">
        <v>241</v>
      </c>
    </row>
    <row r="3128" spans="1:4" x14ac:dyDescent="0.35">
      <c r="A3128" t="s">
        <v>42</v>
      </c>
      <c r="B3128" s="88">
        <v>45884</v>
      </c>
      <c r="C3128">
        <v>23.551022019581399</v>
      </c>
      <c r="D3128" t="s">
        <v>241</v>
      </c>
    </row>
    <row r="3129" spans="1:4" x14ac:dyDescent="0.35">
      <c r="A3129" t="s">
        <v>42</v>
      </c>
      <c r="B3129" s="88">
        <v>45976</v>
      </c>
      <c r="C3129">
        <v>23.4588450333368</v>
      </c>
      <c r="D3129" t="s">
        <v>241</v>
      </c>
    </row>
    <row r="3130" spans="1:4" x14ac:dyDescent="0.35">
      <c r="A3130" t="s">
        <v>42</v>
      </c>
      <c r="B3130" s="88">
        <v>46068</v>
      </c>
      <c r="C3130">
        <v>24.424944721096399</v>
      </c>
      <c r="D3130" t="s">
        <v>241</v>
      </c>
    </row>
    <row r="3131" spans="1:4" x14ac:dyDescent="0.35">
      <c r="A3131" t="s">
        <v>42</v>
      </c>
      <c r="B3131" s="88">
        <v>46157</v>
      </c>
      <c r="C3131">
        <v>24.7174972429099</v>
      </c>
      <c r="D3131" t="s">
        <v>241</v>
      </c>
    </row>
    <row r="3132" spans="1:4" x14ac:dyDescent="0.35">
      <c r="A3132" t="s">
        <v>42</v>
      </c>
      <c r="B3132" s="88">
        <v>46249</v>
      </c>
      <c r="C3132">
        <v>24.802660616814201</v>
      </c>
      <c r="D3132" t="s">
        <v>241</v>
      </c>
    </row>
    <row r="3133" spans="1:4" x14ac:dyDescent="0.35">
      <c r="A3133" t="s">
        <v>239</v>
      </c>
      <c r="B3133" s="88">
        <v>43511</v>
      </c>
      <c r="C3133">
        <v>20.22861266907794</v>
      </c>
      <c r="D3133" t="s">
        <v>241</v>
      </c>
    </row>
    <row r="3134" spans="1:4" x14ac:dyDescent="0.35">
      <c r="A3134" t="s">
        <v>239</v>
      </c>
      <c r="B3134" s="88">
        <v>43600</v>
      </c>
      <c r="C3134">
        <v>20.099133858061105</v>
      </c>
      <c r="D3134" t="s">
        <v>241</v>
      </c>
    </row>
    <row r="3135" spans="1:4" x14ac:dyDescent="0.35">
      <c r="A3135" t="s">
        <v>239</v>
      </c>
      <c r="B3135" s="88">
        <v>43692</v>
      </c>
      <c r="C3135">
        <v>20.466663810712294</v>
      </c>
      <c r="D3135" t="s">
        <v>241</v>
      </c>
    </row>
    <row r="3136" spans="1:4" x14ac:dyDescent="0.35">
      <c r="A3136" t="s">
        <v>239</v>
      </c>
      <c r="B3136" s="88">
        <v>43784</v>
      </c>
      <c r="C3136">
        <v>20.738841389190252</v>
      </c>
      <c r="D3136" t="s">
        <v>241</v>
      </c>
    </row>
    <row r="3137" spans="1:4" x14ac:dyDescent="0.35">
      <c r="A3137" t="s">
        <v>239</v>
      </c>
      <c r="B3137" s="88">
        <v>43876</v>
      </c>
      <c r="C3137">
        <v>20.884070714773078</v>
      </c>
      <c r="D3137" t="s">
        <v>241</v>
      </c>
    </row>
    <row r="3138" spans="1:4" x14ac:dyDescent="0.35">
      <c r="A3138" t="s">
        <v>239</v>
      </c>
      <c r="B3138" s="88">
        <v>43966</v>
      </c>
      <c r="C3138">
        <v>21.698966541769881</v>
      </c>
      <c r="D3138" t="s">
        <v>241</v>
      </c>
    </row>
    <row r="3139" spans="1:4" x14ac:dyDescent="0.35">
      <c r="A3139" t="s">
        <v>239</v>
      </c>
      <c r="B3139" s="88">
        <v>44058</v>
      </c>
      <c r="C3139">
        <v>21.667292909721294</v>
      </c>
      <c r="D3139" t="s">
        <v>241</v>
      </c>
    </row>
    <row r="3140" spans="1:4" x14ac:dyDescent="0.35">
      <c r="A3140" t="s">
        <v>239</v>
      </c>
      <c r="B3140" s="88">
        <v>44150</v>
      </c>
      <c r="C3140">
        <v>21.607415640819742</v>
      </c>
      <c r="D3140" t="s">
        <v>241</v>
      </c>
    </row>
    <row r="3141" spans="1:4" x14ac:dyDescent="0.35">
      <c r="A3141" t="s">
        <v>239</v>
      </c>
      <c r="B3141" s="88">
        <v>44242</v>
      </c>
      <c r="C3141">
        <v>21.634276740145477</v>
      </c>
      <c r="D3141" t="s">
        <v>241</v>
      </c>
    </row>
    <row r="3142" spans="1:4" x14ac:dyDescent="0.35">
      <c r="A3142" t="s">
        <v>239</v>
      </c>
      <c r="B3142" s="88">
        <v>44331</v>
      </c>
      <c r="C3142">
        <v>22.154543865337534</v>
      </c>
      <c r="D3142" t="s">
        <v>241</v>
      </c>
    </row>
    <row r="3143" spans="1:4" x14ac:dyDescent="0.35">
      <c r="A3143" t="s">
        <v>239</v>
      </c>
      <c r="B3143" s="88">
        <v>44423</v>
      </c>
      <c r="C3143">
        <v>22.463019674174848</v>
      </c>
      <c r="D3143" t="s">
        <v>241</v>
      </c>
    </row>
    <row r="3144" spans="1:4" x14ac:dyDescent="0.35">
      <c r="A3144" t="s">
        <v>239</v>
      </c>
      <c r="B3144" s="88">
        <v>44515</v>
      </c>
      <c r="C3144">
        <v>22.513238617242916</v>
      </c>
      <c r="D3144" t="s">
        <v>241</v>
      </c>
    </row>
    <row r="3145" spans="1:4" x14ac:dyDescent="0.35">
      <c r="A3145" t="s">
        <v>239</v>
      </c>
      <c r="B3145" s="88">
        <v>44607</v>
      </c>
      <c r="C3145">
        <v>22.81142956650837</v>
      </c>
      <c r="D3145" t="s">
        <v>241</v>
      </c>
    </row>
    <row r="3146" spans="1:4" x14ac:dyDescent="0.35">
      <c r="A3146" t="s">
        <v>239</v>
      </c>
      <c r="B3146" s="88">
        <v>44696</v>
      </c>
      <c r="C3146">
        <v>22.948036683562172</v>
      </c>
      <c r="D3146" t="s">
        <v>241</v>
      </c>
    </row>
    <row r="3147" spans="1:4" x14ac:dyDescent="0.35">
      <c r="A3147" t="s">
        <v>239</v>
      </c>
      <c r="B3147" s="88">
        <v>44788</v>
      </c>
      <c r="C3147">
        <v>22.878353942899359</v>
      </c>
      <c r="D3147" t="s">
        <v>241</v>
      </c>
    </row>
    <row r="3148" spans="1:4" x14ac:dyDescent="0.35">
      <c r="A3148" t="s">
        <v>239</v>
      </c>
      <c r="B3148" s="88">
        <v>44880</v>
      </c>
      <c r="C3148">
        <v>22.826089873591933</v>
      </c>
      <c r="D3148" t="s">
        <v>241</v>
      </c>
    </row>
    <row r="3149" spans="1:4" x14ac:dyDescent="0.35">
      <c r="A3149" t="s">
        <v>239</v>
      </c>
      <c r="B3149" s="88">
        <v>44972</v>
      </c>
      <c r="C3149">
        <v>22.813294427002724</v>
      </c>
      <c r="D3149" t="s">
        <v>241</v>
      </c>
    </row>
    <row r="3150" spans="1:4" x14ac:dyDescent="0.35">
      <c r="A3150" t="s">
        <v>239</v>
      </c>
      <c r="B3150" s="88">
        <v>45061</v>
      </c>
      <c r="C3150">
        <v>22.955140207407801</v>
      </c>
      <c r="D3150" t="s">
        <v>241</v>
      </c>
    </row>
    <row r="3151" spans="1:4" x14ac:dyDescent="0.35">
      <c r="A3151" t="s">
        <v>239</v>
      </c>
      <c r="B3151" s="88">
        <v>45153</v>
      </c>
      <c r="C3151">
        <v>23.372419964107799</v>
      </c>
      <c r="D3151" t="s">
        <v>241</v>
      </c>
    </row>
    <row r="3152" spans="1:4" x14ac:dyDescent="0.35">
      <c r="A3152" t="s">
        <v>239</v>
      </c>
      <c r="B3152" s="88">
        <v>45245</v>
      </c>
      <c r="C3152">
        <v>23.351281615308899</v>
      </c>
      <c r="D3152" t="s">
        <v>241</v>
      </c>
    </row>
    <row r="3153" spans="1:4" x14ac:dyDescent="0.35">
      <c r="A3153" t="s">
        <v>239</v>
      </c>
      <c r="B3153" s="88">
        <v>45337</v>
      </c>
      <c r="C3153">
        <v>23.4121925977107</v>
      </c>
      <c r="D3153" t="s">
        <v>241</v>
      </c>
    </row>
    <row r="3154" spans="1:4" x14ac:dyDescent="0.35">
      <c r="A3154" t="s">
        <v>239</v>
      </c>
      <c r="B3154" s="88">
        <v>45427</v>
      </c>
      <c r="C3154">
        <v>24.4275338600761</v>
      </c>
      <c r="D3154" t="s">
        <v>241</v>
      </c>
    </row>
    <row r="3155" spans="1:4" x14ac:dyDescent="0.35">
      <c r="A3155" t="s">
        <v>239</v>
      </c>
      <c r="B3155" s="88">
        <v>45519</v>
      </c>
      <c r="C3155">
        <v>24.745719478944299</v>
      </c>
      <c r="D3155" t="s">
        <v>241</v>
      </c>
    </row>
    <row r="3156" spans="1:4" x14ac:dyDescent="0.35">
      <c r="A3156" t="s">
        <v>239</v>
      </c>
      <c r="B3156" s="88">
        <v>45611</v>
      </c>
      <c r="C3156">
        <v>25.0943203265543</v>
      </c>
      <c r="D3156" t="s">
        <v>241</v>
      </c>
    </row>
    <row r="3157" spans="1:4" x14ac:dyDescent="0.35">
      <c r="A3157" t="s">
        <v>239</v>
      </c>
      <c r="B3157" s="88">
        <v>45703</v>
      </c>
      <c r="C3157">
        <v>25.330838656019701</v>
      </c>
      <c r="D3157" t="s">
        <v>241</v>
      </c>
    </row>
    <row r="3158" spans="1:4" x14ac:dyDescent="0.35">
      <c r="A3158" t="s">
        <v>239</v>
      </c>
      <c r="B3158" s="88">
        <v>45792</v>
      </c>
      <c r="C3158">
        <v>26.3963607135457</v>
      </c>
      <c r="D3158" t="s">
        <v>241</v>
      </c>
    </row>
    <row r="3159" spans="1:4" x14ac:dyDescent="0.35">
      <c r="A3159" t="s">
        <v>239</v>
      </c>
      <c r="B3159" s="88">
        <v>45884</v>
      </c>
      <c r="C3159">
        <v>26.5676762201991</v>
      </c>
      <c r="D3159" t="s">
        <v>241</v>
      </c>
    </row>
    <row r="3160" spans="1:4" x14ac:dyDescent="0.35">
      <c r="A3160" t="s">
        <v>239</v>
      </c>
      <c r="B3160" s="88">
        <v>45976</v>
      </c>
      <c r="C3160">
        <v>26.566485546481001</v>
      </c>
      <c r="D3160" t="s">
        <v>241</v>
      </c>
    </row>
    <row r="3161" spans="1:4" x14ac:dyDescent="0.35">
      <c r="A3161" t="s">
        <v>239</v>
      </c>
      <c r="B3161" s="88">
        <v>46068</v>
      </c>
      <c r="C3161">
        <v>27.608523955829799</v>
      </c>
      <c r="D3161" t="s">
        <v>241</v>
      </c>
    </row>
    <row r="3162" spans="1:4" x14ac:dyDescent="0.35">
      <c r="A3162" t="s">
        <v>239</v>
      </c>
      <c r="B3162" s="88">
        <v>46157</v>
      </c>
      <c r="C3162">
        <v>27.967712403895899</v>
      </c>
      <c r="D3162" t="s">
        <v>241</v>
      </c>
    </row>
    <row r="3163" spans="1:4" x14ac:dyDescent="0.35">
      <c r="A3163" t="s">
        <v>239</v>
      </c>
      <c r="B3163" s="88">
        <v>46249</v>
      </c>
      <c r="C3163">
        <v>28.0920927428003</v>
      </c>
      <c r="D3163" t="s">
        <v>241</v>
      </c>
    </row>
    <row r="3164" spans="1:4" x14ac:dyDescent="0.35">
      <c r="A3164" t="s">
        <v>46</v>
      </c>
      <c r="B3164" s="88">
        <v>43511</v>
      </c>
      <c r="C3164">
        <v>20.221084802182858</v>
      </c>
      <c r="D3164" t="s">
        <v>241</v>
      </c>
    </row>
    <row r="3165" spans="1:4" x14ac:dyDescent="0.35">
      <c r="A3165" t="s">
        <v>46</v>
      </c>
      <c r="B3165" s="88">
        <v>43600</v>
      </c>
      <c r="C3165">
        <v>20.155754450677605</v>
      </c>
      <c r="D3165" t="s">
        <v>241</v>
      </c>
    </row>
    <row r="3166" spans="1:4" x14ac:dyDescent="0.35">
      <c r="A3166" t="s">
        <v>46</v>
      </c>
      <c r="B3166" s="88">
        <v>43692</v>
      </c>
      <c r="C3166">
        <v>20.725443807813612</v>
      </c>
      <c r="D3166" t="s">
        <v>241</v>
      </c>
    </row>
    <row r="3167" spans="1:4" x14ac:dyDescent="0.35">
      <c r="A3167" t="s">
        <v>46</v>
      </c>
      <c r="B3167" s="88">
        <v>43784</v>
      </c>
      <c r="C3167">
        <v>20.949227312236218</v>
      </c>
      <c r="D3167" t="s">
        <v>241</v>
      </c>
    </row>
    <row r="3168" spans="1:4" x14ac:dyDescent="0.35">
      <c r="A3168" t="s">
        <v>46</v>
      </c>
      <c r="B3168" s="88">
        <v>43876</v>
      </c>
      <c r="C3168">
        <v>20.920291667573139</v>
      </c>
      <c r="D3168" t="s">
        <v>241</v>
      </c>
    </row>
    <row r="3169" spans="1:4" x14ac:dyDescent="0.35">
      <c r="A3169" t="s">
        <v>46</v>
      </c>
      <c r="B3169" s="88">
        <v>43966</v>
      </c>
      <c r="C3169">
        <v>21.671035511205996</v>
      </c>
      <c r="D3169" t="s">
        <v>241</v>
      </c>
    </row>
    <row r="3170" spans="1:4" x14ac:dyDescent="0.35">
      <c r="A3170" t="s">
        <v>46</v>
      </c>
      <c r="B3170" s="88">
        <v>44058</v>
      </c>
      <c r="C3170">
        <v>21.66783362779028</v>
      </c>
      <c r="D3170" t="s">
        <v>241</v>
      </c>
    </row>
    <row r="3171" spans="1:4" x14ac:dyDescent="0.35">
      <c r="A3171" t="s">
        <v>46</v>
      </c>
      <c r="B3171" s="88">
        <v>44150</v>
      </c>
      <c r="C3171">
        <v>21.596281692826704</v>
      </c>
      <c r="D3171" t="s">
        <v>241</v>
      </c>
    </row>
    <row r="3172" spans="1:4" x14ac:dyDescent="0.35">
      <c r="A3172" t="s">
        <v>46</v>
      </c>
      <c r="B3172" s="88">
        <v>44242</v>
      </c>
      <c r="C3172">
        <v>21.648931286734395</v>
      </c>
      <c r="D3172" t="s">
        <v>241</v>
      </c>
    </row>
    <row r="3173" spans="1:4" x14ac:dyDescent="0.35">
      <c r="A3173" t="s">
        <v>46</v>
      </c>
      <c r="B3173" s="88">
        <v>44331</v>
      </c>
      <c r="C3173">
        <v>21.890654291124996</v>
      </c>
      <c r="D3173" t="s">
        <v>241</v>
      </c>
    </row>
    <row r="3174" spans="1:4" x14ac:dyDescent="0.35">
      <c r="A3174" t="s">
        <v>46</v>
      </c>
      <c r="B3174" s="88">
        <v>44423</v>
      </c>
      <c r="C3174">
        <v>22.301549123633038</v>
      </c>
      <c r="D3174" t="s">
        <v>241</v>
      </c>
    </row>
    <row r="3175" spans="1:4" x14ac:dyDescent="0.35">
      <c r="A3175" t="s">
        <v>46</v>
      </c>
      <c r="B3175" s="88">
        <v>44515</v>
      </c>
      <c r="C3175">
        <v>22.580334456970398</v>
      </c>
      <c r="D3175" t="s">
        <v>241</v>
      </c>
    </row>
    <row r="3176" spans="1:4" x14ac:dyDescent="0.35">
      <c r="A3176" t="s">
        <v>46</v>
      </c>
      <c r="B3176" s="88">
        <v>44607</v>
      </c>
      <c r="C3176">
        <v>22.775402571199169</v>
      </c>
      <c r="D3176" t="s">
        <v>241</v>
      </c>
    </row>
    <row r="3177" spans="1:4" x14ac:dyDescent="0.35">
      <c r="A3177" t="s">
        <v>46</v>
      </c>
      <c r="B3177" s="88">
        <v>44696</v>
      </c>
      <c r="C3177">
        <v>23.352005763111634</v>
      </c>
      <c r="D3177" t="s">
        <v>241</v>
      </c>
    </row>
    <row r="3178" spans="1:4" x14ac:dyDescent="0.35">
      <c r="A3178" t="s">
        <v>46</v>
      </c>
      <c r="B3178" s="88">
        <v>44788</v>
      </c>
      <c r="C3178">
        <v>23.285268744257348</v>
      </c>
      <c r="D3178" t="s">
        <v>241</v>
      </c>
    </row>
    <row r="3179" spans="1:4" x14ac:dyDescent="0.35">
      <c r="A3179" t="s">
        <v>46</v>
      </c>
      <c r="B3179" s="88">
        <v>44880</v>
      </c>
      <c r="C3179">
        <v>23.192079801001093</v>
      </c>
      <c r="D3179" t="s">
        <v>241</v>
      </c>
    </row>
    <row r="3180" spans="1:4" x14ac:dyDescent="0.35">
      <c r="A3180" t="s">
        <v>46</v>
      </c>
      <c r="B3180" s="88">
        <v>44972</v>
      </c>
      <c r="C3180">
        <v>22.70401205934818</v>
      </c>
      <c r="D3180" t="s">
        <v>241</v>
      </c>
    </row>
    <row r="3181" spans="1:4" x14ac:dyDescent="0.35">
      <c r="A3181" t="s">
        <v>46</v>
      </c>
      <c r="B3181" s="88">
        <v>45061</v>
      </c>
      <c r="C3181">
        <v>23.4225369684907</v>
      </c>
      <c r="D3181" t="s">
        <v>241</v>
      </c>
    </row>
    <row r="3182" spans="1:4" x14ac:dyDescent="0.35">
      <c r="A3182" t="s">
        <v>46</v>
      </c>
      <c r="B3182" s="88">
        <v>45153</v>
      </c>
      <c r="C3182">
        <v>23.8549115488767</v>
      </c>
      <c r="D3182" t="s">
        <v>241</v>
      </c>
    </row>
    <row r="3183" spans="1:4" x14ac:dyDescent="0.35">
      <c r="A3183" t="s">
        <v>46</v>
      </c>
      <c r="B3183" s="88">
        <v>45245</v>
      </c>
      <c r="C3183">
        <v>23.911060156836299</v>
      </c>
      <c r="D3183" t="s">
        <v>241</v>
      </c>
    </row>
    <row r="3184" spans="1:4" x14ac:dyDescent="0.35">
      <c r="A3184" t="s">
        <v>46</v>
      </c>
      <c r="B3184" s="88">
        <v>45337</v>
      </c>
      <c r="C3184">
        <v>23.621144488896299</v>
      </c>
      <c r="D3184" t="s">
        <v>241</v>
      </c>
    </row>
    <row r="3185" spans="1:4" x14ac:dyDescent="0.35">
      <c r="A3185" t="s">
        <v>46</v>
      </c>
      <c r="B3185" s="88">
        <v>45427</v>
      </c>
      <c r="C3185">
        <v>24.5964145569564</v>
      </c>
      <c r="D3185" t="s">
        <v>241</v>
      </c>
    </row>
    <row r="3186" spans="1:4" x14ac:dyDescent="0.35">
      <c r="A3186" t="s">
        <v>46</v>
      </c>
      <c r="B3186" s="88">
        <v>45519</v>
      </c>
      <c r="C3186">
        <v>24.6810393468092</v>
      </c>
      <c r="D3186" t="s">
        <v>241</v>
      </c>
    </row>
    <row r="3187" spans="1:4" x14ac:dyDescent="0.35">
      <c r="A3187" t="s">
        <v>46</v>
      </c>
      <c r="B3187" s="88">
        <v>45611</v>
      </c>
      <c r="C3187">
        <v>25.231871236337799</v>
      </c>
      <c r="D3187" t="s">
        <v>241</v>
      </c>
    </row>
    <row r="3188" spans="1:4" x14ac:dyDescent="0.35">
      <c r="A3188" t="s">
        <v>46</v>
      </c>
      <c r="B3188" s="88">
        <v>45703</v>
      </c>
      <c r="C3188">
        <v>25.866507602420199</v>
      </c>
      <c r="D3188" t="s">
        <v>241</v>
      </c>
    </row>
    <row r="3189" spans="1:4" x14ac:dyDescent="0.35">
      <c r="A3189" t="s">
        <v>46</v>
      </c>
      <c r="B3189" s="88">
        <v>45792</v>
      </c>
      <c r="C3189">
        <v>25.640210449420501</v>
      </c>
      <c r="D3189" t="s">
        <v>241</v>
      </c>
    </row>
    <row r="3190" spans="1:4" x14ac:dyDescent="0.35">
      <c r="A3190" t="s">
        <v>46</v>
      </c>
      <c r="B3190" s="88">
        <v>45884</v>
      </c>
      <c r="C3190">
        <v>25.9168129938883</v>
      </c>
      <c r="D3190" t="s">
        <v>241</v>
      </c>
    </row>
    <row r="3191" spans="1:4" x14ac:dyDescent="0.35">
      <c r="A3191" t="s">
        <v>46</v>
      </c>
      <c r="B3191" s="88">
        <v>45976</v>
      </c>
      <c r="C3191">
        <v>25.885259513661801</v>
      </c>
      <c r="D3191" t="s">
        <v>241</v>
      </c>
    </row>
    <row r="3192" spans="1:4" x14ac:dyDescent="0.35">
      <c r="A3192" t="s">
        <v>46</v>
      </c>
      <c r="B3192" s="88">
        <v>46068</v>
      </c>
      <c r="C3192">
        <v>26.5911992680719</v>
      </c>
      <c r="D3192" t="s">
        <v>241</v>
      </c>
    </row>
    <row r="3193" spans="1:4" x14ac:dyDescent="0.35">
      <c r="A3193" t="s">
        <v>46</v>
      </c>
      <c r="B3193" s="88">
        <v>46157</v>
      </c>
      <c r="C3193">
        <v>27.318632118303601</v>
      </c>
      <c r="D3193" t="s">
        <v>241</v>
      </c>
    </row>
    <row r="3194" spans="1:4" x14ac:dyDescent="0.35">
      <c r="A3194" t="s">
        <v>46</v>
      </c>
      <c r="B3194" s="88">
        <v>46249</v>
      </c>
      <c r="C3194">
        <v>26.971819058593699</v>
      </c>
      <c r="D3194" t="s">
        <v>241</v>
      </c>
    </row>
    <row r="3195" spans="1:4" x14ac:dyDescent="0.35">
      <c r="A3195" t="s">
        <v>47</v>
      </c>
      <c r="B3195" s="88">
        <v>43511</v>
      </c>
      <c r="C3195">
        <v>18.715143515940049</v>
      </c>
      <c r="D3195" t="s">
        <v>241</v>
      </c>
    </row>
    <row r="3196" spans="1:4" x14ac:dyDescent="0.35">
      <c r="A3196" t="s">
        <v>47</v>
      </c>
      <c r="B3196" s="88">
        <v>43600</v>
      </c>
      <c r="C3196">
        <v>18.984081942800678</v>
      </c>
      <c r="D3196" t="s">
        <v>241</v>
      </c>
    </row>
    <row r="3197" spans="1:4" x14ac:dyDescent="0.35">
      <c r="A3197" t="s">
        <v>47</v>
      </c>
      <c r="B3197" s="88">
        <v>43692</v>
      </c>
      <c r="C3197">
        <v>19.517920455553472</v>
      </c>
      <c r="D3197" t="s">
        <v>241</v>
      </c>
    </row>
    <row r="3198" spans="1:4" x14ac:dyDescent="0.35">
      <c r="A3198" t="s">
        <v>47</v>
      </c>
      <c r="B3198" s="88">
        <v>43784</v>
      </c>
      <c r="C3198">
        <v>19.986020683367727</v>
      </c>
      <c r="D3198" t="s">
        <v>241</v>
      </c>
    </row>
    <row r="3199" spans="1:4" x14ac:dyDescent="0.35">
      <c r="A3199" t="s">
        <v>47</v>
      </c>
      <c r="B3199" s="88">
        <v>43876</v>
      </c>
      <c r="C3199">
        <v>20.119140837024084</v>
      </c>
      <c r="D3199" t="s">
        <v>241</v>
      </c>
    </row>
    <row r="3200" spans="1:4" x14ac:dyDescent="0.35">
      <c r="A3200" t="s">
        <v>47</v>
      </c>
      <c r="B3200" s="88">
        <v>43966</v>
      </c>
      <c r="C3200">
        <v>20.376087822731812</v>
      </c>
      <c r="D3200" t="s">
        <v>241</v>
      </c>
    </row>
    <row r="3201" spans="1:4" x14ac:dyDescent="0.35">
      <c r="A3201" t="s">
        <v>47</v>
      </c>
      <c r="B3201" s="88">
        <v>44058</v>
      </c>
      <c r="C3201">
        <v>20.394432862679388</v>
      </c>
      <c r="D3201" t="s">
        <v>241</v>
      </c>
    </row>
    <row r="3202" spans="1:4" x14ac:dyDescent="0.35">
      <c r="A3202" t="s">
        <v>47</v>
      </c>
      <c r="B3202" s="88">
        <v>44150</v>
      </c>
      <c r="C3202">
        <v>20.39307612712286</v>
      </c>
      <c r="D3202" t="s">
        <v>241</v>
      </c>
    </row>
    <row r="3203" spans="1:4" x14ac:dyDescent="0.35">
      <c r="A3203" t="s">
        <v>47</v>
      </c>
      <c r="B3203" s="88">
        <v>44242</v>
      </c>
      <c r="C3203">
        <v>19.832401791112972</v>
      </c>
      <c r="D3203" t="s">
        <v>241</v>
      </c>
    </row>
    <row r="3204" spans="1:4" x14ac:dyDescent="0.35">
      <c r="A3204" t="s">
        <v>47</v>
      </c>
      <c r="B3204" s="88">
        <v>44331</v>
      </c>
      <c r="C3204">
        <v>19.651011329552944</v>
      </c>
      <c r="D3204" t="s">
        <v>241</v>
      </c>
    </row>
    <row r="3205" spans="1:4" x14ac:dyDescent="0.35">
      <c r="A3205" t="s">
        <v>47</v>
      </c>
      <c r="B3205" s="88">
        <v>44423</v>
      </c>
      <c r="C3205">
        <v>21.025514475072164</v>
      </c>
      <c r="D3205" t="s">
        <v>241</v>
      </c>
    </row>
    <row r="3206" spans="1:4" x14ac:dyDescent="0.35">
      <c r="A3206" t="s">
        <v>47</v>
      </c>
      <c r="B3206" s="88">
        <v>44515</v>
      </c>
      <c r="C3206">
        <v>21.504899906558173</v>
      </c>
      <c r="D3206" t="s">
        <v>241</v>
      </c>
    </row>
    <row r="3207" spans="1:4" x14ac:dyDescent="0.35">
      <c r="A3207" t="s">
        <v>47</v>
      </c>
      <c r="B3207" s="88">
        <v>44607</v>
      </c>
      <c r="C3207">
        <v>21.816359368570517</v>
      </c>
      <c r="D3207" t="s">
        <v>241</v>
      </c>
    </row>
    <row r="3208" spans="1:4" x14ac:dyDescent="0.35">
      <c r="A3208" t="s">
        <v>47</v>
      </c>
      <c r="B3208" s="88">
        <v>44696</v>
      </c>
      <c r="C3208">
        <v>21.803464124635131</v>
      </c>
      <c r="D3208" t="s">
        <v>241</v>
      </c>
    </row>
    <row r="3209" spans="1:4" x14ac:dyDescent="0.35">
      <c r="A3209" t="s">
        <v>47</v>
      </c>
      <c r="B3209" s="88">
        <v>44788</v>
      </c>
      <c r="C3209">
        <v>22.046981461455395</v>
      </c>
      <c r="D3209" t="s">
        <v>241</v>
      </c>
    </row>
    <row r="3210" spans="1:4" x14ac:dyDescent="0.35">
      <c r="A3210" t="s">
        <v>47</v>
      </c>
      <c r="B3210" s="88">
        <v>44880</v>
      </c>
      <c r="C3210">
        <v>22.083353392882522</v>
      </c>
      <c r="D3210" t="s">
        <v>241</v>
      </c>
    </row>
    <row r="3211" spans="1:4" x14ac:dyDescent="0.35">
      <c r="A3211" t="s">
        <v>47</v>
      </c>
      <c r="B3211" s="88">
        <v>44972</v>
      </c>
      <c r="C3211">
        <v>22.158519230079854</v>
      </c>
      <c r="D3211" t="s">
        <v>241</v>
      </c>
    </row>
    <row r="3212" spans="1:4" x14ac:dyDescent="0.35">
      <c r="A3212" t="s">
        <v>47</v>
      </c>
      <c r="B3212" s="88">
        <v>45061</v>
      </c>
      <c r="C3212">
        <v>22.477408648442498</v>
      </c>
      <c r="D3212" t="s">
        <v>241</v>
      </c>
    </row>
    <row r="3213" spans="1:4" x14ac:dyDescent="0.35">
      <c r="A3213" t="s">
        <v>47</v>
      </c>
      <c r="B3213" s="88">
        <v>45153</v>
      </c>
      <c r="C3213">
        <v>22.790993529537801</v>
      </c>
      <c r="D3213" t="s">
        <v>241</v>
      </c>
    </row>
    <row r="3214" spans="1:4" x14ac:dyDescent="0.35">
      <c r="A3214" t="s">
        <v>47</v>
      </c>
      <c r="B3214" s="88">
        <v>45245</v>
      </c>
      <c r="C3214">
        <v>22.509658446583501</v>
      </c>
      <c r="D3214" t="s">
        <v>241</v>
      </c>
    </row>
    <row r="3215" spans="1:4" x14ac:dyDescent="0.35">
      <c r="A3215" t="s">
        <v>47</v>
      </c>
      <c r="B3215" s="88">
        <v>45337</v>
      </c>
      <c r="C3215">
        <v>23.001519120164701</v>
      </c>
      <c r="D3215" t="s">
        <v>241</v>
      </c>
    </row>
    <row r="3216" spans="1:4" x14ac:dyDescent="0.35">
      <c r="A3216" t="s">
        <v>47</v>
      </c>
      <c r="B3216" s="88">
        <v>45427</v>
      </c>
      <c r="C3216">
        <v>23.6134196759633</v>
      </c>
      <c r="D3216" t="s">
        <v>241</v>
      </c>
    </row>
    <row r="3217" spans="1:4" x14ac:dyDescent="0.35">
      <c r="A3217" t="s">
        <v>47</v>
      </c>
      <c r="B3217" s="88">
        <v>45519</v>
      </c>
      <c r="C3217">
        <v>23.1889818567204</v>
      </c>
      <c r="D3217" t="s">
        <v>241</v>
      </c>
    </row>
    <row r="3218" spans="1:4" x14ac:dyDescent="0.35">
      <c r="A3218" t="s">
        <v>47</v>
      </c>
      <c r="B3218" s="88">
        <v>45611</v>
      </c>
      <c r="C3218">
        <v>24.080786849811702</v>
      </c>
      <c r="D3218" t="s">
        <v>241</v>
      </c>
    </row>
    <row r="3219" spans="1:4" x14ac:dyDescent="0.35">
      <c r="A3219" t="s">
        <v>47</v>
      </c>
      <c r="B3219" s="88">
        <v>45703</v>
      </c>
      <c r="C3219">
        <v>24.416509258602002</v>
      </c>
      <c r="D3219" t="s">
        <v>241</v>
      </c>
    </row>
    <row r="3220" spans="1:4" x14ac:dyDescent="0.35">
      <c r="A3220" t="s">
        <v>47</v>
      </c>
      <c r="B3220" s="88">
        <v>45792</v>
      </c>
      <c r="C3220">
        <v>25.953385503104801</v>
      </c>
      <c r="D3220" t="s">
        <v>241</v>
      </c>
    </row>
    <row r="3221" spans="1:4" x14ac:dyDescent="0.35">
      <c r="A3221" t="s">
        <v>47</v>
      </c>
      <c r="B3221" s="88">
        <v>45884</v>
      </c>
      <c r="C3221">
        <v>26.1369315932733</v>
      </c>
      <c r="D3221" t="s">
        <v>241</v>
      </c>
    </row>
    <row r="3222" spans="1:4" x14ac:dyDescent="0.35">
      <c r="A3222" t="s">
        <v>47</v>
      </c>
      <c r="B3222" s="88">
        <v>45976</v>
      </c>
      <c r="C3222">
        <v>26.143301306515902</v>
      </c>
      <c r="D3222" t="s">
        <v>241</v>
      </c>
    </row>
    <row r="3223" spans="1:4" x14ac:dyDescent="0.35">
      <c r="A3223" t="s">
        <v>47</v>
      </c>
      <c r="B3223" s="88">
        <v>46068</v>
      </c>
      <c r="C3223">
        <v>26.803196403172802</v>
      </c>
      <c r="D3223" t="s">
        <v>241</v>
      </c>
    </row>
    <row r="3224" spans="1:4" x14ac:dyDescent="0.35">
      <c r="A3224" t="s">
        <v>47</v>
      </c>
      <c r="B3224" s="88">
        <v>46157</v>
      </c>
      <c r="C3224">
        <v>27.5552709055695</v>
      </c>
      <c r="D3224" t="s">
        <v>241</v>
      </c>
    </row>
    <row r="3225" spans="1:4" x14ac:dyDescent="0.35">
      <c r="A3225" t="s">
        <v>47</v>
      </c>
      <c r="B3225" s="88">
        <v>46249</v>
      </c>
      <c r="C3225">
        <v>26.8982644308375</v>
      </c>
      <c r="D3225" t="s">
        <v>241</v>
      </c>
    </row>
    <row r="3226" spans="1:4" x14ac:dyDescent="0.35">
      <c r="A3226" t="s">
        <v>48</v>
      </c>
      <c r="B3226" s="88">
        <v>43511</v>
      </c>
      <c r="C3226">
        <v>18.031122714109848</v>
      </c>
      <c r="D3226" t="s">
        <v>241</v>
      </c>
    </row>
    <row r="3227" spans="1:4" x14ac:dyDescent="0.35">
      <c r="A3227" t="s">
        <v>48</v>
      </c>
      <c r="B3227" s="88">
        <v>43600</v>
      </c>
      <c r="C3227">
        <v>18.030224976211947</v>
      </c>
      <c r="D3227" t="s">
        <v>241</v>
      </c>
    </row>
    <row r="3228" spans="1:4" x14ac:dyDescent="0.35">
      <c r="A3228" t="s">
        <v>48</v>
      </c>
      <c r="B3228" s="88">
        <v>43692</v>
      </c>
      <c r="C3228">
        <v>18.47390965936944</v>
      </c>
      <c r="D3228" t="s">
        <v>241</v>
      </c>
    </row>
    <row r="3229" spans="1:4" x14ac:dyDescent="0.35">
      <c r="A3229" t="s">
        <v>48</v>
      </c>
      <c r="B3229" s="88">
        <v>43784</v>
      </c>
      <c r="C3229">
        <v>18.791634795156355</v>
      </c>
      <c r="D3229" t="s">
        <v>241</v>
      </c>
    </row>
    <row r="3230" spans="1:4" x14ac:dyDescent="0.35">
      <c r="A3230" t="s">
        <v>48</v>
      </c>
      <c r="B3230" s="88">
        <v>43876</v>
      </c>
      <c r="C3230">
        <v>18.845386616749146</v>
      </c>
      <c r="D3230" t="s">
        <v>241</v>
      </c>
    </row>
    <row r="3231" spans="1:4" x14ac:dyDescent="0.35">
      <c r="A3231" t="s">
        <v>48</v>
      </c>
      <c r="B3231" s="88">
        <v>43966</v>
      </c>
      <c r="C3231">
        <v>19.007694651456198</v>
      </c>
      <c r="D3231" t="s">
        <v>241</v>
      </c>
    </row>
    <row r="3232" spans="1:4" x14ac:dyDescent="0.35">
      <c r="A3232" t="s">
        <v>48</v>
      </c>
      <c r="B3232" s="88">
        <v>44058</v>
      </c>
      <c r="C3232">
        <v>19.006935211999785</v>
      </c>
      <c r="D3232" t="s">
        <v>241</v>
      </c>
    </row>
    <row r="3233" spans="1:4" x14ac:dyDescent="0.35">
      <c r="A3233" t="s">
        <v>48</v>
      </c>
      <c r="B3233" s="88">
        <v>44150</v>
      </c>
      <c r="C3233">
        <v>19.012066602621989</v>
      </c>
      <c r="D3233" t="s">
        <v>241</v>
      </c>
    </row>
    <row r="3234" spans="1:4" x14ac:dyDescent="0.35">
      <c r="A3234" t="s">
        <v>48</v>
      </c>
      <c r="B3234" s="88">
        <v>44242</v>
      </c>
      <c r="C3234">
        <v>19.063599466670933</v>
      </c>
      <c r="D3234" t="s">
        <v>241</v>
      </c>
    </row>
    <row r="3235" spans="1:4" x14ac:dyDescent="0.35">
      <c r="A3235" t="s">
        <v>48</v>
      </c>
      <c r="B3235" s="88">
        <v>44331</v>
      </c>
      <c r="C3235">
        <v>19.440985046691672</v>
      </c>
      <c r="D3235" t="s">
        <v>241</v>
      </c>
    </row>
    <row r="3236" spans="1:4" x14ac:dyDescent="0.35">
      <c r="A3236" t="s">
        <v>48</v>
      </c>
      <c r="B3236" s="88">
        <v>44423</v>
      </c>
      <c r="C3236">
        <v>19.892530692045071</v>
      </c>
      <c r="D3236" t="s">
        <v>241</v>
      </c>
    </row>
    <row r="3237" spans="1:4" x14ac:dyDescent="0.35">
      <c r="A3237" t="s">
        <v>48</v>
      </c>
      <c r="B3237" s="88">
        <v>44515</v>
      </c>
      <c r="C3237">
        <v>20.021848226478063</v>
      </c>
      <c r="D3237" t="s">
        <v>241</v>
      </c>
    </row>
    <row r="3238" spans="1:4" x14ac:dyDescent="0.35">
      <c r="A3238" t="s">
        <v>48</v>
      </c>
      <c r="B3238" s="88">
        <v>44607</v>
      </c>
      <c r="C3238">
        <v>20.165590193337422</v>
      </c>
      <c r="D3238" t="s">
        <v>241</v>
      </c>
    </row>
    <row r="3239" spans="1:4" x14ac:dyDescent="0.35">
      <c r="A3239" t="s">
        <v>48</v>
      </c>
      <c r="B3239" s="88">
        <v>44696</v>
      </c>
      <c r="C3239">
        <v>20.395336333997395</v>
      </c>
      <c r="D3239" t="s">
        <v>241</v>
      </c>
    </row>
    <row r="3240" spans="1:4" x14ac:dyDescent="0.35">
      <c r="A3240" t="s">
        <v>48</v>
      </c>
      <c r="B3240" s="88">
        <v>44788</v>
      </c>
      <c r="C3240">
        <v>20.488814096112915</v>
      </c>
      <c r="D3240" t="s">
        <v>241</v>
      </c>
    </row>
    <row r="3241" spans="1:4" x14ac:dyDescent="0.35">
      <c r="A3241" t="s">
        <v>48</v>
      </c>
      <c r="B3241" s="88">
        <v>44880</v>
      </c>
      <c r="C3241">
        <v>20.622781577913909</v>
      </c>
      <c r="D3241" t="s">
        <v>241</v>
      </c>
    </row>
    <row r="3242" spans="1:4" x14ac:dyDescent="0.35">
      <c r="A3242" t="s">
        <v>48</v>
      </c>
      <c r="B3242" s="88">
        <v>44972</v>
      </c>
      <c r="C3242">
        <v>20.82676889047357</v>
      </c>
      <c r="D3242" t="s">
        <v>241</v>
      </c>
    </row>
    <row r="3243" spans="1:4" x14ac:dyDescent="0.35">
      <c r="A3243" t="s">
        <v>48</v>
      </c>
      <c r="B3243" s="88">
        <v>45061</v>
      </c>
      <c r="C3243">
        <v>21.238876867672399</v>
      </c>
      <c r="D3243" t="s">
        <v>241</v>
      </c>
    </row>
    <row r="3244" spans="1:4" x14ac:dyDescent="0.35">
      <c r="A3244" t="s">
        <v>48</v>
      </c>
      <c r="B3244" s="88">
        <v>45153</v>
      </c>
      <c r="C3244">
        <v>21.6161982858453</v>
      </c>
      <c r="D3244" t="s">
        <v>241</v>
      </c>
    </row>
    <row r="3245" spans="1:4" x14ac:dyDescent="0.35">
      <c r="A3245" t="s">
        <v>48</v>
      </c>
      <c r="B3245" s="88">
        <v>45245</v>
      </c>
      <c r="C3245">
        <v>21.7774600758747</v>
      </c>
      <c r="D3245" t="s">
        <v>241</v>
      </c>
    </row>
    <row r="3246" spans="1:4" x14ac:dyDescent="0.35">
      <c r="A3246" t="s">
        <v>48</v>
      </c>
      <c r="B3246" s="88">
        <v>45337</v>
      </c>
      <c r="C3246">
        <v>21.8948192925473</v>
      </c>
      <c r="D3246" t="s">
        <v>241</v>
      </c>
    </row>
    <row r="3247" spans="1:4" x14ac:dyDescent="0.35">
      <c r="A3247" t="s">
        <v>48</v>
      </c>
      <c r="B3247" s="88">
        <v>45427</v>
      </c>
      <c r="C3247">
        <v>22.3449566808907</v>
      </c>
      <c r="D3247" t="s">
        <v>241</v>
      </c>
    </row>
    <row r="3248" spans="1:4" x14ac:dyDescent="0.35">
      <c r="A3248" t="s">
        <v>48</v>
      </c>
      <c r="B3248" s="88">
        <v>45519</v>
      </c>
      <c r="C3248">
        <v>22.723486571993899</v>
      </c>
      <c r="D3248" t="s">
        <v>241</v>
      </c>
    </row>
    <row r="3249" spans="1:4" x14ac:dyDescent="0.35">
      <c r="A3249" t="s">
        <v>48</v>
      </c>
      <c r="B3249" s="88">
        <v>45611</v>
      </c>
      <c r="C3249">
        <v>23.002373241535199</v>
      </c>
      <c r="D3249" t="s">
        <v>241</v>
      </c>
    </row>
    <row r="3250" spans="1:4" x14ac:dyDescent="0.35">
      <c r="A3250" t="s">
        <v>48</v>
      </c>
      <c r="B3250" s="88">
        <v>45703</v>
      </c>
      <c r="C3250">
        <v>23.1458649756777</v>
      </c>
      <c r="D3250" t="s">
        <v>241</v>
      </c>
    </row>
    <row r="3251" spans="1:4" x14ac:dyDescent="0.35">
      <c r="A3251" t="s">
        <v>48</v>
      </c>
      <c r="B3251" s="88">
        <v>45792</v>
      </c>
      <c r="C3251">
        <v>24.209571865959301</v>
      </c>
      <c r="D3251" t="s">
        <v>241</v>
      </c>
    </row>
    <row r="3252" spans="1:4" x14ac:dyDescent="0.35">
      <c r="A3252" t="s">
        <v>48</v>
      </c>
      <c r="B3252" s="88">
        <v>45884</v>
      </c>
      <c r="C3252">
        <v>24.319973786582601</v>
      </c>
      <c r="D3252" t="s">
        <v>241</v>
      </c>
    </row>
    <row r="3253" spans="1:4" x14ac:dyDescent="0.35">
      <c r="A3253" t="s">
        <v>48</v>
      </c>
      <c r="B3253" s="88">
        <v>45976</v>
      </c>
      <c r="C3253">
        <v>24.2619502722386</v>
      </c>
      <c r="D3253" t="s">
        <v>241</v>
      </c>
    </row>
    <row r="3254" spans="1:4" x14ac:dyDescent="0.35">
      <c r="A3254" t="s">
        <v>48</v>
      </c>
      <c r="B3254" s="88">
        <v>46068</v>
      </c>
      <c r="C3254">
        <v>25.087049711692199</v>
      </c>
      <c r="D3254" t="s">
        <v>241</v>
      </c>
    </row>
    <row r="3255" spans="1:4" x14ac:dyDescent="0.35">
      <c r="A3255" t="s">
        <v>48</v>
      </c>
      <c r="B3255" s="88">
        <v>46157</v>
      </c>
      <c r="C3255">
        <v>25.485943848181499</v>
      </c>
      <c r="D3255" t="s">
        <v>241</v>
      </c>
    </row>
    <row r="3256" spans="1:4" x14ac:dyDescent="0.35">
      <c r="A3256" t="s">
        <v>48</v>
      </c>
      <c r="B3256" s="88">
        <v>46249</v>
      </c>
      <c r="C3256">
        <v>25.5523704547881</v>
      </c>
      <c r="D3256" t="s">
        <v>241</v>
      </c>
    </row>
    <row r="3257" spans="1:4" x14ac:dyDescent="0.35">
      <c r="A3257" t="s">
        <v>49</v>
      </c>
      <c r="B3257" s="88">
        <v>43511</v>
      </c>
      <c r="C3257">
        <v>19.035875832445669</v>
      </c>
      <c r="D3257" t="s">
        <v>241</v>
      </c>
    </row>
    <row r="3258" spans="1:4" x14ac:dyDescent="0.35">
      <c r="A3258" t="s">
        <v>49</v>
      </c>
      <c r="B3258" s="88">
        <v>43600</v>
      </c>
      <c r="C3258">
        <v>19.040767856118187</v>
      </c>
      <c r="D3258" t="s">
        <v>241</v>
      </c>
    </row>
    <row r="3259" spans="1:4" x14ac:dyDescent="0.35">
      <c r="A3259" t="s">
        <v>49</v>
      </c>
      <c r="B3259" s="88">
        <v>43692</v>
      </c>
      <c r="C3259">
        <v>19.10069615533304</v>
      </c>
      <c r="D3259" t="s">
        <v>241</v>
      </c>
    </row>
    <row r="3260" spans="1:4" x14ac:dyDescent="0.35">
      <c r="A3260" t="s">
        <v>49</v>
      </c>
      <c r="B3260" s="88">
        <v>43784</v>
      </c>
      <c r="C3260">
        <v>19.685521221234815</v>
      </c>
      <c r="D3260" t="s">
        <v>241</v>
      </c>
    </row>
    <row r="3261" spans="1:4" x14ac:dyDescent="0.35">
      <c r="A3261" t="s">
        <v>49</v>
      </c>
      <c r="B3261" s="88">
        <v>43876</v>
      </c>
      <c r="C3261">
        <v>19.868364518918888</v>
      </c>
      <c r="D3261" t="s">
        <v>241</v>
      </c>
    </row>
    <row r="3262" spans="1:4" x14ac:dyDescent="0.35">
      <c r="A3262" t="s">
        <v>49</v>
      </c>
      <c r="B3262" s="88">
        <v>43966</v>
      </c>
      <c r="C3262">
        <v>20.543754893540758</v>
      </c>
      <c r="D3262" t="s">
        <v>241</v>
      </c>
    </row>
    <row r="3263" spans="1:4" x14ac:dyDescent="0.35">
      <c r="A3263" t="s">
        <v>49</v>
      </c>
      <c r="B3263" s="88">
        <v>44058</v>
      </c>
      <c r="C3263">
        <v>20.528552173166759</v>
      </c>
      <c r="D3263" t="s">
        <v>241</v>
      </c>
    </row>
    <row r="3264" spans="1:4" x14ac:dyDescent="0.35">
      <c r="A3264" t="s">
        <v>49</v>
      </c>
      <c r="B3264" s="88">
        <v>44150</v>
      </c>
      <c r="C3264">
        <v>20.516627243462885</v>
      </c>
      <c r="D3264" t="s">
        <v>241</v>
      </c>
    </row>
    <row r="3265" spans="1:4" x14ac:dyDescent="0.35">
      <c r="A3265" t="s">
        <v>49</v>
      </c>
      <c r="B3265" s="88">
        <v>44242</v>
      </c>
      <c r="C3265">
        <v>20.584130393132888</v>
      </c>
      <c r="D3265" t="s">
        <v>241</v>
      </c>
    </row>
    <row r="3266" spans="1:4" x14ac:dyDescent="0.35">
      <c r="A3266" t="s">
        <v>49</v>
      </c>
      <c r="B3266" s="88">
        <v>44331</v>
      </c>
      <c r="C3266">
        <v>20.555151651065014</v>
      </c>
      <c r="D3266" t="s">
        <v>241</v>
      </c>
    </row>
    <row r="3267" spans="1:4" x14ac:dyDescent="0.35">
      <c r="A3267" t="s">
        <v>49</v>
      </c>
      <c r="B3267" s="88">
        <v>44423</v>
      </c>
      <c r="C3267">
        <v>21.05054954262523</v>
      </c>
      <c r="D3267" t="s">
        <v>241</v>
      </c>
    </row>
    <row r="3268" spans="1:4" x14ac:dyDescent="0.35">
      <c r="A3268" t="s">
        <v>49</v>
      </c>
      <c r="B3268" s="88">
        <v>44515</v>
      </c>
      <c r="C3268">
        <v>21.234005088559545</v>
      </c>
      <c r="D3268" t="s">
        <v>241</v>
      </c>
    </row>
    <row r="3269" spans="1:4" x14ac:dyDescent="0.35">
      <c r="A3269" t="s">
        <v>49</v>
      </c>
      <c r="B3269" s="88">
        <v>44607</v>
      </c>
      <c r="C3269">
        <v>21.854515810595768</v>
      </c>
      <c r="D3269" t="s">
        <v>241</v>
      </c>
    </row>
    <row r="3270" spans="1:4" x14ac:dyDescent="0.35">
      <c r="A3270" t="s">
        <v>49</v>
      </c>
      <c r="B3270" s="88">
        <v>44696</v>
      </c>
      <c r="C3270">
        <v>22.164994125183462</v>
      </c>
      <c r="D3270" t="s">
        <v>241</v>
      </c>
    </row>
    <row r="3271" spans="1:4" x14ac:dyDescent="0.35">
      <c r="A3271" t="s">
        <v>49</v>
      </c>
      <c r="B3271" s="88">
        <v>44788</v>
      </c>
      <c r="C3271">
        <v>22.015187012784942</v>
      </c>
      <c r="D3271" t="s">
        <v>241</v>
      </c>
    </row>
    <row r="3272" spans="1:4" x14ac:dyDescent="0.35">
      <c r="A3272" t="s">
        <v>49</v>
      </c>
      <c r="B3272" s="88">
        <v>44880</v>
      </c>
      <c r="C3272">
        <v>22.003279105086563</v>
      </c>
      <c r="D3272" t="s">
        <v>241</v>
      </c>
    </row>
    <row r="3273" spans="1:4" x14ac:dyDescent="0.35">
      <c r="A3273" t="s">
        <v>49</v>
      </c>
      <c r="B3273" s="88">
        <v>44972</v>
      </c>
      <c r="C3273">
        <v>22.525008120995984</v>
      </c>
      <c r="D3273" t="s">
        <v>241</v>
      </c>
    </row>
    <row r="3274" spans="1:4" x14ac:dyDescent="0.35">
      <c r="A3274" t="s">
        <v>49</v>
      </c>
      <c r="B3274" s="88">
        <v>45061</v>
      </c>
      <c r="C3274">
        <v>21.4165107938191</v>
      </c>
      <c r="D3274" t="s">
        <v>241</v>
      </c>
    </row>
    <row r="3275" spans="1:4" x14ac:dyDescent="0.35">
      <c r="A3275" t="s">
        <v>49</v>
      </c>
      <c r="B3275" s="88">
        <v>45153</v>
      </c>
      <c r="C3275">
        <v>23.053950328775201</v>
      </c>
      <c r="D3275" t="s">
        <v>241</v>
      </c>
    </row>
    <row r="3276" spans="1:4" x14ac:dyDescent="0.35">
      <c r="A3276" t="s">
        <v>49</v>
      </c>
      <c r="B3276" s="88">
        <v>45245</v>
      </c>
      <c r="C3276">
        <v>22.8694471922385</v>
      </c>
      <c r="D3276" t="s">
        <v>241</v>
      </c>
    </row>
    <row r="3277" spans="1:4" x14ac:dyDescent="0.35">
      <c r="A3277" t="s">
        <v>49</v>
      </c>
      <c r="B3277" s="88">
        <v>45337</v>
      </c>
      <c r="C3277">
        <v>23.131094877925801</v>
      </c>
      <c r="D3277" t="s">
        <v>241</v>
      </c>
    </row>
    <row r="3278" spans="1:4" x14ac:dyDescent="0.35">
      <c r="A3278" t="s">
        <v>49</v>
      </c>
      <c r="B3278" s="88">
        <v>45427</v>
      </c>
      <c r="C3278">
        <v>23.3663533950951</v>
      </c>
      <c r="D3278" t="s">
        <v>241</v>
      </c>
    </row>
    <row r="3279" spans="1:4" x14ac:dyDescent="0.35">
      <c r="A3279" t="s">
        <v>49</v>
      </c>
      <c r="B3279" s="88">
        <v>45519</v>
      </c>
      <c r="C3279">
        <v>23.672848341397199</v>
      </c>
      <c r="D3279" t="s">
        <v>241</v>
      </c>
    </row>
    <row r="3280" spans="1:4" x14ac:dyDescent="0.35">
      <c r="A3280" t="s">
        <v>49</v>
      </c>
      <c r="B3280" s="88">
        <v>45611</v>
      </c>
      <c r="C3280">
        <v>24.0715998700223</v>
      </c>
      <c r="D3280" t="s">
        <v>241</v>
      </c>
    </row>
    <row r="3281" spans="1:4" x14ac:dyDescent="0.35">
      <c r="A3281" t="s">
        <v>49</v>
      </c>
      <c r="B3281" s="88">
        <v>45703</v>
      </c>
      <c r="C3281">
        <v>24.226861686115701</v>
      </c>
      <c r="D3281" t="s">
        <v>241</v>
      </c>
    </row>
    <row r="3282" spans="1:4" x14ac:dyDescent="0.35">
      <c r="A3282" t="s">
        <v>49</v>
      </c>
      <c r="B3282" s="88">
        <v>45792</v>
      </c>
      <c r="C3282">
        <v>25.6024350795945</v>
      </c>
      <c r="D3282" t="s">
        <v>241</v>
      </c>
    </row>
    <row r="3283" spans="1:4" x14ac:dyDescent="0.35">
      <c r="A3283" t="s">
        <v>49</v>
      </c>
      <c r="B3283" s="88">
        <v>45884</v>
      </c>
      <c r="C3283">
        <v>25.6508734816519</v>
      </c>
      <c r="D3283" t="s">
        <v>241</v>
      </c>
    </row>
    <row r="3284" spans="1:4" x14ac:dyDescent="0.35">
      <c r="A3284" t="s">
        <v>49</v>
      </c>
      <c r="B3284" s="88">
        <v>45976</v>
      </c>
      <c r="C3284">
        <v>25.645537865172098</v>
      </c>
      <c r="D3284" t="s">
        <v>241</v>
      </c>
    </row>
    <row r="3285" spans="1:4" x14ac:dyDescent="0.35">
      <c r="A3285" t="s">
        <v>49</v>
      </c>
      <c r="B3285" s="88">
        <v>46068</v>
      </c>
      <c r="C3285">
        <v>26.567343497945</v>
      </c>
      <c r="D3285" t="s">
        <v>241</v>
      </c>
    </row>
    <row r="3286" spans="1:4" x14ac:dyDescent="0.35">
      <c r="A3286" t="s">
        <v>49</v>
      </c>
      <c r="B3286" s="88">
        <v>46157</v>
      </c>
      <c r="C3286">
        <v>26.445027942194599</v>
      </c>
      <c r="D3286" t="s">
        <v>241</v>
      </c>
    </row>
    <row r="3287" spans="1:4" x14ac:dyDescent="0.35">
      <c r="A3287" t="s">
        <v>49</v>
      </c>
      <c r="B3287" s="88">
        <v>46249</v>
      </c>
      <c r="C3287">
        <v>26.606655512083499</v>
      </c>
      <c r="D3287" t="s">
        <v>241</v>
      </c>
    </row>
    <row r="3288" spans="1:4" x14ac:dyDescent="0.35">
      <c r="A3288" t="s">
        <v>66</v>
      </c>
      <c r="B3288" s="88">
        <v>43511</v>
      </c>
      <c r="C3288">
        <v>17.461601807296667</v>
      </c>
      <c r="D3288" t="s">
        <v>241</v>
      </c>
    </row>
    <row r="3289" spans="1:4" x14ac:dyDescent="0.35">
      <c r="A3289" t="s">
        <v>66</v>
      </c>
      <c r="B3289" s="88">
        <v>43600</v>
      </c>
      <c r="C3289">
        <v>17.73328658516018</v>
      </c>
      <c r="D3289" t="s">
        <v>241</v>
      </c>
    </row>
    <row r="3290" spans="1:4" x14ac:dyDescent="0.35">
      <c r="A3290" t="s">
        <v>66</v>
      </c>
      <c r="B3290" s="88">
        <v>43692</v>
      </c>
      <c r="C3290">
        <v>17.724700648788655</v>
      </c>
      <c r="D3290" t="s">
        <v>241</v>
      </c>
    </row>
    <row r="3291" spans="1:4" x14ac:dyDescent="0.35">
      <c r="A3291" t="s">
        <v>66</v>
      </c>
      <c r="B3291" s="88">
        <v>43784</v>
      </c>
      <c r="C3291">
        <v>18.152937270653531</v>
      </c>
      <c r="D3291" t="s">
        <v>241</v>
      </c>
    </row>
    <row r="3292" spans="1:4" x14ac:dyDescent="0.35">
      <c r="A3292" t="s">
        <v>66</v>
      </c>
      <c r="B3292" s="88">
        <v>43876</v>
      </c>
      <c r="C3292">
        <v>18.299314180385934</v>
      </c>
      <c r="D3292" t="s">
        <v>241</v>
      </c>
    </row>
    <row r="3293" spans="1:4" x14ac:dyDescent="0.35">
      <c r="A3293" t="s">
        <v>66</v>
      </c>
      <c r="B3293" s="88">
        <v>43966</v>
      </c>
      <c r="C3293">
        <v>18.999102747309848</v>
      </c>
      <c r="D3293" t="s">
        <v>241</v>
      </c>
    </row>
    <row r="3294" spans="1:4" x14ac:dyDescent="0.35">
      <c r="A3294" t="s">
        <v>66</v>
      </c>
      <c r="B3294" s="88">
        <v>44058</v>
      </c>
      <c r="C3294">
        <v>18.849642725643555</v>
      </c>
      <c r="D3294" t="s">
        <v>241</v>
      </c>
    </row>
    <row r="3295" spans="1:4" x14ac:dyDescent="0.35">
      <c r="A3295" t="s">
        <v>66</v>
      </c>
      <c r="B3295" s="88">
        <v>44150</v>
      </c>
      <c r="C3295">
        <v>18.875454095614835</v>
      </c>
      <c r="D3295" t="s">
        <v>241</v>
      </c>
    </row>
    <row r="3296" spans="1:4" x14ac:dyDescent="0.35">
      <c r="A3296" t="s">
        <v>66</v>
      </c>
      <c r="B3296" s="88">
        <v>44242</v>
      </c>
      <c r="C3296">
        <v>18.689812651767227</v>
      </c>
      <c r="D3296" t="s">
        <v>241</v>
      </c>
    </row>
    <row r="3297" spans="1:4" x14ac:dyDescent="0.35">
      <c r="A3297" t="s">
        <v>66</v>
      </c>
      <c r="B3297" s="88">
        <v>44331</v>
      </c>
      <c r="C3297">
        <v>18.691332608528857</v>
      </c>
      <c r="D3297" t="s">
        <v>241</v>
      </c>
    </row>
    <row r="3298" spans="1:4" x14ac:dyDescent="0.35">
      <c r="A3298" t="s">
        <v>66</v>
      </c>
      <c r="B3298" s="88">
        <v>44423</v>
      </c>
      <c r="C3298">
        <v>19.17059890072883</v>
      </c>
      <c r="D3298" t="s">
        <v>241</v>
      </c>
    </row>
    <row r="3299" spans="1:4" x14ac:dyDescent="0.35">
      <c r="A3299" t="s">
        <v>66</v>
      </c>
      <c r="B3299" s="88">
        <v>44515</v>
      </c>
      <c r="C3299">
        <v>19.545441545805964</v>
      </c>
      <c r="D3299" t="s">
        <v>241</v>
      </c>
    </row>
    <row r="3300" spans="1:4" x14ac:dyDescent="0.35">
      <c r="A3300" t="s">
        <v>66</v>
      </c>
      <c r="B3300" s="88">
        <v>44607</v>
      </c>
      <c r="C3300">
        <v>19.925114354564684</v>
      </c>
      <c r="D3300" t="s">
        <v>241</v>
      </c>
    </row>
    <row r="3301" spans="1:4" x14ac:dyDescent="0.35">
      <c r="A3301" t="s">
        <v>66</v>
      </c>
      <c r="B3301" s="88">
        <v>44696</v>
      </c>
      <c r="C3301">
        <v>20.32570914666227</v>
      </c>
      <c r="D3301" t="s">
        <v>241</v>
      </c>
    </row>
    <row r="3302" spans="1:4" x14ac:dyDescent="0.35">
      <c r="A3302" t="s">
        <v>66</v>
      </c>
      <c r="B3302" s="88">
        <v>44788</v>
      </c>
      <c r="C3302">
        <v>20.34252705185947</v>
      </c>
      <c r="D3302" t="s">
        <v>241</v>
      </c>
    </row>
    <row r="3303" spans="1:4" x14ac:dyDescent="0.35">
      <c r="A3303" t="s">
        <v>66</v>
      </c>
      <c r="B3303" s="88">
        <v>44880</v>
      </c>
      <c r="C3303">
        <v>20.324718759364647</v>
      </c>
      <c r="D3303" t="s">
        <v>241</v>
      </c>
    </row>
    <row r="3304" spans="1:4" x14ac:dyDescent="0.35">
      <c r="A3304" t="s">
        <v>66</v>
      </c>
      <c r="B3304" s="88">
        <v>44972</v>
      </c>
      <c r="C3304">
        <v>20.460229428061066</v>
      </c>
      <c r="D3304" t="s">
        <v>241</v>
      </c>
    </row>
    <row r="3305" spans="1:4" x14ac:dyDescent="0.35">
      <c r="A3305" t="s">
        <v>66</v>
      </c>
      <c r="B3305" s="88">
        <v>45061</v>
      </c>
      <c r="C3305">
        <v>20.0077665162265</v>
      </c>
      <c r="D3305" t="s">
        <v>241</v>
      </c>
    </row>
    <row r="3306" spans="1:4" x14ac:dyDescent="0.35">
      <c r="A3306" t="s">
        <v>66</v>
      </c>
      <c r="B3306" s="88">
        <v>45153</v>
      </c>
      <c r="C3306">
        <v>21.011494263407702</v>
      </c>
      <c r="D3306" t="s">
        <v>241</v>
      </c>
    </row>
    <row r="3307" spans="1:4" x14ac:dyDescent="0.35">
      <c r="A3307" t="s">
        <v>66</v>
      </c>
      <c r="B3307" s="88">
        <v>45245</v>
      </c>
      <c r="C3307">
        <v>21.393309696748599</v>
      </c>
      <c r="D3307" t="s">
        <v>241</v>
      </c>
    </row>
    <row r="3308" spans="1:4" x14ac:dyDescent="0.35">
      <c r="A3308" t="s">
        <v>66</v>
      </c>
      <c r="B3308" s="88">
        <v>45337</v>
      </c>
      <c r="C3308">
        <v>20.587287434525699</v>
      </c>
      <c r="D3308" t="s">
        <v>241</v>
      </c>
    </row>
    <row r="3309" spans="1:4" x14ac:dyDescent="0.35">
      <c r="A3309" t="s">
        <v>66</v>
      </c>
      <c r="B3309" s="88">
        <v>45427</v>
      </c>
      <c r="C3309">
        <v>20.6788401619513</v>
      </c>
      <c r="D3309" t="s">
        <v>241</v>
      </c>
    </row>
    <row r="3310" spans="1:4" x14ac:dyDescent="0.35">
      <c r="A3310" t="s">
        <v>66</v>
      </c>
      <c r="B3310" s="88">
        <v>45519</v>
      </c>
      <c r="C3310">
        <v>20.991690254261901</v>
      </c>
      <c r="D3310" t="s">
        <v>241</v>
      </c>
    </row>
    <row r="3311" spans="1:4" x14ac:dyDescent="0.35">
      <c r="A3311" t="s">
        <v>66</v>
      </c>
      <c r="B3311" s="88">
        <v>45611</v>
      </c>
      <c r="C3311">
        <v>20.553917751502599</v>
      </c>
      <c r="D3311" t="s">
        <v>241</v>
      </c>
    </row>
    <row r="3312" spans="1:4" x14ac:dyDescent="0.35">
      <c r="A3312" t="s">
        <v>66</v>
      </c>
      <c r="B3312" s="88">
        <v>45703</v>
      </c>
      <c r="C3312">
        <v>21.346868019111401</v>
      </c>
      <c r="D3312" t="s">
        <v>241</v>
      </c>
    </row>
    <row r="3313" spans="1:4" x14ac:dyDescent="0.35">
      <c r="A3313" t="s">
        <v>66</v>
      </c>
      <c r="B3313" s="88">
        <v>45792</v>
      </c>
      <c r="C3313">
        <v>22.461082168473801</v>
      </c>
      <c r="D3313" t="s">
        <v>241</v>
      </c>
    </row>
    <row r="3314" spans="1:4" x14ac:dyDescent="0.35">
      <c r="A3314" t="s">
        <v>66</v>
      </c>
      <c r="B3314" s="88">
        <v>45884</v>
      </c>
      <c r="C3314">
        <v>22.445890380086102</v>
      </c>
      <c r="D3314" t="s">
        <v>241</v>
      </c>
    </row>
    <row r="3315" spans="1:4" x14ac:dyDescent="0.35">
      <c r="A3315" t="s">
        <v>66</v>
      </c>
      <c r="B3315" s="88">
        <v>45976</v>
      </c>
      <c r="C3315">
        <v>22.296487047907299</v>
      </c>
      <c r="D3315" t="s">
        <v>241</v>
      </c>
    </row>
    <row r="3316" spans="1:4" x14ac:dyDescent="0.35">
      <c r="A3316" t="s">
        <v>66</v>
      </c>
      <c r="B3316" s="88">
        <v>46068</v>
      </c>
      <c r="C3316">
        <v>23.399469672652199</v>
      </c>
      <c r="D3316" t="s">
        <v>241</v>
      </c>
    </row>
    <row r="3317" spans="1:4" x14ac:dyDescent="0.35">
      <c r="A3317" t="s">
        <v>66</v>
      </c>
      <c r="B3317" s="88">
        <v>46157</v>
      </c>
      <c r="C3317">
        <v>23.910816141959401</v>
      </c>
      <c r="D3317" t="s">
        <v>241</v>
      </c>
    </row>
    <row r="3318" spans="1:4" x14ac:dyDescent="0.35">
      <c r="A3318" t="s">
        <v>66</v>
      </c>
      <c r="B3318" s="88">
        <v>46249</v>
      </c>
      <c r="C3318">
        <v>23.993060629215002</v>
      </c>
      <c r="D3318" t="s">
        <v>241</v>
      </c>
    </row>
    <row r="3319" spans="1:4" x14ac:dyDescent="0.35">
      <c r="A3319" t="s">
        <v>50</v>
      </c>
      <c r="B3319" s="88">
        <v>43511</v>
      </c>
      <c r="C3319">
        <v>20.420561765719814</v>
      </c>
      <c r="D3319" t="s">
        <v>241</v>
      </c>
    </row>
    <row r="3320" spans="1:4" x14ac:dyDescent="0.35">
      <c r="A3320" t="s">
        <v>50</v>
      </c>
      <c r="B3320" s="88">
        <v>43600</v>
      </c>
      <c r="C3320">
        <v>20.637952390356226</v>
      </c>
      <c r="D3320" t="s">
        <v>241</v>
      </c>
    </row>
    <row r="3321" spans="1:4" x14ac:dyDescent="0.35">
      <c r="A3321" t="s">
        <v>50</v>
      </c>
      <c r="B3321" s="88">
        <v>43692</v>
      </c>
      <c r="C3321">
        <v>20.682391140822418</v>
      </c>
      <c r="D3321" t="s">
        <v>241</v>
      </c>
    </row>
    <row r="3322" spans="1:4" x14ac:dyDescent="0.35">
      <c r="A3322" t="s">
        <v>50</v>
      </c>
      <c r="B3322" s="88">
        <v>43784</v>
      </c>
      <c r="C3322">
        <v>21.142277677214857</v>
      </c>
      <c r="D3322" t="s">
        <v>241</v>
      </c>
    </row>
    <row r="3323" spans="1:4" x14ac:dyDescent="0.35">
      <c r="A3323" t="s">
        <v>50</v>
      </c>
      <c r="B3323" s="88">
        <v>43876</v>
      </c>
      <c r="C3323">
        <v>21.241986393465901</v>
      </c>
      <c r="D3323" t="s">
        <v>241</v>
      </c>
    </row>
    <row r="3324" spans="1:4" x14ac:dyDescent="0.35">
      <c r="A3324" t="s">
        <v>50</v>
      </c>
      <c r="B3324" s="88">
        <v>43966</v>
      </c>
      <c r="C3324">
        <v>22.355927896750572</v>
      </c>
      <c r="D3324" t="s">
        <v>241</v>
      </c>
    </row>
    <row r="3325" spans="1:4" x14ac:dyDescent="0.35">
      <c r="A3325" t="s">
        <v>50</v>
      </c>
      <c r="B3325" s="88">
        <v>44058</v>
      </c>
      <c r="C3325">
        <v>22.323505111949906</v>
      </c>
      <c r="D3325" t="s">
        <v>241</v>
      </c>
    </row>
    <row r="3326" spans="1:4" x14ac:dyDescent="0.35">
      <c r="A3326" t="s">
        <v>50</v>
      </c>
      <c r="B3326" s="88">
        <v>44150</v>
      </c>
      <c r="C3326">
        <v>21.860585803248995</v>
      </c>
      <c r="D3326" t="s">
        <v>241</v>
      </c>
    </row>
    <row r="3327" spans="1:4" x14ac:dyDescent="0.35">
      <c r="A3327" t="s">
        <v>50</v>
      </c>
      <c r="B3327" s="88">
        <v>44242</v>
      </c>
      <c r="C3327">
        <v>21.883026020322248</v>
      </c>
      <c r="D3327" t="s">
        <v>241</v>
      </c>
    </row>
    <row r="3328" spans="1:4" x14ac:dyDescent="0.35">
      <c r="A3328" t="s">
        <v>50</v>
      </c>
      <c r="B3328" s="88">
        <v>44331</v>
      </c>
      <c r="C3328">
        <v>22.804792965525504</v>
      </c>
      <c r="D3328" t="s">
        <v>241</v>
      </c>
    </row>
    <row r="3329" spans="1:4" x14ac:dyDescent="0.35">
      <c r="A3329" t="s">
        <v>50</v>
      </c>
      <c r="B3329" s="88">
        <v>44423</v>
      </c>
      <c r="C3329">
        <v>22.937388594712235</v>
      </c>
      <c r="D3329" t="s">
        <v>241</v>
      </c>
    </row>
    <row r="3330" spans="1:4" x14ac:dyDescent="0.35">
      <c r="A3330" t="s">
        <v>50</v>
      </c>
      <c r="B3330" s="88">
        <v>44515</v>
      </c>
      <c r="C3330">
        <v>22.95074071832914</v>
      </c>
      <c r="D3330" t="s">
        <v>241</v>
      </c>
    </row>
    <row r="3331" spans="1:4" x14ac:dyDescent="0.35">
      <c r="A3331" t="s">
        <v>50</v>
      </c>
      <c r="B3331" s="88">
        <v>44607</v>
      </c>
      <c r="C3331">
        <v>23.124697761690566</v>
      </c>
      <c r="D3331" t="s">
        <v>241</v>
      </c>
    </row>
    <row r="3332" spans="1:4" x14ac:dyDescent="0.35">
      <c r="A3332" t="s">
        <v>50</v>
      </c>
      <c r="B3332" s="88">
        <v>44696</v>
      </c>
      <c r="C3332">
        <v>23.375782502562974</v>
      </c>
      <c r="D3332" t="s">
        <v>241</v>
      </c>
    </row>
    <row r="3333" spans="1:4" x14ac:dyDescent="0.35">
      <c r="A3333" t="s">
        <v>50</v>
      </c>
      <c r="B3333" s="88">
        <v>44788</v>
      </c>
      <c r="C3333">
        <v>23.454757133033358</v>
      </c>
      <c r="D3333" t="s">
        <v>241</v>
      </c>
    </row>
    <row r="3334" spans="1:4" x14ac:dyDescent="0.35">
      <c r="A3334" t="s">
        <v>50</v>
      </c>
      <c r="B3334" s="88">
        <v>44880</v>
      </c>
      <c r="C3334">
        <v>23.14757651226601</v>
      </c>
      <c r="D3334" t="s">
        <v>241</v>
      </c>
    </row>
    <row r="3335" spans="1:4" x14ac:dyDescent="0.35">
      <c r="A3335" t="s">
        <v>50</v>
      </c>
      <c r="B3335" s="88">
        <v>44972</v>
      </c>
      <c r="C3335">
        <v>23.097357066014286</v>
      </c>
      <c r="D3335" t="s">
        <v>241</v>
      </c>
    </row>
    <row r="3336" spans="1:4" x14ac:dyDescent="0.35">
      <c r="A3336" t="s">
        <v>50</v>
      </c>
      <c r="B3336" s="88">
        <v>45061</v>
      </c>
      <c r="C3336">
        <v>23.497719467293699</v>
      </c>
      <c r="D3336" t="s">
        <v>241</v>
      </c>
    </row>
    <row r="3337" spans="1:4" x14ac:dyDescent="0.35">
      <c r="A3337" t="s">
        <v>50</v>
      </c>
      <c r="B3337" s="88">
        <v>45153</v>
      </c>
      <c r="C3337">
        <v>23.7698891596247</v>
      </c>
      <c r="D3337" t="s">
        <v>241</v>
      </c>
    </row>
    <row r="3338" spans="1:4" x14ac:dyDescent="0.35">
      <c r="A3338" t="s">
        <v>50</v>
      </c>
      <c r="B3338" s="88">
        <v>45245</v>
      </c>
      <c r="C3338">
        <v>23.9515985670843</v>
      </c>
      <c r="D3338" t="s">
        <v>241</v>
      </c>
    </row>
    <row r="3339" spans="1:4" x14ac:dyDescent="0.35">
      <c r="A3339" t="s">
        <v>50</v>
      </c>
      <c r="B3339" s="88">
        <v>45337</v>
      </c>
      <c r="C3339">
        <v>24.0567809480353</v>
      </c>
      <c r="D3339" t="s">
        <v>241</v>
      </c>
    </row>
    <row r="3340" spans="1:4" x14ac:dyDescent="0.35">
      <c r="A3340" t="s">
        <v>50</v>
      </c>
      <c r="B3340" s="88">
        <v>45427</v>
      </c>
      <c r="C3340">
        <v>24.687379189288901</v>
      </c>
      <c r="D3340" t="s">
        <v>241</v>
      </c>
    </row>
    <row r="3341" spans="1:4" x14ac:dyDescent="0.35">
      <c r="A3341" t="s">
        <v>50</v>
      </c>
      <c r="B3341" s="88">
        <v>45519</v>
      </c>
      <c r="C3341">
        <v>24.752094329852198</v>
      </c>
      <c r="D3341" t="s">
        <v>241</v>
      </c>
    </row>
    <row r="3342" spans="1:4" x14ac:dyDescent="0.35">
      <c r="A3342" t="s">
        <v>50</v>
      </c>
      <c r="B3342" s="88">
        <v>45611</v>
      </c>
      <c r="C3342">
        <v>25.4250379984171</v>
      </c>
      <c r="D3342" t="s">
        <v>241</v>
      </c>
    </row>
    <row r="3343" spans="1:4" x14ac:dyDescent="0.35">
      <c r="A3343" t="s">
        <v>50</v>
      </c>
      <c r="B3343" s="88">
        <v>45703</v>
      </c>
      <c r="C3343">
        <v>25.5931827285937</v>
      </c>
      <c r="D3343" t="s">
        <v>241</v>
      </c>
    </row>
    <row r="3344" spans="1:4" x14ac:dyDescent="0.35">
      <c r="A3344" t="s">
        <v>50</v>
      </c>
      <c r="B3344" s="88">
        <v>45792</v>
      </c>
      <c r="C3344">
        <v>26.0835980658977</v>
      </c>
      <c r="D3344" t="s">
        <v>241</v>
      </c>
    </row>
    <row r="3345" spans="1:4" x14ac:dyDescent="0.35">
      <c r="A3345" t="s">
        <v>50</v>
      </c>
      <c r="B3345" s="88">
        <v>45884</v>
      </c>
      <c r="C3345">
        <v>26.164224513642601</v>
      </c>
      <c r="D3345" t="s">
        <v>241</v>
      </c>
    </row>
    <row r="3346" spans="1:4" x14ac:dyDescent="0.35">
      <c r="A3346" t="s">
        <v>50</v>
      </c>
      <c r="B3346" s="88">
        <v>45976</v>
      </c>
      <c r="C3346">
        <v>26.128328437208602</v>
      </c>
      <c r="D3346" t="s">
        <v>241</v>
      </c>
    </row>
    <row r="3347" spans="1:4" x14ac:dyDescent="0.35">
      <c r="A3347" t="s">
        <v>50</v>
      </c>
      <c r="B3347" s="88">
        <v>46068</v>
      </c>
      <c r="C3347">
        <v>27.533080773344601</v>
      </c>
      <c r="D3347" t="s">
        <v>241</v>
      </c>
    </row>
    <row r="3348" spans="1:4" x14ac:dyDescent="0.35">
      <c r="A3348" t="s">
        <v>50</v>
      </c>
      <c r="B3348" s="88">
        <v>46157</v>
      </c>
      <c r="C3348">
        <v>26.896820112454101</v>
      </c>
      <c r="D3348" t="s">
        <v>241</v>
      </c>
    </row>
    <row r="3349" spans="1:4" x14ac:dyDescent="0.35">
      <c r="A3349" t="s">
        <v>50</v>
      </c>
      <c r="B3349" s="88">
        <v>46249</v>
      </c>
      <c r="C3349">
        <v>25.3694193967284</v>
      </c>
      <c r="D3349" t="s">
        <v>241</v>
      </c>
    </row>
    <row r="3350" spans="1:4" x14ac:dyDescent="0.35">
      <c r="A3350" t="s">
        <v>61</v>
      </c>
      <c r="B3350" s="88">
        <v>43511</v>
      </c>
      <c r="C3350">
        <v>18.937061719614178</v>
      </c>
      <c r="D3350" t="s">
        <v>241</v>
      </c>
    </row>
    <row r="3351" spans="1:4" x14ac:dyDescent="0.35">
      <c r="A3351" t="s">
        <v>61</v>
      </c>
      <c r="B3351" s="88">
        <v>43600</v>
      </c>
      <c r="C3351">
        <v>19.562990975416028</v>
      </c>
      <c r="D3351" t="s">
        <v>241</v>
      </c>
    </row>
    <row r="3352" spans="1:4" x14ac:dyDescent="0.35">
      <c r="A3352" t="s">
        <v>61</v>
      </c>
      <c r="B3352" s="88">
        <v>43692</v>
      </c>
      <c r="C3352">
        <v>19.573949866059117</v>
      </c>
      <c r="D3352" t="s">
        <v>241</v>
      </c>
    </row>
    <row r="3353" spans="1:4" x14ac:dyDescent="0.35">
      <c r="A3353" t="s">
        <v>61</v>
      </c>
      <c r="B3353" s="88">
        <v>43784</v>
      </c>
      <c r="C3353">
        <v>20.40285367909879</v>
      </c>
      <c r="D3353" t="s">
        <v>241</v>
      </c>
    </row>
    <row r="3354" spans="1:4" x14ac:dyDescent="0.35">
      <c r="A3354" t="s">
        <v>61</v>
      </c>
      <c r="B3354" s="88">
        <v>43876</v>
      </c>
      <c r="C3354">
        <v>20.652661288956594</v>
      </c>
      <c r="D3354" t="s">
        <v>241</v>
      </c>
    </row>
    <row r="3355" spans="1:4" x14ac:dyDescent="0.35">
      <c r="A3355" t="s">
        <v>61</v>
      </c>
      <c r="B3355" s="88">
        <v>43966</v>
      </c>
      <c r="C3355">
        <v>21.599207657612023</v>
      </c>
      <c r="D3355" t="s">
        <v>241</v>
      </c>
    </row>
    <row r="3356" spans="1:4" x14ac:dyDescent="0.35">
      <c r="A3356" t="s">
        <v>61</v>
      </c>
      <c r="B3356" s="88">
        <v>44058</v>
      </c>
      <c r="C3356">
        <v>21.571823615063604</v>
      </c>
      <c r="D3356" t="s">
        <v>241</v>
      </c>
    </row>
    <row r="3357" spans="1:4" x14ac:dyDescent="0.35">
      <c r="A3357" t="s">
        <v>61</v>
      </c>
      <c r="B3357" s="88">
        <v>44150</v>
      </c>
      <c r="C3357">
        <v>21.538796631913986</v>
      </c>
      <c r="D3357" t="s">
        <v>241</v>
      </c>
    </row>
    <row r="3358" spans="1:4" x14ac:dyDescent="0.35">
      <c r="A3358" t="s">
        <v>61</v>
      </c>
      <c r="B3358" s="88">
        <v>44242</v>
      </c>
      <c r="C3358">
        <v>21.739173696562293</v>
      </c>
      <c r="D3358" t="s">
        <v>241</v>
      </c>
    </row>
    <row r="3359" spans="1:4" x14ac:dyDescent="0.35">
      <c r="A3359" t="s">
        <v>61</v>
      </c>
      <c r="B3359" s="88">
        <v>44331</v>
      </c>
      <c r="C3359">
        <v>21.657932540691299</v>
      </c>
      <c r="D3359" t="s">
        <v>241</v>
      </c>
    </row>
    <row r="3360" spans="1:4" x14ac:dyDescent="0.35">
      <c r="A3360" t="s">
        <v>61</v>
      </c>
      <c r="B3360" s="88">
        <v>44423</v>
      </c>
      <c r="C3360">
        <v>21.769355571063329</v>
      </c>
      <c r="D3360" t="s">
        <v>241</v>
      </c>
    </row>
    <row r="3361" spans="1:4" x14ac:dyDescent="0.35">
      <c r="A3361" t="s">
        <v>61</v>
      </c>
      <c r="B3361" s="88">
        <v>44515</v>
      </c>
      <c r="C3361">
        <v>22.052736422953146</v>
      </c>
      <c r="D3361" t="s">
        <v>241</v>
      </c>
    </row>
    <row r="3362" spans="1:4" x14ac:dyDescent="0.35">
      <c r="A3362" t="s">
        <v>61</v>
      </c>
      <c r="B3362" s="88">
        <v>44607</v>
      </c>
      <c r="C3362">
        <v>22.292070890470512</v>
      </c>
      <c r="D3362" t="s">
        <v>241</v>
      </c>
    </row>
    <row r="3363" spans="1:4" x14ac:dyDescent="0.35">
      <c r="A3363" t="s">
        <v>61</v>
      </c>
      <c r="B3363" s="88">
        <v>44696</v>
      </c>
      <c r="C3363">
        <v>21.856330833448077</v>
      </c>
      <c r="D3363" t="s">
        <v>241</v>
      </c>
    </row>
    <row r="3364" spans="1:4" x14ac:dyDescent="0.35">
      <c r="A3364" t="s">
        <v>61</v>
      </c>
      <c r="B3364" s="88">
        <v>44788</v>
      </c>
      <c r="C3364">
        <v>22.113585018460903</v>
      </c>
      <c r="D3364" t="s">
        <v>241</v>
      </c>
    </row>
    <row r="3365" spans="1:4" x14ac:dyDescent="0.35">
      <c r="A3365" t="s">
        <v>61</v>
      </c>
      <c r="B3365" s="88">
        <v>44880</v>
      </c>
      <c r="C3365">
        <v>22.132356660684316</v>
      </c>
      <c r="D3365" t="s">
        <v>241</v>
      </c>
    </row>
    <row r="3366" spans="1:4" x14ac:dyDescent="0.35">
      <c r="A3366" t="s">
        <v>61</v>
      </c>
      <c r="B3366" s="88">
        <v>44972</v>
      </c>
      <c r="C3366">
        <v>22.833980266430487</v>
      </c>
      <c r="D3366" t="s">
        <v>241</v>
      </c>
    </row>
    <row r="3367" spans="1:4" x14ac:dyDescent="0.35">
      <c r="A3367" t="s">
        <v>61</v>
      </c>
      <c r="B3367" s="88">
        <v>45061</v>
      </c>
      <c r="C3367">
        <v>22.349184080096201</v>
      </c>
      <c r="D3367" t="s">
        <v>241</v>
      </c>
    </row>
    <row r="3368" spans="1:4" x14ac:dyDescent="0.35">
      <c r="A3368" t="s">
        <v>61</v>
      </c>
      <c r="B3368" s="88">
        <v>45153</v>
      </c>
      <c r="C3368">
        <v>22.406254946245198</v>
      </c>
      <c r="D3368" t="s">
        <v>241</v>
      </c>
    </row>
    <row r="3369" spans="1:4" x14ac:dyDescent="0.35">
      <c r="A3369" t="s">
        <v>61</v>
      </c>
      <c r="B3369" s="88">
        <v>45245</v>
      </c>
      <c r="C3369">
        <v>22.599448903529101</v>
      </c>
      <c r="D3369" t="s">
        <v>241</v>
      </c>
    </row>
    <row r="3370" spans="1:4" x14ac:dyDescent="0.35">
      <c r="A3370" t="s">
        <v>61</v>
      </c>
      <c r="B3370" s="88">
        <v>45337</v>
      </c>
      <c r="C3370">
        <v>23.200410515734401</v>
      </c>
      <c r="D3370" t="s">
        <v>241</v>
      </c>
    </row>
    <row r="3371" spans="1:4" x14ac:dyDescent="0.35">
      <c r="A3371" t="s">
        <v>61</v>
      </c>
      <c r="B3371" s="88">
        <v>45427</v>
      </c>
      <c r="C3371">
        <v>21.564815664851601</v>
      </c>
      <c r="D3371" t="s">
        <v>241</v>
      </c>
    </row>
    <row r="3372" spans="1:4" x14ac:dyDescent="0.35">
      <c r="A3372" t="s">
        <v>61</v>
      </c>
      <c r="B3372" s="88">
        <v>45519</v>
      </c>
      <c r="C3372">
        <v>21.5798067128196</v>
      </c>
      <c r="D3372" t="s">
        <v>241</v>
      </c>
    </row>
    <row r="3373" spans="1:4" x14ac:dyDescent="0.35">
      <c r="A3373" t="s">
        <v>61</v>
      </c>
      <c r="B3373" s="88">
        <v>45611</v>
      </c>
      <c r="C3373">
        <v>21.869703509339001</v>
      </c>
      <c r="D3373" t="s">
        <v>241</v>
      </c>
    </row>
    <row r="3374" spans="1:4" x14ac:dyDescent="0.35">
      <c r="A3374" t="s">
        <v>61</v>
      </c>
      <c r="B3374" s="88">
        <v>45703</v>
      </c>
      <c r="C3374">
        <v>22.104813252103298</v>
      </c>
      <c r="D3374" t="s">
        <v>241</v>
      </c>
    </row>
    <row r="3375" spans="1:4" x14ac:dyDescent="0.35">
      <c r="A3375" t="s">
        <v>61</v>
      </c>
      <c r="B3375" s="88">
        <v>45792</v>
      </c>
      <c r="C3375">
        <v>23.611302173437501</v>
      </c>
      <c r="D3375" t="s">
        <v>241</v>
      </c>
    </row>
    <row r="3376" spans="1:4" x14ac:dyDescent="0.35">
      <c r="A3376" t="s">
        <v>61</v>
      </c>
      <c r="B3376" s="88">
        <v>45884</v>
      </c>
      <c r="C3376">
        <v>23.6889909718466</v>
      </c>
      <c r="D3376" t="s">
        <v>241</v>
      </c>
    </row>
    <row r="3377" spans="1:4" x14ac:dyDescent="0.35">
      <c r="A3377" t="s">
        <v>61</v>
      </c>
      <c r="B3377" s="88">
        <v>45976</v>
      </c>
      <c r="C3377">
        <v>23.690993480681399</v>
      </c>
      <c r="D3377" t="s">
        <v>241</v>
      </c>
    </row>
    <row r="3378" spans="1:4" x14ac:dyDescent="0.35">
      <c r="A3378" t="s">
        <v>61</v>
      </c>
      <c r="B3378" s="88">
        <v>46068</v>
      </c>
      <c r="C3378">
        <v>25.257052844670799</v>
      </c>
      <c r="D3378" t="s">
        <v>241</v>
      </c>
    </row>
    <row r="3379" spans="1:4" x14ac:dyDescent="0.35">
      <c r="A3379" t="s">
        <v>61</v>
      </c>
      <c r="B3379" s="88">
        <v>46157</v>
      </c>
      <c r="C3379">
        <v>23.379942270463399</v>
      </c>
      <c r="D3379" t="s">
        <v>241</v>
      </c>
    </row>
    <row r="3380" spans="1:4" x14ac:dyDescent="0.35">
      <c r="A3380" t="s">
        <v>61</v>
      </c>
      <c r="B3380" s="88">
        <v>46249</v>
      </c>
      <c r="C3380">
        <v>23.9070326813988</v>
      </c>
      <c r="D3380" t="s">
        <v>241</v>
      </c>
    </row>
    <row r="3381" spans="1:4" x14ac:dyDescent="0.35">
      <c r="A3381" t="s">
        <v>56</v>
      </c>
      <c r="B3381" s="88">
        <v>43511</v>
      </c>
      <c r="C3381">
        <v>17.995808536046695</v>
      </c>
      <c r="D3381" t="s">
        <v>241</v>
      </c>
    </row>
    <row r="3382" spans="1:4" x14ac:dyDescent="0.35">
      <c r="A3382" t="s">
        <v>56</v>
      </c>
      <c r="B3382" s="88">
        <v>43600</v>
      </c>
      <c r="C3382">
        <v>18.6634761387079</v>
      </c>
      <c r="D3382" t="s">
        <v>241</v>
      </c>
    </row>
    <row r="3383" spans="1:4" x14ac:dyDescent="0.35">
      <c r="A3383" t="s">
        <v>56</v>
      </c>
      <c r="B3383" s="88">
        <v>43692</v>
      </c>
      <c r="C3383">
        <v>18.647232706273513</v>
      </c>
      <c r="D3383" t="s">
        <v>241</v>
      </c>
    </row>
    <row r="3384" spans="1:4" x14ac:dyDescent="0.35">
      <c r="A3384" t="s">
        <v>56</v>
      </c>
      <c r="B3384" s="88">
        <v>43784</v>
      </c>
      <c r="C3384">
        <v>19.289633406211944</v>
      </c>
      <c r="D3384" t="s">
        <v>241</v>
      </c>
    </row>
    <row r="3385" spans="1:4" x14ac:dyDescent="0.35">
      <c r="A3385" t="s">
        <v>56</v>
      </c>
      <c r="B3385" s="88">
        <v>43876</v>
      </c>
      <c r="C3385">
        <v>19.496198568322587</v>
      </c>
      <c r="D3385" t="s">
        <v>241</v>
      </c>
    </row>
    <row r="3386" spans="1:4" x14ac:dyDescent="0.35">
      <c r="A3386" t="s">
        <v>56</v>
      </c>
      <c r="B3386" s="88">
        <v>43966</v>
      </c>
      <c r="C3386">
        <v>20.407739697481453</v>
      </c>
      <c r="D3386" t="s">
        <v>241</v>
      </c>
    </row>
    <row r="3387" spans="1:4" x14ac:dyDescent="0.35">
      <c r="A3387" t="s">
        <v>56</v>
      </c>
      <c r="B3387" s="88">
        <v>44058</v>
      </c>
      <c r="C3387">
        <v>20.378222445667269</v>
      </c>
      <c r="D3387" t="s">
        <v>241</v>
      </c>
    </row>
    <row r="3388" spans="1:4" x14ac:dyDescent="0.35">
      <c r="A3388" t="s">
        <v>56</v>
      </c>
      <c r="B3388" s="88">
        <v>44150</v>
      </c>
      <c r="C3388">
        <v>20.090676078045718</v>
      </c>
      <c r="D3388" t="s">
        <v>241</v>
      </c>
    </row>
    <row r="3389" spans="1:4" x14ac:dyDescent="0.35">
      <c r="A3389" t="s">
        <v>56</v>
      </c>
      <c r="B3389" s="88">
        <v>44242</v>
      </c>
      <c r="C3389">
        <v>20.238004931205779</v>
      </c>
      <c r="D3389" t="s">
        <v>241</v>
      </c>
    </row>
    <row r="3390" spans="1:4" x14ac:dyDescent="0.35">
      <c r="A3390" t="s">
        <v>56</v>
      </c>
      <c r="B3390" s="88">
        <v>44331</v>
      </c>
      <c r="C3390">
        <v>20.222833946942806</v>
      </c>
      <c r="D3390" t="s">
        <v>241</v>
      </c>
    </row>
    <row r="3391" spans="1:4" x14ac:dyDescent="0.35">
      <c r="A3391" t="s">
        <v>56</v>
      </c>
      <c r="B3391" s="88">
        <v>44423</v>
      </c>
      <c r="C3391">
        <v>20.465666456868394</v>
      </c>
      <c r="D3391" t="s">
        <v>241</v>
      </c>
    </row>
    <row r="3392" spans="1:4" x14ac:dyDescent="0.35">
      <c r="A3392" t="s">
        <v>56</v>
      </c>
      <c r="B3392" s="88">
        <v>44515</v>
      </c>
      <c r="C3392">
        <v>20.799924569705919</v>
      </c>
      <c r="D3392" t="s">
        <v>241</v>
      </c>
    </row>
    <row r="3393" spans="1:4" x14ac:dyDescent="0.35">
      <c r="A3393" t="s">
        <v>56</v>
      </c>
      <c r="B3393" s="88">
        <v>44607</v>
      </c>
      <c r="C3393">
        <v>21.027057178768633</v>
      </c>
      <c r="D3393" t="s">
        <v>241</v>
      </c>
    </row>
    <row r="3394" spans="1:4" x14ac:dyDescent="0.35">
      <c r="A3394" t="s">
        <v>56</v>
      </c>
      <c r="B3394" s="88">
        <v>44696</v>
      </c>
      <c r="C3394">
        <v>20.705880214660858</v>
      </c>
      <c r="D3394" t="s">
        <v>241</v>
      </c>
    </row>
    <row r="3395" spans="1:4" x14ac:dyDescent="0.35">
      <c r="A3395" t="s">
        <v>56</v>
      </c>
      <c r="B3395" s="88">
        <v>44788</v>
      </c>
      <c r="C3395">
        <v>21.056549322106228</v>
      </c>
      <c r="D3395" t="s">
        <v>241</v>
      </c>
    </row>
    <row r="3396" spans="1:4" x14ac:dyDescent="0.35">
      <c r="A3396" t="s">
        <v>56</v>
      </c>
      <c r="B3396" s="88">
        <v>44880</v>
      </c>
      <c r="C3396">
        <v>21.049177193943301</v>
      </c>
      <c r="D3396" t="s">
        <v>241</v>
      </c>
    </row>
    <row r="3397" spans="1:4" x14ac:dyDescent="0.35">
      <c r="A3397" t="s">
        <v>56</v>
      </c>
      <c r="B3397" s="88">
        <v>44972</v>
      </c>
      <c r="C3397">
        <v>21.625559029708242</v>
      </c>
      <c r="D3397" t="s">
        <v>241</v>
      </c>
    </row>
    <row r="3398" spans="1:4" x14ac:dyDescent="0.35">
      <c r="A3398" t="s">
        <v>56</v>
      </c>
      <c r="B3398" s="88">
        <v>45061</v>
      </c>
      <c r="C3398">
        <v>21.293384220107999</v>
      </c>
      <c r="D3398" t="s">
        <v>241</v>
      </c>
    </row>
    <row r="3399" spans="1:4" x14ac:dyDescent="0.35">
      <c r="A3399" t="s">
        <v>56</v>
      </c>
      <c r="B3399" s="88">
        <v>45153</v>
      </c>
      <c r="C3399">
        <v>21.339821052695399</v>
      </c>
      <c r="D3399" t="s">
        <v>241</v>
      </c>
    </row>
    <row r="3400" spans="1:4" x14ac:dyDescent="0.35">
      <c r="A3400" t="s">
        <v>56</v>
      </c>
      <c r="B3400" s="88">
        <v>45245</v>
      </c>
      <c r="C3400">
        <v>21.620355861623398</v>
      </c>
      <c r="D3400" t="s">
        <v>241</v>
      </c>
    </row>
    <row r="3401" spans="1:4" x14ac:dyDescent="0.35">
      <c r="A3401" t="s">
        <v>56</v>
      </c>
      <c r="B3401" s="88">
        <v>45337</v>
      </c>
      <c r="C3401">
        <v>21.812314162313999</v>
      </c>
      <c r="D3401" t="s">
        <v>241</v>
      </c>
    </row>
    <row r="3402" spans="1:4" x14ac:dyDescent="0.35">
      <c r="A3402" t="s">
        <v>56</v>
      </c>
      <c r="B3402" s="88">
        <v>45427</v>
      </c>
      <c r="C3402">
        <v>20.649478644699599</v>
      </c>
      <c r="D3402" t="s">
        <v>241</v>
      </c>
    </row>
    <row r="3403" spans="1:4" x14ac:dyDescent="0.35">
      <c r="A3403" t="s">
        <v>56</v>
      </c>
      <c r="B3403" s="88">
        <v>45519</v>
      </c>
      <c r="C3403">
        <v>20.781331799198298</v>
      </c>
      <c r="D3403" t="s">
        <v>241</v>
      </c>
    </row>
    <row r="3404" spans="1:4" x14ac:dyDescent="0.35">
      <c r="A3404" t="s">
        <v>56</v>
      </c>
      <c r="B3404" s="88">
        <v>45611</v>
      </c>
      <c r="C3404">
        <v>21.173468994657799</v>
      </c>
      <c r="D3404" t="s">
        <v>241</v>
      </c>
    </row>
    <row r="3405" spans="1:4" x14ac:dyDescent="0.35">
      <c r="A3405" t="s">
        <v>56</v>
      </c>
      <c r="B3405" s="88">
        <v>45703</v>
      </c>
      <c r="C3405">
        <v>21.370160194297799</v>
      </c>
      <c r="D3405" t="s">
        <v>241</v>
      </c>
    </row>
    <row r="3406" spans="1:4" x14ac:dyDescent="0.35">
      <c r="A3406" t="s">
        <v>56</v>
      </c>
      <c r="B3406" s="88">
        <v>45792</v>
      </c>
      <c r="C3406">
        <v>21.615682197979702</v>
      </c>
      <c r="D3406" t="s">
        <v>241</v>
      </c>
    </row>
    <row r="3407" spans="1:4" x14ac:dyDescent="0.35">
      <c r="A3407" t="s">
        <v>56</v>
      </c>
      <c r="B3407" s="88">
        <v>45884</v>
      </c>
      <c r="C3407">
        <v>21.7034553119992</v>
      </c>
      <c r="D3407" t="s">
        <v>241</v>
      </c>
    </row>
    <row r="3408" spans="1:4" x14ac:dyDescent="0.35">
      <c r="A3408" t="s">
        <v>56</v>
      </c>
      <c r="B3408" s="88">
        <v>45976</v>
      </c>
      <c r="C3408">
        <v>21.688263438584901</v>
      </c>
      <c r="D3408" t="s">
        <v>241</v>
      </c>
    </row>
    <row r="3409" spans="1:4" x14ac:dyDescent="0.35">
      <c r="A3409" t="s">
        <v>56</v>
      </c>
      <c r="B3409" s="88">
        <v>46068</v>
      </c>
      <c r="C3409">
        <v>23.050802481791901</v>
      </c>
      <c r="D3409" t="s">
        <v>241</v>
      </c>
    </row>
    <row r="3410" spans="1:4" x14ac:dyDescent="0.35">
      <c r="A3410" t="s">
        <v>56</v>
      </c>
      <c r="B3410" s="88">
        <v>46157</v>
      </c>
      <c r="C3410">
        <v>23.062096168583199</v>
      </c>
      <c r="D3410" t="s">
        <v>241</v>
      </c>
    </row>
    <row r="3411" spans="1:4" x14ac:dyDescent="0.35">
      <c r="A3411" t="s">
        <v>56</v>
      </c>
      <c r="B3411" s="88">
        <v>46249</v>
      </c>
      <c r="C3411">
        <v>23.4210558151205</v>
      </c>
      <c r="D3411" t="s">
        <v>241</v>
      </c>
    </row>
    <row r="3412" spans="1:4" x14ac:dyDescent="0.35">
      <c r="A3412" t="s">
        <v>52</v>
      </c>
      <c r="B3412" s="88">
        <v>43511</v>
      </c>
      <c r="C3412">
        <v>17.865620888096117</v>
      </c>
      <c r="D3412" t="s">
        <v>241</v>
      </c>
    </row>
    <row r="3413" spans="1:4" x14ac:dyDescent="0.35">
      <c r="A3413" t="s">
        <v>52</v>
      </c>
      <c r="B3413" s="88">
        <v>43600</v>
      </c>
      <c r="C3413">
        <v>18.399404240786762</v>
      </c>
      <c r="D3413" t="s">
        <v>241</v>
      </c>
    </row>
    <row r="3414" spans="1:4" x14ac:dyDescent="0.35">
      <c r="A3414" t="s">
        <v>52</v>
      </c>
      <c r="B3414" s="88">
        <v>43692</v>
      </c>
      <c r="C3414">
        <v>18.517943640568507</v>
      </c>
      <c r="D3414" t="s">
        <v>241</v>
      </c>
    </row>
    <row r="3415" spans="1:4" x14ac:dyDescent="0.35">
      <c r="A3415" t="s">
        <v>52</v>
      </c>
      <c r="B3415" s="88">
        <v>43784</v>
      </c>
      <c r="C3415">
        <v>19.136043142032314</v>
      </c>
      <c r="D3415" t="s">
        <v>241</v>
      </c>
    </row>
    <row r="3416" spans="1:4" x14ac:dyDescent="0.35">
      <c r="A3416" t="s">
        <v>52</v>
      </c>
      <c r="B3416" s="88">
        <v>43876</v>
      </c>
      <c r="C3416">
        <v>19.398508642259166</v>
      </c>
      <c r="D3416" t="s">
        <v>241</v>
      </c>
    </row>
    <row r="3417" spans="1:4" x14ac:dyDescent="0.35">
      <c r="A3417" t="s">
        <v>52</v>
      </c>
      <c r="B3417" s="88">
        <v>43966</v>
      </c>
      <c r="C3417">
        <v>20.227888866918164</v>
      </c>
      <c r="D3417" t="s">
        <v>241</v>
      </c>
    </row>
    <row r="3418" spans="1:4" x14ac:dyDescent="0.35">
      <c r="A3418" t="s">
        <v>52</v>
      </c>
      <c r="B3418" s="88">
        <v>44058</v>
      </c>
      <c r="C3418">
        <v>20.202060391153545</v>
      </c>
      <c r="D3418" t="s">
        <v>241</v>
      </c>
    </row>
    <row r="3419" spans="1:4" x14ac:dyDescent="0.35">
      <c r="A3419" t="s">
        <v>52</v>
      </c>
      <c r="B3419" s="88">
        <v>44150</v>
      </c>
      <c r="C3419">
        <v>20.176947499452993</v>
      </c>
      <c r="D3419" t="s">
        <v>241</v>
      </c>
    </row>
    <row r="3420" spans="1:4" x14ac:dyDescent="0.35">
      <c r="A3420" t="s">
        <v>52</v>
      </c>
      <c r="B3420" s="88">
        <v>44242</v>
      </c>
      <c r="C3420">
        <v>20.375888725241573</v>
      </c>
      <c r="D3420" t="s">
        <v>241</v>
      </c>
    </row>
    <row r="3421" spans="1:4" x14ac:dyDescent="0.35">
      <c r="A3421" t="s">
        <v>52</v>
      </c>
      <c r="B3421" s="88">
        <v>44331</v>
      </c>
      <c r="C3421">
        <v>20.381553827916175</v>
      </c>
      <c r="D3421" t="s">
        <v>241</v>
      </c>
    </row>
    <row r="3422" spans="1:4" x14ac:dyDescent="0.35">
      <c r="A3422" t="s">
        <v>52</v>
      </c>
      <c r="B3422" s="88">
        <v>44423</v>
      </c>
      <c r="C3422">
        <v>20.479797628509154</v>
      </c>
      <c r="D3422" t="s">
        <v>241</v>
      </c>
    </row>
    <row r="3423" spans="1:4" x14ac:dyDescent="0.35">
      <c r="A3423" t="s">
        <v>52</v>
      </c>
      <c r="B3423" s="88">
        <v>44515</v>
      </c>
      <c r="C3423">
        <v>20.754595321892346</v>
      </c>
      <c r="D3423" t="s">
        <v>241</v>
      </c>
    </row>
    <row r="3424" spans="1:4" x14ac:dyDescent="0.35">
      <c r="A3424" t="s">
        <v>52</v>
      </c>
      <c r="B3424" s="88">
        <v>44607</v>
      </c>
      <c r="C3424">
        <v>20.889118162082145</v>
      </c>
      <c r="D3424" t="s">
        <v>241</v>
      </c>
    </row>
    <row r="3425" spans="1:4" x14ac:dyDescent="0.35">
      <c r="A3425" t="s">
        <v>52</v>
      </c>
      <c r="B3425" s="88">
        <v>44696</v>
      </c>
      <c r="C3425">
        <v>20.577439342950356</v>
      </c>
      <c r="D3425" t="s">
        <v>241</v>
      </c>
    </row>
    <row r="3426" spans="1:4" x14ac:dyDescent="0.35">
      <c r="A3426" t="s">
        <v>52</v>
      </c>
      <c r="B3426" s="88">
        <v>44788</v>
      </c>
      <c r="C3426">
        <v>20.830661192784959</v>
      </c>
      <c r="D3426" t="s">
        <v>241</v>
      </c>
    </row>
    <row r="3427" spans="1:4" x14ac:dyDescent="0.35">
      <c r="A3427" t="s">
        <v>52</v>
      </c>
      <c r="B3427" s="88">
        <v>44880</v>
      </c>
      <c r="C3427">
        <v>20.848199022628116</v>
      </c>
      <c r="D3427" t="s">
        <v>241</v>
      </c>
    </row>
    <row r="3428" spans="1:4" x14ac:dyDescent="0.35">
      <c r="A3428" t="s">
        <v>52</v>
      </c>
      <c r="B3428" s="88">
        <v>44972</v>
      </c>
      <c r="C3428">
        <v>21.470234621842195</v>
      </c>
      <c r="D3428" t="s">
        <v>241</v>
      </c>
    </row>
    <row r="3429" spans="1:4" x14ac:dyDescent="0.35">
      <c r="A3429" t="s">
        <v>52</v>
      </c>
      <c r="B3429" s="88">
        <v>45061</v>
      </c>
      <c r="C3429">
        <v>21.312898647516</v>
      </c>
      <c r="D3429" t="s">
        <v>241</v>
      </c>
    </row>
    <row r="3430" spans="1:4" x14ac:dyDescent="0.35">
      <c r="A3430" t="s">
        <v>52</v>
      </c>
      <c r="B3430" s="88">
        <v>45153</v>
      </c>
      <c r="C3430">
        <v>21.576145748286699</v>
      </c>
      <c r="D3430" t="s">
        <v>241</v>
      </c>
    </row>
    <row r="3431" spans="1:4" x14ac:dyDescent="0.35">
      <c r="A3431" t="s">
        <v>52</v>
      </c>
      <c r="B3431" s="88">
        <v>45245</v>
      </c>
      <c r="C3431">
        <v>21.779017597614299</v>
      </c>
      <c r="D3431" t="s">
        <v>241</v>
      </c>
    </row>
    <row r="3432" spans="1:4" x14ac:dyDescent="0.35">
      <c r="A3432" t="s">
        <v>52</v>
      </c>
      <c r="B3432" s="88">
        <v>45337</v>
      </c>
      <c r="C3432">
        <v>22.328988645276201</v>
      </c>
      <c r="D3432" t="s">
        <v>241</v>
      </c>
    </row>
    <row r="3433" spans="1:4" x14ac:dyDescent="0.35">
      <c r="A3433" t="s">
        <v>52</v>
      </c>
      <c r="B3433" s="88">
        <v>45427</v>
      </c>
      <c r="C3433">
        <v>21.1282262628228</v>
      </c>
      <c r="D3433" t="s">
        <v>241</v>
      </c>
    </row>
    <row r="3434" spans="1:4" x14ac:dyDescent="0.35">
      <c r="A3434" t="s">
        <v>52</v>
      </c>
      <c r="B3434" s="88">
        <v>45519</v>
      </c>
      <c r="C3434">
        <v>21.1783463970038</v>
      </c>
      <c r="D3434" t="s">
        <v>241</v>
      </c>
    </row>
    <row r="3435" spans="1:4" x14ac:dyDescent="0.35">
      <c r="A3435" t="s">
        <v>52</v>
      </c>
      <c r="B3435" s="88">
        <v>45611</v>
      </c>
      <c r="C3435">
        <v>21.439494007508301</v>
      </c>
      <c r="D3435" t="s">
        <v>241</v>
      </c>
    </row>
    <row r="3436" spans="1:4" x14ac:dyDescent="0.35">
      <c r="A3436" t="s">
        <v>52</v>
      </c>
      <c r="B3436" s="88">
        <v>45703</v>
      </c>
      <c r="C3436">
        <v>21.6138743204794</v>
      </c>
      <c r="D3436" t="s">
        <v>241</v>
      </c>
    </row>
    <row r="3437" spans="1:4" x14ac:dyDescent="0.35">
      <c r="A3437" t="s">
        <v>52</v>
      </c>
      <c r="B3437" s="88">
        <v>45792</v>
      </c>
      <c r="C3437">
        <v>21.9578951891896</v>
      </c>
      <c r="D3437" t="s">
        <v>241</v>
      </c>
    </row>
    <row r="3438" spans="1:4" x14ac:dyDescent="0.35">
      <c r="A3438" t="s">
        <v>52</v>
      </c>
      <c r="B3438" s="88">
        <v>45884</v>
      </c>
      <c r="C3438">
        <v>22.051488588282702</v>
      </c>
      <c r="D3438" t="s">
        <v>241</v>
      </c>
    </row>
    <row r="3439" spans="1:4" x14ac:dyDescent="0.35">
      <c r="A3439" t="s">
        <v>52</v>
      </c>
      <c r="B3439" s="88">
        <v>45976</v>
      </c>
      <c r="C3439">
        <v>22.035354528917999</v>
      </c>
      <c r="D3439" t="s">
        <v>241</v>
      </c>
    </row>
    <row r="3440" spans="1:4" x14ac:dyDescent="0.35">
      <c r="A3440" t="s">
        <v>52</v>
      </c>
      <c r="B3440" s="88">
        <v>46068</v>
      </c>
      <c r="C3440">
        <v>23.607852923006199</v>
      </c>
      <c r="D3440" t="s">
        <v>241</v>
      </c>
    </row>
    <row r="3441" spans="1:4" x14ac:dyDescent="0.35">
      <c r="A3441" t="s">
        <v>52</v>
      </c>
      <c r="B3441" s="88">
        <v>46157</v>
      </c>
      <c r="C3441">
        <v>23.372570364028299</v>
      </c>
      <c r="D3441" t="s">
        <v>241</v>
      </c>
    </row>
    <row r="3442" spans="1:4" x14ac:dyDescent="0.35">
      <c r="A3442" t="s">
        <v>52</v>
      </c>
      <c r="B3442" s="88">
        <v>46249</v>
      </c>
      <c r="C3442">
        <v>23.8042099716919</v>
      </c>
      <c r="D3442" t="s">
        <v>241</v>
      </c>
    </row>
    <row r="3443" spans="1:4" x14ac:dyDescent="0.35">
      <c r="A3443" t="s">
        <v>69</v>
      </c>
      <c r="B3443" s="88">
        <v>43511</v>
      </c>
      <c r="C3443">
        <v>20.99152366965285</v>
      </c>
      <c r="D3443" t="s">
        <v>241</v>
      </c>
    </row>
    <row r="3444" spans="1:4" x14ac:dyDescent="0.35">
      <c r="A3444" t="s">
        <v>69</v>
      </c>
      <c r="B3444" s="88">
        <v>43600</v>
      </c>
      <c r="C3444">
        <v>21.047653272236023</v>
      </c>
      <c r="D3444" t="s">
        <v>241</v>
      </c>
    </row>
    <row r="3445" spans="1:4" x14ac:dyDescent="0.35">
      <c r="A3445" t="s">
        <v>69</v>
      </c>
      <c r="B3445" s="88">
        <v>43692</v>
      </c>
      <c r="C3445">
        <v>21.023159229937651</v>
      </c>
      <c r="D3445" t="s">
        <v>241</v>
      </c>
    </row>
    <row r="3446" spans="1:4" x14ac:dyDescent="0.35">
      <c r="A3446" t="s">
        <v>69</v>
      </c>
      <c r="B3446" s="88">
        <v>43784</v>
      </c>
      <c r="C3446">
        <v>21.770625873402569</v>
      </c>
      <c r="D3446" t="s">
        <v>241</v>
      </c>
    </row>
    <row r="3447" spans="1:4" x14ac:dyDescent="0.35">
      <c r="A3447" t="s">
        <v>69</v>
      </c>
      <c r="B3447" s="88">
        <v>43876</v>
      </c>
      <c r="C3447">
        <v>21.822334990388551</v>
      </c>
      <c r="D3447" t="s">
        <v>241</v>
      </c>
    </row>
    <row r="3448" spans="1:4" x14ac:dyDescent="0.35">
      <c r="A3448" t="s">
        <v>69</v>
      </c>
      <c r="B3448" s="88">
        <v>43966</v>
      </c>
      <c r="C3448">
        <v>22.809507039239051</v>
      </c>
      <c r="D3448" t="s">
        <v>241</v>
      </c>
    </row>
    <row r="3449" spans="1:4" x14ac:dyDescent="0.35">
      <c r="A3449" t="s">
        <v>69</v>
      </c>
      <c r="B3449" s="88">
        <v>44058</v>
      </c>
      <c r="C3449">
        <v>22.778488143547079</v>
      </c>
      <c r="D3449" t="s">
        <v>241</v>
      </c>
    </row>
    <row r="3450" spans="1:4" x14ac:dyDescent="0.35">
      <c r="A3450" t="s">
        <v>69</v>
      </c>
      <c r="B3450" s="88">
        <v>44150</v>
      </c>
      <c r="C3450">
        <v>22.727277514919521</v>
      </c>
      <c r="D3450" t="s">
        <v>241</v>
      </c>
    </row>
    <row r="3451" spans="1:4" x14ac:dyDescent="0.35">
      <c r="A3451" t="s">
        <v>69</v>
      </c>
      <c r="B3451" s="88">
        <v>44242</v>
      </c>
      <c r="C3451">
        <v>22.684988057079295</v>
      </c>
      <c r="D3451" t="s">
        <v>241</v>
      </c>
    </row>
    <row r="3452" spans="1:4" x14ac:dyDescent="0.35">
      <c r="A3452" t="s">
        <v>69</v>
      </c>
      <c r="B3452" s="88">
        <v>44331</v>
      </c>
      <c r="C3452">
        <v>23.482671826969007</v>
      </c>
      <c r="D3452" t="s">
        <v>241</v>
      </c>
    </row>
    <row r="3453" spans="1:4" x14ac:dyDescent="0.35">
      <c r="A3453" t="s">
        <v>69</v>
      </c>
      <c r="B3453" s="88">
        <v>44423</v>
      </c>
      <c r="C3453">
        <v>23.552519130088026</v>
      </c>
      <c r="D3453" t="s">
        <v>241</v>
      </c>
    </row>
    <row r="3454" spans="1:4" x14ac:dyDescent="0.35">
      <c r="A3454" t="s">
        <v>69</v>
      </c>
      <c r="B3454" s="88">
        <v>44515</v>
      </c>
      <c r="C3454">
        <v>23.586813712705197</v>
      </c>
      <c r="D3454" t="s">
        <v>241</v>
      </c>
    </row>
    <row r="3455" spans="1:4" x14ac:dyDescent="0.35">
      <c r="A3455" t="s">
        <v>69</v>
      </c>
      <c r="B3455" s="88">
        <v>44607</v>
      </c>
      <c r="C3455">
        <v>24.361766451964908</v>
      </c>
      <c r="D3455" t="s">
        <v>241</v>
      </c>
    </row>
    <row r="3456" spans="1:4" x14ac:dyDescent="0.35">
      <c r="A3456" t="s">
        <v>69</v>
      </c>
      <c r="B3456" s="88">
        <v>44696</v>
      </c>
      <c r="C3456">
        <v>24.06513014044922</v>
      </c>
      <c r="D3456" t="s">
        <v>241</v>
      </c>
    </row>
    <row r="3457" spans="1:4" x14ac:dyDescent="0.35">
      <c r="A3457" t="s">
        <v>69</v>
      </c>
      <c r="B3457" s="88">
        <v>44788</v>
      </c>
      <c r="C3457">
        <v>24.245855800929647</v>
      </c>
      <c r="D3457" t="s">
        <v>241</v>
      </c>
    </row>
    <row r="3458" spans="1:4" x14ac:dyDescent="0.35">
      <c r="A3458" t="s">
        <v>69</v>
      </c>
      <c r="B3458" s="88">
        <v>44880</v>
      </c>
      <c r="C3458">
        <v>24.213682202628554</v>
      </c>
      <c r="D3458" t="s">
        <v>241</v>
      </c>
    </row>
    <row r="3459" spans="1:4" x14ac:dyDescent="0.35">
      <c r="A3459" t="s">
        <v>69</v>
      </c>
      <c r="B3459" s="88">
        <v>44972</v>
      </c>
      <c r="C3459">
        <v>24.444449441139916</v>
      </c>
      <c r="D3459" t="s">
        <v>241</v>
      </c>
    </row>
    <row r="3460" spans="1:4" x14ac:dyDescent="0.35">
      <c r="A3460" t="s">
        <v>69</v>
      </c>
      <c r="B3460" s="88">
        <v>45061</v>
      </c>
      <c r="C3460">
        <v>25.251054603428301</v>
      </c>
      <c r="D3460" t="s">
        <v>241</v>
      </c>
    </row>
    <row r="3461" spans="1:4" x14ac:dyDescent="0.35">
      <c r="A3461" t="s">
        <v>69</v>
      </c>
      <c r="B3461" s="88">
        <v>45153</v>
      </c>
      <c r="C3461">
        <v>25.770680538022098</v>
      </c>
      <c r="D3461" t="s">
        <v>241</v>
      </c>
    </row>
    <row r="3462" spans="1:4" x14ac:dyDescent="0.35">
      <c r="A3462" t="s">
        <v>69</v>
      </c>
      <c r="B3462" s="88">
        <v>45245</v>
      </c>
      <c r="C3462">
        <v>25.78559947418</v>
      </c>
      <c r="D3462" t="s">
        <v>241</v>
      </c>
    </row>
    <row r="3463" spans="1:4" x14ac:dyDescent="0.35">
      <c r="A3463" t="s">
        <v>69</v>
      </c>
      <c r="B3463" s="88">
        <v>45337</v>
      </c>
      <c r="C3463">
        <v>25.7364179117105</v>
      </c>
      <c r="D3463" t="s">
        <v>241</v>
      </c>
    </row>
    <row r="3464" spans="1:4" x14ac:dyDescent="0.35">
      <c r="A3464" t="s">
        <v>69</v>
      </c>
      <c r="B3464" s="88">
        <v>45427</v>
      </c>
      <c r="C3464">
        <v>26.908983135036902</v>
      </c>
      <c r="D3464" t="s">
        <v>241</v>
      </c>
    </row>
    <row r="3465" spans="1:4" x14ac:dyDescent="0.35">
      <c r="A3465" t="s">
        <v>69</v>
      </c>
      <c r="B3465" s="88">
        <v>45519</v>
      </c>
      <c r="C3465">
        <v>27.190740908800102</v>
      </c>
      <c r="D3465" t="s">
        <v>241</v>
      </c>
    </row>
    <row r="3466" spans="1:4" x14ac:dyDescent="0.35">
      <c r="A3466" t="s">
        <v>69</v>
      </c>
      <c r="B3466" s="88">
        <v>45611</v>
      </c>
      <c r="C3466">
        <v>27.195300714914801</v>
      </c>
      <c r="D3466" t="s">
        <v>241</v>
      </c>
    </row>
    <row r="3467" spans="1:4" x14ac:dyDescent="0.35">
      <c r="A3467" t="s">
        <v>69</v>
      </c>
      <c r="B3467" s="88">
        <v>45703</v>
      </c>
      <c r="C3467">
        <v>27.401107540147599</v>
      </c>
      <c r="D3467" t="s">
        <v>241</v>
      </c>
    </row>
    <row r="3468" spans="1:4" x14ac:dyDescent="0.35">
      <c r="A3468" t="s">
        <v>69</v>
      </c>
      <c r="B3468" s="88">
        <v>45792</v>
      </c>
      <c r="C3468">
        <v>27.673551122147099</v>
      </c>
      <c r="D3468" t="s">
        <v>241</v>
      </c>
    </row>
    <row r="3469" spans="1:4" x14ac:dyDescent="0.35">
      <c r="A3469" t="s">
        <v>69</v>
      </c>
      <c r="B3469" s="88">
        <v>45884</v>
      </c>
      <c r="C3469">
        <v>27.944183953605901</v>
      </c>
      <c r="D3469" t="s">
        <v>241</v>
      </c>
    </row>
    <row r="3470" spans="1:4" x14ac:dyDescent="0.35">
      <c r="A3470" t="s">
        <v>69</v>
      </c>
      <c r="B3470" s="88">
        <v>45976</v>
      </c>
      <c r="C3470">
        <v>27.782278552471201</v>
      </c>
      <c r="D3470" t="s">
        <v>241</v>
      </c>
    </row>
    <row r="3471" spans="1:4" x14ac:dyDescent="0.35">
      <c r="A3471" t="s">
        <v>69</v>
      </c>
      <c r="B3471" s="88">
        <v>46068</v>
      </c>
      <c r="C3471">
        <v>29.7370041319619</v>
      </c>
      <c r="D3471" t="s">
        <v>241</v>
      </c>
    </row>
    <row r="3472" spans="1:4" x14ac:dyDescent="0.35">
      <c r="A3472" t="s">
        <v>69</v>
      </c>
      <c r="B3472" s="88">
        <v>46157</v>
      </c>
      <c r="C3472">
        <v>29.451981149147102</v>
      </c>
      <c r="D3472" t="s">
        <v>241</v>
      </c>
    </row>
    <row r="3473" spans="1:4" x14ac:dyDescent="0.35">
      <c r="A3473" t="s">
        <v>69</v>
      </c>
      <c r="B3473" s="88">
        <v>46249</v>
      </c>
      <c r="C3473">
        <v>29.435551433823498</v>
      </c>
      <c r="D3473" t="s">
        <v>241</v>
      </c>
    </row>
    <row r="3474" spans="1:4" x14ac:dyDescent="0.35">
      <c r="A3474" t="s">
        <v>70</v>
      </c>
      <c r="B3474" s="88">
        <v>43511</v>
      </c>
      <c r="C3474">
        <v>19.123400247208792</v>
      </c>
      <c r="D3474" t="s">
        <v>241</v>
      </c>
    </row>
    <row r="3475" spans="1:4" x14ac:dyDescent="0.35">
      <c r="A3475" t="s">
        <v>70</v>
      </c>
      <c r="B3475" s="88">
        <v>43600</v>
      </c>
      <c r="C3475">
        <v>19.280344885196151</v>
      </c>
      <c r="D3475" t="s">
        <v>241</v>
      </c>
    </row>
    <row r="3476" spans="1:4" x14ac:dyDescent="0.35">
      <c r="A3476" t="s">
        <v>70</v>
      </c>
      <c r="B3476" s="88">
        <v>43692</v>
      </c>
      <c r="C3476">
        <v>19.259533266662274</v>
      </c>
      <c r="D3476" t="s">
        <v>241</v>
      </c>
    </row>
    <row r="3477" spans="1:4" x14ac:dyDescent="0.35">
      <c r="A3477" t="s">
        <v>70</v>
      </c>
      <c r="B3477" s="88">
        <v>43784</v>
      </c>
      <c r="C3477">
        <v>20.088074969397731</v>
      </c>
      <c r="D3477" t="s">
        <v>241</v>
      </c>
    </row>
    <row r="3478" spans="1:4" x14ac:dyDescent="0.35">
      <c r="A3478" t="s">
        <v>70</v>
      </c>
      <c r="B3478" s="88">
        <v>43876</v>
      </c>
      <c r="C3478">
        <v>20.185015341945288</v>
      </c>
      <c r="D3478" t="s">
        <v>241</v>
      </c>
    </row>
    <row r="3479" spans="1:4" x14ac:dyDescent="0.35">
      <c r="A3479" t="s">
        <v>70</v>
      </c>
      <c r="B3479" s="88">
        <v>43966</v>
      </c>
      <c r="C3479">
        <v>21.275990824742887</v>
      </c>
      <c r="D3479" t="s">
        <v>241</v>
      </c>
    </row>
    <row r="3480" spans="1:4" x14ac:dyDescent="0.35">
      <c r="A3480" t="s">
        <v>70</v>
      </c>
      <c r="B3480" s="88">
        <v>44058</v>
      </c>
      <c r="C3480">
        <v>21.280210933056249</v>
      </c>
      <c r="D3480" t="s">
        <v>241</v>
      </c>
    </row>
    <row r="3481" spans="1:4" x14ac:dyDescent="0.35">
      <c r="A3481" t="s">
        <v>70</v>
      </c>
      <c r="B3481" s="88">
        <v>44150</v>
      </c>
      <c r="C3481">
        <v>21.258319845080688</v>
      </c>
      <c r="D3481" t="s">
        <v>241</v>
      </c>
    </row>
    <row r="3482" spans="1:4" x14ac:dyDescent="0.35">
      <c r="A3482" t="s">
        <v>70</v>
      </c>
      <c r="B3482" s="88">
        <v>44242</v>
      </c>
      <c r="C3482">
        <v>21.326905269548764</v>
      </c>
      <c r="D3482" t="s">
        <v>241</v>
      </c>
    </row>
    <row r="3483" spans="1:4" x14ac:dyDescent="0.35">
      <c r="A3483" t="s">
        <v>70</v>
      </c>
      <c r="B3483" s="88">
        <v>44331</v>
      </c>
      <c r="C3483">
        <v>21.427372594729427</v>
      </c>
      <c r="D3483" t="s">
        <v>241</v>
      </c>
    </row>
    <row r="3484" spans="1:4" x14ac:dyDescent="0.35">
      <c r="A3484" t="s">
        <v>70</v>
      </c>
      <c r="B3484" s="88">
        <v>44423</v>
      </c>
      <c r="C3484">
        <v>21.625832831588014</v>
      </c>
      <c r="D3484" t="s">
        <v>241</v>
      </c>
    </row>
    <row r="3485" spans="1:4" x14ac:dyDescent="0.35">
      <c r="A3485" t="s">
        <v>70</v>
      </c>
      <c r="B3485" s="88">
        <v>44515</v>
      </c>
      <c r="C3485">
        <v>21.662310164103744</v>
      </c>
      <c r="D3485" t="s">
        <v>241</v>
      </c>
    </row>
    <row r="3486" spans="1:4" x14ac:dyDescent="0.35">
      <c r="A3486" t="s">
        <v>70</v>
      </c>
      <c r="B3486" s="88">
        <v>44607</v>
      </c>
      <c r="C3486">
        <v>22.203004131196096</v>
      </c>
      <c r="D3486" t="s">
        <v>241</v>
      </c>
    </row>
    <row r="3487" spans="1:4" x14ac:dyDescent="0.35">
      <c r="A3487" t="s">
        <v>70</v>
      </c>
      <c r="B3487" s="88">
        <v>44696</v>
      </c>
      <c r="C3487">
        <v>22.134174520939276</v>
      </c>
      <c r="D3487" t="s">
        <v>241</v>
      </c>
    </row>
    <row r="3488" spans="1:4" x14ac:dyDescent="0.35">
      <c r="A3488" t="s">
        <v>70</v>
      </c>
      <c r="B3488" s="88">
        <v>44788</v>
      </c>
      <c r="C3488">
        <v>22.295907588123114</v>
      </c>
      <c r="D3488" t="s">
        <v>241</v>
      </c>
    </row>
    <row r="3489" spans="1:4" x14ac:dyDescent="0.35">
      <c r="A3489" t="s">
        <v>70</v>
      </c>
      <c r="B3489" s="88">
        <v>44880</v>
      </c>
      <c r="C3489">
        <v>22.268337558884113</v>
      </c>
      <c r="D3489" t="s">
        <v>241</v>
      </c>
    </row>
    <row r="3490" spans="1:4" x14ac:dyDescent="0.35">
      <c r="A3490" t="s">
        <v>70</v>
      </c>
      <c r="B3490" s="88">
        <v>44972</v>
      </c>
      <c r="C3490">
        <v>23.023675096227663</v>
      </c>
      <c r="D3490" t="s">
        <v>241</v>
      </c>
    </row>
    <row r="3491" spans="1:4" x14ac:dyDescent="0.35">
      <c r="A3491" t="s">
        <v>70</v>
      </c>
      <c r="B3491" s="88">
        <v>45061</v>
      </c>
      <c r="C3491">
        <v>21.935385721282799</v>
      </c>
      <c r="D3491" t="s">
        <v>241</v>
      </c>
    </row>
    <row r="3492" spans="1:4" x14ac:dyDescent="0.35">
      <c r="A3492" t="s">
        <v>70</v>
      </c>
      <c r="B3492" s="88">
        <v>45153</v>
      </c>
      <c r="C3492">
        <v>22.625971323168901</v>
      </c>
      <c r="D3492" t="s">
        <v>241</v>
      </c>
    </row>
    <row r="3493" spans="1:4" x14ac:dyDescent="0.35">
      <c r="A3493" t="s">
        <v>70</v>
      </c>
      <c r="B3493" s="88">
        <v>45245</v>
      </c>
      <c r="C3493">
        <v>22.8015856416093</v>
      </c>
      <c r="D3493" t="s">
        <v>241</v>
      </c>
    </row>
    <row r="3494" spans="1:4" x14ac:dyDescent="0.35">
      <c r="A3494" t="s">
        <v>70</v>
      </c>
      <c r="B3494" s="88">
        <v>45337</v>
      </c>
      <c r="C3494">
        <v>22.643195866008099</v>
      </c>
      <c r="D3494" t="s">
        <v>241</v>
      </c>
    </row>
    <row r="3495" spans="1:4" x14ac:dyDescent="0.35">
      <c r="A3495" t="s">
        <v>70</v>
      </c>
      <c r="B3495" s="88">
        <v>45427</v>
      </c>
      <c r="C3495">
        <v>23.151075775947699</v>
      </c>
      <c r="D3495" t="s">
        <v>241</v>
      </c>
    </row>
    <row r="3496" spans="1:4" x14ac:dyDescent="0.35">
      <c r="A3496" t="s">
        <v>70</v>
      </c>
      <c r="B3496" s="88">
        <v>45519</v>
      </c>
      <c r="C3496">
        <v>23.5741295533265</v>
      </c>
      <c r="D3496" t="s">
        <v>241</v>
      </c>
    </row>
    <row r="3497" spans="1:4" x14ac:dyDescent="0.35">
      <c r="A3497" t="s">
        <v>70</v>
      </c>
      <c r="B3497" s="88">
        <v>45611</v>
      </c>
      <c r="C3497">
        <v>24.069897986905598</v>
      </c>
      <c r="D3497" t="s">
        <v>241</v>
      </c>
    </row>
    <row r="3498" spans="1:4" x14ac:dyDescent="0.35">
      <c r="A3498" t="s">
        <v>70</v>
      </c>
      <c r="B3498" s="88">
        <v>45703</v>
      </c>
      <c r="C3498">
        <v>24.321457167511898</v>
      </c>
      <c r="D3498" t="s">
        <v>241</v>
      </c>
    </row>
    <row r="3499" spans="1:4" x14ac:dyDescent="0.35">
      <c r="A3499" t="s">
        <v>70</v>
      </c>
      <c r="B3499" s="88">
        <v>45792</v>
      </c>
      <c r="C3499">
        <v>24.1245371934452</v>
      </c>
      <c r="D3499" t="s">
        <v>241</v>
      </c>
    </row>
    <row r="3500" spans="1:4" x14ac:dyDescent="0.35">
      <c r="A3500" t="s">
        <v>70</v>
      </c>
      <c r="B3500" s="88">
        <v>45884</v>
      </c>
      <c r="C3500">
        <v>24.2139346111984</v>
      </c>
      <c r="D3500" t="s">
        <v>241</v>
      </c>
    </row>
    <row r="3501" spans="1:4" x14ac:dyDescent="0.35">
      <c r="A3501" t="s">
        <v>70</v>
      </c>
      <c r="B3501" s="88">
        <v>45976</v>
      </c>
      <c r="C3501">
        <v>24.212470136531699</v>
      </c>
      <c r="D3501" t="s">
        <v>241</v>
      </c>
    </row>
    <row r="3502" spans="1:4" x14ac:dyDescent="0.35">
      <c r="A3502" t="s">
        <v>70</v>
      </c>
      <c r="B3502" s="88">
        <v>46068</v>
      </c>
      <c r="C3502">
        <v>25.9240597422645</v>
      </c>
      <c r="D3502" t="s">
        <v>241</v>
      </c>
    </row>
    <row r="3503" spans="1:4" x14ac:dyDescent="0.35">
      <c r="A3503" t="s">
        <v>70</v>
      </c>
      <c r="B3503" s="88">
        <v>46157</v>
      </c>
      <c r="C3503">
        <v>25.5775529896598</v>
      </c>
      <c r="D3503" t="s">
        <v>241</v>
      </c>
    </row>
    <row r="3504" spans="1:4" x14ac:dyDescent="0.35">
      <c r="A3504" t="s">
        <v>70</v>
      </c>
      <c r="B3504" s="88">
        <v>46249</v>
      </c>
      <c r="C3504">
        <v>25.7461100854322</v>
      </c>
      <c r="D3504" t="s">
        <v>241</v>
      </c>
    </row>
    <row r="3505" spans="1:4" x14ac:dyDescent="0.35">
      <c r="A3505" t="s">
        <v>58</v>
      </c>
      <c r="B3505" s="88">
        <v>43511</v>
      </c>
      <c r="C3505">
        <v>18.903582423499252</v>
      </c>
      <c r="D3505" t="s">
        <v>241</v>
      </c>
    </row>
    <row r="3506" spans="1:4" x14ac:dyDescent="0.35">
      <c r="A3506" t="s">
        <v>58</v>
      </c>
      <c r="B3506" s="88">
        <v>43600</v>
      </c>
      <c r="C3506">
        <v>19.572964258860537</v>
      </c>
      <c r="D3506" t="s">
        <v>241</v>
      </c>
    </row>
    <row r="3507" spans="1:4" x14ac:dyDescent="0.35">
      <c r="A3507" t="s">
        <v>58</v>
      </c>
      <c r="B3507" s="88">
        <v>43692</v>
      </c>
      <c r="C3507">
        <v>19.497561087240619</v>
      </c>
      <c r="D3507" t="s">
        <v>241</v>
      </c>
    </row>
    <row r="3508" spans="1:4" x14ac:dyDescent="0.35">
      <c r="A3508" t="s">
        <v>58</v>
      </c>
      <c r="B3508" s="88">
        <v>43784</v>
      </c>
      <c r="C3508">
        <v>20.223742600153287</v>
      </c>
      <c r="D3508" t="s">
        <v>241</v>
      </c>
    </row>
    <row r="3509" spans="1:4" x14ac:dyDescent="0.35">
      <c r="A3509" t="s">
        <v>58</v>
      </c>
      <c r="B3509" s="88">
        <v>43876</v>
      </c>
      <c r="C3509">
        <v>20.331325062173917</v>
      </c>
      <c r="D3509" t="s">
        <v>241</v>
      </c>
    </row>
    <row r="3510" spans="1:4" x14ac:dyDescent="0.35">
      <c r="A3510" t="s">
        <v>58</v>
      </c>
      <c r="B3510" s="88">
        <v>43966</v>
      </c>
      <c r="C3510">
        <v>21.453815983049044</v>
      </c>
      <c r="D3510" t="s">
        <v>241</v>
      </c>
    </row>
    <row r="3511" spans="1:4" x14ac:dyDescent="0.35">
      <c r="A3511" t="s">
        <v>58</v>
      </c>
      <c r="B3511" s="88">
        <v>44058</v>
      </c>
      <c r="C3511">
        <v>21.416859504961582</v>
      </c>
      <c r="D3511" t="s">
        <v>241</v>
      </c>
    </row>
    <row r="3512" spans="1:4" x14ac:dyDescent="0.35">
      <c r="A3512" t="s">
        <v>58</v>
      </c>
      <c r="B3512" s="88">
        <v>44150</v>
      </c>
      <c r="C3512">
        <v>21.361201719160245</v>
      </c>
      <c r="D3512" t="s">
        <v>241</v>
      </c>
    </row>
    <row r="3513" spans="1:4" x14ac:dyDescent="0.35">
      <c r="A3513" t="s">
        <v>58</v>
      </c>
      <c r="B3513" s="88">
        <v>44242</v>
      </c>
      <c r="C3513">
        <v>21.461839714700194</v>
      </c>
      <c r="D3513" t="s">
        <v>241</v>
      </c>
    </row>
    <row r="3514" spans="1:4" x14ac:dyDescent="0.35">
      <c r="A3514" t="s">
        <v>58</v>
      </c>
      <c r="B3514" s="88">
        <v>44331</v>
      </c>
      <c r="C3514">
        <v>21.171723875432519</v>
      </c>
      <c r="D3514" t="s">
        <v>241</v>
      </c>
    </row>
    <row r="3515" spans="1:4" x14ac:dyDescent="0.35">
      <c r="A3515" t="s">
        <v>58</v>
      </c>
      <c r="B3515" s="88">
        <v>44423</v>
      </c>
      <c r="C3515">
        <v>21.649646937504301</v>
      </c>
      <c r="D3515" t="s">
        <v>241</v>
      </c>
    </row>
    <row r="3516" spans="1:4" x14ac:dyDescent="0.35">
      <c r="A3516" t="s">
        <v>58</v>
      </c>
      <c r="B3516" s="88">
        <v>44515</v>
      </c>
      <c r="C3516">
        <v>21.766598102405482</v>
      </c>
      <c r="D3516" t="s">
        <v>241</v>
      </c>
    </row>
    <row r="3517" spans="1:4" x14ac:dyDescent="0.35">
      <c r="A3517" t="s">
        <v>58</v>
      </c>
      <c r="B3517" s="88">
        <v>44607</v>
      </c>
      <c r="C3517">
        <v>21.823143309233899</v>
      </c>
      <c r="D3517" t="s">
        <v>241</v>
      </c>
    </row>
    <row r="3518" spans="1:4" x14ac:dyDescent="0.35">
      <c r="A3518" t="s">
        <v>58</v>
      </c>
      <c r="B3518" s="88">
        <v>44696</v>
      </c>
      <c r="C3518">
        <v>21.309911754071862</v>
      </c>
      <c r="D3518" t="s">
        <v>241</v>
      </c>
    </row>
    <row r="3519" spans="1:4" x14ac:dyDescent="0.35">
      <c r="A3519" t="s">
        <v>58</v>
      </c>
      <c r="B3519" s="88">
        <v>44788</v>
      </c>
      <c r="C3519">
        <v>21.62769682314039</v>
      </c>
      <c r="D3519" t="s">
        <v>241</v>
      </c>
    </row>
    <row r="3520" spans="1:4" x14ac:dyDescent="0.35">
      <c r="A3520" t="s">
        <v>58</v>
      </c>
      <c r="B3520" s="88">
        <v>44880</v>
      </c>
      <c r="C3520">
        <v>21.622920861582685</v>
      </c>
      <c r="D3520" t="s">
        <v>241</v>
      </c>
    </row>
    <row r="3521" spans="1:4" x14ac:dyDescent="0.35">
      <c r="A3521" t="s">
        <v>58</v>
      </c>
      <c r="B3521" s="88">
        <v>44972</v>
      </c>
      <c r="C3521">
        <v>22.288491646041308</v>
      </c>
      <c r="D3521" t="s">
        <v>241</v>
      </c>
    </row>
    <row r="3522" spans="1:4" x14ac:dyDescent="0.35">
      <c r="A3522" t="s">
        <v>58</v>
      </c>
      <c r="B3522" s="88">
        <v>45061</v>
      </c>
      <c r="C3522">
        <v>22.043190758573601</v>
      </c>
      <c r="D3522" t="s">
        <v>241</v>
      </c>
    </row>
    <row r="3523" spans="1:4" x14ac:dyDescent="0.35">
      <c r="A3523" t="s">
        <v>58</v>
      </c>
      <c r="B3523" s="88">
        <v>45153</v>
      </c>
      <c r="C3523">
        <v>22.385223962862302</v>
      </c>
      <c r="D3523" t="s">
        <v>241</v>
      </c>
    </row>
    <row r="3524" spans="1:4" x14ac:dyDescent="0.35">
      <c r="A3524" t="s">
        <v>58</v>
      </c>
      <c r="B3524" s="88">
        <v>45245</v>
      </c>
      <c r="C3524">
        <v>22.513651056680299</v>
      </c>
      <c r="D3524" t="s">
        <v>241</v>
      </c>
    </row>
    <row r="3525" spans="1:4" x14ac:dyDescent="0.35">
      <c r="A3525" t="s">
        <v>58</v>
      </c>
      <c r="B3525" s="88">
        <v>45337</v>
      </c>
      <c r="C3525">
        <v>22.784465756616999</v>
      </c>
      <c r="D3525" t="s">
        <v>241</v>
      </c>
    </row>
    <row r="3526" spans="1:4" x14ac:dyDescent="0.35">
      <c r="A3526" t="s">
        <v>58</v>
      </c>
      <c r="B3526" s="88">
        <v>45427</v>
      </c>
      <c r="C3526">
        <v>21.274753512314302</v>
      </c>
      <c r="D3526" t="s">
        <v>241</v>
      </c>
    </row>
    <row r="3527" spans="1:4" x14ac:dyDescent="0.35">
      <c r="A3527" t="s">
        <v>58</v>
      </c>
      <c r="B3527" s="88">
        <v>45519</v>
      </c>
      <c r="C3527">
        <v>21.436045786743499</v>
      </c>
      <c r="D3527" t="s">
        <v>241</v>
      </c>
    </row>
    <row r="3528" spans="1:4" x14ac:dyDescent="0.35">
      <c r="A3528" t="s">
        <v>58</v>
      </c>
      <c r="B3528" s="88">
        <v>45611</v>
      </c>
      <c r="C3528">
        <v>21.843185825055201</v>
      </c>
      <c r="D3528" t="s">
        <v>241</v>
      </c>
    </row>
    <row r="3529" spans="1:4" x14ac:dyDescent="0.35">
      <c r="A3529" t="s">
        <v>58</v>
      </c>
      <c r="B3529" s="88">
        <v>45703</v>
      </c>
      <c r="C3529">
        <v>22.089434770510799</v>
      </c>
      <c r="D3529" t="s">
        <v>241</v>
      </c>
    </row>
    <row r="3530" spans="1:4" x14ac:dyDescent="0.35">
      <c r="A3530" t="s">
        <v>58</v>
      </c>
      <c r="B3530" s="88">
        <v>45792</v>
      </c>
      <c r="C3530">
        <v>23.313859537888</v>
      </c>
      <c r="D3530" t="s">
        <v>241</v>
      </c>
    </row>
    <row r="3531" spans="1:4" x14ac:dyDescent="0.35">
      <c r="A3531" t="s">
        <v>58</v>
      </c>
      <c r="B3531" s="88">
        <v>45884</v>
      </c>
      <c r="C3531">
        <v>23.403970662384602</v>
      </c>
      <c r="D3531" t="s">
        <v>241</v>
      </c>
    </row>
    <row r="3532" spans="1:4" x14ac:dyDescent="0.35">
      <c r="A3532" t="s">
        <v>58</v>
      </c>
      <c r="B3532" s="88">
        <v>45976</v>
      </c>
      <c r="C3532">
        <v>23.414437731938602</v>
      </c>
      <c r="D3532" t="s">
        <v>241</v>
      </c>
    </row>
    <row r="3533" spans="1:4" x14ac:dyDescent="0.35">
      <c r="A3533" t="s">
        <v>58</v>
      </c>
      <c r="B3533" s="88">
        <v>46068</v>
      </c>
      <c r="C3533">
        <v>24.869230427738302</v>
      </c>
      <c r="D3533" t="s">
        <v>241</v>
      </c>
    </row>
    <row r="3534" spans="1:4" x14ac:dyDescent="0.35">
      <c r="A3534" t="s">
        <v>58</v>
      </c>
      <c r="B3534" s="88">
        <v>46157</v>
      </c>
      <c r="C3534">
        <v>23.4723891027086</v>
      </c>
      <c r="D3534" t="s">
        <v>241</v>
      </c>
    </row>
    <row r="3535" spans="1:4" x14ac:dyDescent="0.35">
      <c r="A3535" t="s">
        <v>58</v>
      </c>
      <c r="B3535" s="88">
        <v>46249</v>
      </c>
      <c r="C3535">
        <v>23.766618733989699</v>
      </c>
      <c r="D3535" t="s">
        <v>241</v>
      </c>
    </row>
    <row r="3536" spans="1:4" x14ac:dyDescent="0.35">
      <c r="A3536" t="s">
        <v>55</v>
      </c>
      <c r="B3536" s="88">
        <v>43511</v>
      </c>
      <c r="C3536">
        <v>19.180723187405853</v>
      </c>
      <c r="D3536" t="s">
        <v>241</v>
      </c>
    </row>
    <row r="3537" spans="1:4" x14ac:dyDescent="0.35">
      <c r="A3537" t="s">
        <v>55</v>
      </c>
      <c r="B3537" s="88">
        <v>43600</v>
      </c>
      <c r="C3537">
        <v>19.658336337110807</v>
      </c>
      <c r="D3537" t="s">
        <v>241</v>
      </c>
    </row>
    <row r="3538" spans="1:4" x14ac:dyDescent="0.35">
      <c r="A3538" t="s">
        <v>55</v>
      </c>
      <c r="B3538" s="88">
        <v>43692</v>
      </c>
      <c r="C3538">
        <v>19.676078684561542</v>
      </c>
      <c r="D3538" t="s">
        <v>241</v>
      </c>
    </row>
    <row r="3539" spans="1:4" x14ac:dyDescent="0.35">
      <c r="A3539" t="s">
        <v>55</v>
      </c>
      <c r="B3539" s="88">
        <v>43784</v>
      </c>
      <c r="C3539">
        <v>20.269409160321125</v>
      </c>
      <c r="D3539" t="s">
        <v>241</v>
      </c>
    </row>
    <row r="3540" spans="1:4" x14ac:dyDescent="0.35">
      <c r="A3540" t="s">
        <v>55</v>
      </c>
      <c r="B3540" s="88">
        <v>43876</v>
      </c>
      <c r="C3540">
        <v>20.392728735049861</v>
      </c>
      <c r="D3540" t="s">
        <v>241</v>
      </c>
    </row>
    <row r="3541" spans="1:4" x14ac:dyDescent="0.35">
      <c r="A3541" t="s">
        <v>55</v>
      </c>
      <c r="B3541" s="88">
        <v>43966</v>
      </c>
      <c r="C3541">
        <v>21.31473764186179</v>
      </c>
      <c r="D3541" t="s">
        <v>241</v>
      </c>
    </row>
    <row r="3542" spans="1:4" x14ac:dyDescent="0.35">
      <c r="A3542" t="s">
        <v>55</v>
      </c>
      <c r="B3542" s="88">
        <v>44058</v>
      </c>
      <c r="C3542">
        <v>21.292784720678618</v>
      </c>
      <c r="D3542" t="s">
        <v>241</v>
      </c>
    </row>
    <row r="3543" spans="1:4" x14ac:dyDescent="0.35">
      <c r="A3543" t="s">
        <v>55</v>
      </c>
      <c r="B3543" s="88">
        <v>44150</v>
      </c>
      <c r="C3543">
        <v>21.271698827705301</v>
      </c>
      <c r="D3543" t="s">
        <v>241</v>
      </c>
    </row>
    <row r="3544" spans="1:4" x14ac:dyDescent="0.35">
      <c r="A3544" t="s">
        <v>55</v>
      </c>
      <c r="B3544" s="88">
        <v>44242</v>
      </c>
      <c r="C3544">
        <v>21.335659506732121</v>
      </c>
      <c r="D3544" t="s">
        <v>241</v>
      </c>
    </row>
    <row r="3545" spans="1:4" x14ac:dyDescent="0.35">
      <c r="A3545" t="s">
        <v>55</v>
      </c>
      <c r="B3545" s="88">
        <v>44331</v>
      </c>
      <c r="C3545">
        <v>21.473537501480401</v>
      </c>
      <c r="D3545" t="s">
        <v>241</v>
      </c>
    </row>
    <row r="3546" spans="1:4" x14ac:dyDescent="0.35">
      <c r="A3546" t="s">
        <v>55</v>
      </c>
      <c r="B3546" s="88">
        <v>44423</v>
      </c>
      <c r="C3546">
        <v>21.659049890645889</v>
      </c>
      <c r="D3546" t="s">
        <v>241</v>
      </c>
    </row>
    <row r="3547" spans="1:4" x14ac:dyDescent="0.35">
      <c r="A3547" t="s">
        <v>55</v>
      </c>
      <c r="B3547" s="88">
        <v>44515</v>
      </c>
      <c r="C3547">
        <v>21.675080424923792</v>
      </c>
      <c r="D3547" t="s">
        <v>241</v>
      </c>
    </row>
    <row r="3548" spans="1:4" x14ac:dyDescent="0.35">
      <c r="A3548" t="s">
        <v>55</v>
      </c>
      <c r="B3548" s="88">
        <v>44607</v>
      </c>
      <c r="C3548">
        <v>21.96119949183953</v>
      </c>
      <c r="D3548" t="s">
        <v>241</v>
      </c>
    </row>
    <row r="3549" spans="1:4" x14ac:dyDescent="0.35">
      <c r="A3549" t="s">
        <v>55</v>
      </c>
      <c r="B3549" s="88">
        <v>44696</v>
      </c>
      <c r="C3549">
        <v>21.552273370599622</v>
      </c>
      <c r="D3549" t="s">
        <v>241</v>
      </c>
    </row>
    <row r="3550" spans="1:4" x14ac:dyDescent="0.35">
      <c r="A3550" t="s">
        <v>55</v>
      </c>
      <c r="B3550" s="88">
        <v>44788</v>
      </c>
      <c r="C3550">
        <v>21.822108161616214</v>
      </c>
      <c r="D3550" t="s">
        <v>241</v>
      </c>
    </row>
    <row r="3551" spans="1:4" x14ac:dyDescent="0.35">
      <c r="A3551" t="s">
        <v>55</v>
      </c>
      <c r="B3551" s="88">
        <v>44880</v>
      </c>
      <c r="C3551">
        <v>21.810641332789061</v>
      </c>
      <c r="D3551" t="s">
        <v>241</v>
      </c>
    </row>
    <row r="3552" spans="1:4" x14ac:dyDescent="0.35">
      <c r="A3552" t="s">
        <v>55</v>
      </c>
      <c r="B3552" s="88">
        <v>44972</v>
      </c>
      <c r="C3552">
        <v>22.418815172183827</v>
      </c>
      <c r="D3552" t="s">
        <v>241</v>
      </c>
    </row>
    <row r="3553" spans="1:4" x14ac:dyDescent="0.35">
      <c r="A3553" t="s">
        <v>55</v>
      </c>
      <c r="B3553" s="88">
        <v>45061</v>
      </c>
      <c r="C3553">
        <v>22.051148589672501</v>
      </c>
      <c r="D3553" t="s">
        <v>241</v>
      </c>
    </row>
    <row r="3554" spans="1:4" x14ac:dyDescent="0.35">
      <c r="A3554" t="s">
        <v>55</v>
      </c>
      <c r="B3554" s="88">
        <v>45153</v>
      </c>
      <c r="C3554">
        <v>22.5343752056651</v>
      </c>
      <c r="D3554" t="s">
        <v>241</v>
      </c>
    </row>
    <row r="3555" spans="1:4" x14ac:dyDescent="0.35">
      <c r="A3555" t="s">
        <v>55</v>
      </c>
      <c r="B3555" s="88">
        <v>45245</v>
      </c>
      <c r="C3555">
        <v>22.763991536562202</v>
      </c>
      <c r="D3555" t="s">
        <v>241</v>
      </c>
    </row>
    <row r="3556" spans="1:4" x14ac:dyDescent="0.35">
      <c r="A3556" t="s">
        <v>55</v>
      </c>
      <c r="B3556" s="88">
        <v>45337</v>
      </c>
      <c r="C3556">
        <v>23.070015832180101</v>
      </c>
      <c r="D3556" t="s">
        <v>241</v>
      </c>
    </row>
    <row r="3557" spans="1:4" x14ac:dyDescent="0.35">
      <c r="A3557" t="s">
        <v>55</v>
      </c>
      <c r="B3557" s="88">
        <v>45427</v>
      </c>
      <c r="C3557">
        <v>22.001669264310699</v>
      </c>
      <c r="D3557" t="s">
        <v>241</v>
      </c>
    </row>
    <row r="3558" spans="1:4" x14ac:dyDescent="0.35">
      <c r="A3558" t="s">
        <v>55</v>
      </c>
      <c r="B3558" s="88">
        <v>45519</v>
      </c>
      <c r="C3558">
        <v>21.951228114915601</v>
      </c>
      <c r="D3558" t="s">
        <v>241</v>
      </c>
    </row>
    <row r="3559" spans="1:4" x14ac:dyDescent="0.35">
      <c r="A3559" t="s">
        <v>55</v>
      </c>
      <c r="B3559" s="88">
        <v>45611</v>
      </c>
      <c r="C3559">
        <v>22.212781015266899</v>
      </c>
      <c r="D3559" t="s">
        <v>241</v>
      </c>
    </row>
    <row r="3560" spans="1:4" x14ac:dyDescent="0.35">
      <c r="A3560" t="s">
        <v>55</v>
      </c>
      <c r="B3560" s="88">
        <v>45703</v>
      </c>
      <c r="C3560">
        <v>22.402365714475899</v>
      </c>
      <c r="D3560" t="s">
        <v>241</v>
      </c>
    </row>
    <row r="3561" spans="1:4" x14ac:dyDescent="0.35">
      <c r="A3561" t="s">
        <v>55</v>
      </c>
      <c r="B3561" s="88">
        <v>45792</v>
      </c>
      <c r="C3561">
        <v>22.523523387231201</v>
      </c>
      <c r="D3561" t="s">
        <v>241</v>
      </c>
    </row>
    <row r="3562" spans="1:4" x14ac:dyDescent="0.35">
      <c r="A3562" t="s">
        <v>55</v>
      </c>
      <c r="B3562" s="88">
        <v>45884</v>
      </c>
      <c r="C3562">
        <v>22.657218674991199</v>
      </c>
      <c r="D3562" t="s">
        <v>241</v>
      </c>
    </row>
    <row r="3563" spans="1:4" x14ac:dyDescent="0.35">
      <c r="A3563" t="s">
        <v>55</v>
      </c>
      <c r="B3563" s="88">
        <v>45976</v>
      </c>
      <c r="C3563">
        <v>22.614785088165</v>
      </c>
      <c r="D3563" t="s">
        <v>241</v>
      </c>
    </row>
    <row r="3564" spans="1:4" x14ac:dyDescent="0.35">
      <c r="A3564" t="s">
        <v>55</v>
      </c>
      <c r="B3564" s="88">
        <v>46068</v>
      </c>
      <c r="C3564">
        <v>24.292570502143601</v>
      </c>
      <c r="D3564" t="s">
        <v>241</v>
      </c>
    </row>
    <row r="3565" spans="1:4" x14ac:dyDescent="0.35">
      <c r="A3565" t="s">
        <v>55</v>
      </c>
      <c r="B3565" s="88">
        <v>46157</v>
      </c>
      <c r="C3565">
        <v>24.160948963905501</v>
      </c>
      <c r="D3565" t="s">
        <v>241</v>
      </c>
    </row>
    <row r="3566" spans="1:4" x14ac:dyDescent="0.35">
      <c r="A3566" t="s">
        <v>55</v>
      </c>
      <c r="B3566" s="88">
        <v>46249</v>
      </c>
      <c r="C3566">
        <v>24.383068618144399</v>
      </c>
      <c r="D3566" t="s">
        <v>241</v>
      </c>
    </row>
    <row r="3567" spans="1:4" x14ac:dyDescent="0.35">
      <c r="A3567" t="s">
        <v>62</v>
      </c>
      <c r="B3567" s="88">
        <v>43511</v>
      </c>
      <c r="C3567">
        <v>17.682655618430967</v>
      </c>
      <c r="D3567" t="s">
        <v>241</v>
      </c>
    </row>
    <row r="3568" spans="1:4" x14ac:dyDescent="0.35">
      <c r="A3568" t="s">
        <v>62</v>
      </c>
      <c r="B3568" s="88">
        <v>43600</v>
      </c>
      <c r="C3568">
        <v>17.49399436202668</v>
      </c>
      <c r="D3568" t="s">
        <v>241</v>
      </c>
    </row>
    <row r="3569" spans="1:4" x14ac:dyDescent="0.35">
      <c r="A3569" t="s">
        <v>62</v>
      </c>
      <c r="B3569" s="88">
        <v>43692</v>
      </c>
      <c r="C3569">
        <v>17.598684211591912</v>
      </c>
      <c r="D3569" t="s">
        <v>241</v>
      </c>
    </row>
    <row r="3570" spans="1:4" x14ac:dyDescent="0.35">
      <c r="A3570" t="s">
        <v>62</v>
      </c>
      <c r="B3570" s="88">
        <v>43784</v>
      </c>
      <c r="C3570">
        <v>18.147617330968249</v>
      </c>
      <c r="D3570" t="s">
        <v>241</v>
      </c>
    </row>
    <row r="3571" spans="1:4" x14ac:dyDescent="0.35">
      <c r="A3571" t="s">
        <v>62</v>
      </c>
      <c r="B3571" s="88">
        <v>43876</v>
      </c>
      <c r="C3571">
        <v>18.259962330067733</v>
      </c>
      <c r="D3571" t="s">
        <v>241</v>
      </c>
    </row>
    <row r="3572" spans="1:4" x14ac:dyDescent="0.35">
      <c r="A3572" t="s">
        <v>62</v>
      </c>
      <c r="B3572" s="88">
        <v>43966</v>
      </c>
      <c r="C3572">
        <v>18.735352625520498</v>
      </c>
      <c r="D3572" t="s">
        <v>241</v>
      </c>
    </row>
    <row r="3573" spans="1:4" x14ac:dyDescent="0.35">
      <c r="A3573" t="s">
        <v>62</v>
      </c>
      <c r="B3573" s="88">
        <v>44058</v>
      </c>
      <c r="C3573">
        <v>18.749143700240666</v>
      </c>
      <c r="D3573" t="s">
        <v>241</v>
      </c>
    </row>
    <row r="3574" spans="1:4" x14ac:dyDescent="0.35">
      <c r="A3574" t="s">
        <v>62</v>
      </c>
      <c r="B3574" s="88">
        <v>44150</v>
      </c>
      <c r="C3574">
        <v>18.736970211604756</v>
      </c>
      <c r="D3574" t="s">
        <v>241</v>
      </c>
    </row>
    <row r="3575" spans="1:4" x14ac:dyDescent="0.35">
      <c r="A3575" t="s">
        <v>62</v>
      </c>
      <c r="B3575" s="88">
        <v>44242</v>
      </c>
      <c r="C3575">
        <v>18.829295948516709</v>
      </c>
      <c r="D3575" t="s">
        <v>241</v>
      </c>
    </row>
    <row r="3576" spans="1:4" x14ac:dyDescent="0.35">
      <c r="A3576" t="s">
        <v>62</v>
      </c>
      <c r="B3576" s="88">
        <v>44331</v>
      </c>
      <c r="C3576">
        <v>19.091963431544386</v>
      </c>
      <c r="D3576" t="s">
        <v>241</v>
      </c>
    </row>
    <row r="3577" spans="1:4" x14ac:dyDescent="0.35">
      <c r="A3577" t="s">
        <v>62</v>
      </c>
      <c r="B3577" s="88">
        <v>44423</v>
      </c>
      <c r="C3577">
        <v>19.163479717010595</v>
      </c>
      <c r="D3577" t="s">
        <v>241</v>
      </c>
    </row>
    <row r="3578" spans="1:4" x14ac:dyDescent="0.35">
      <c r="A3578" t="s">
        <v>62</v>
      </c>
      <c r="B3578" s="88">
        <v>44515</v>
      </c>
      <c r="C3578">
        <v>19.462544229593682</v>
      </c>
      <c r="D3578" t="s">
        <v>241</v>
      </c>
    </row>
    <row r="3579" spans="1:4" x14ac:dyDescent="0.35">
      <c r="A3579" t="s">
        <v>62</v>
      </c>
      <c r="B3579" s="88">
        <v>44607</v>
      </c>
      <c r="C3579">
        <v>19.85735894425121</v>
      </c>
      <c r="D3579" t="s">
        <v>241</v>
      </c>
    </row>
    <row r="3580" spans="1:4" x14ac:dyDescent="0.35">
      <c r="A3580" t="s">
        <v>62</v>
      </c>
      <c r="B3580" s="88">
        <v>44696</v>
      </c>
      <c r="C3580">
        <v>19.990104589796651</v>
      </c>
      <c r="D3580" t="s">
        <v>241</v>
      </c>
    </row>
    <row r="3581" spans="1:4" x14ac:dyDescent="0.35">
      <c r="A3581" t="s">
        <v>62</v>
      </c>
      <c r="B3581" s="88">
        <v>44788</v>
      </c>
      <c r="C3581">
        <v>19.849632954932382</v>
      </c>
      <c r="D3581" t="s">
        <v>241</v>
      </c>
    </row>
    <row r="3582" spans="1:4" x14ac:dyDescent="0.35">
      <c r="A3582" t="s">
        <v>62</v>
      </c>
      <c r="B3582" s="88">
        <v>44880</v>
      </c>
      <c r="C3582">
        <v>19.867142580387252</v>
      </c>
      <c r="D3582" t="s">
        <v>241</v>
      </c>
    </row>
    <row r="3583" spans="1:4" x14ac:dyDescent="0.35">
      <c r="A3583" t="s">
        <v>62</v>
      </c>
      <c r="B3583" s="88">
        <v>44972</v>
      </c>
      <c r="C3583">
        <v>20.309866030760617</v>
      </c>
      <c r="D3583" t="s">
        <v>241</v>
      </c>
    </row>
    <row r="3584" spans="1:4" x14ac:dyDescent="0.35">
      <c r="A3584" t="s">
        <v>62</v>
      </c>
      <c r="B3584" s="88">
        <v>45061</v>
      </c>
      <c r="C3584">
        <v>19.763579315146199</v>
      </c>
      <c r="D3584" t="s">
        <v>241</v>
      </c>
    </row>
    <row r="3585" spans="1:4" x14ac:dyDescent="0.35">
      <c r="A3585" t="s">
        <v>62</v>
      </c>
      <c r="B3585" s="88">
        <v>45153</v>
      </c>
      <c r="C3585">
        <v>19.8970908102233</v>
      </c>
      <c r="D3585" t="s">
        <v>241</v>
      </c>
    </row>
    <row r="3586" spans="1:4" x14ac:dyDescent="0.35">
      <c r="A3586" t="s">
        <v>62</v>
      </c>
      <c r="B3586" s="88">
        <v>45245</v>
      </c>
      <c r="C3586">
        <v>20.128676478181799</v>
      </c>
      <c r="D3586" t="s">
        <v>241</v>
      </c>
    </row>
    <row r="3587" spans="1:4" x14ac:dyDescent="0.35">
      <c r="A3587" t="s">
        <v>62</v>
      </c>
      <c r="B3587" s="88">
        <v>45337</v>
      </c>
      <c r="C3587">
        <v>20.462778586451599</v>
      </c>
      <c r="D3587" t="s">
        <v>241</v>
      </c>
    </row>
    <row r="3588" spans="1:4" x14ac:dyDescent="0.35">
      <c r="A3588" t="s">
        <v>62</v>
      </c>
      <c r="B3588" s="88">
        <v>45427</v>
      </c>
      <c r="C3588">
        <v>21.459180848662999</v>
      </c>
      <c r="D3588" t="s">
        <v>241</v>
      </c>
    </row>
    <row r="3589" spans="1:4" x14ac:dyDescent="0.35">
      <c r="A3589" t="s">
        <v>62</v>
      </c>
      <c r="B3589" s="88">
        <v>45519</v>
      </c>
      <c r="C3589">
        <v>21.717281535721899</v>
      </c>
      <c r="D3589" t="s">
        <v>241</v>
      </c>
    </row>
    <row r="3590" spans="1:4" x14ac:dyDescent="0.35">
      <c r="A3590" t="s">
        <v>62</v>
      </c>
      <c r="B3590" s="88">
        <v>45611</v>
      </c>
      <c r="C3590">
        <v>22.199054219645301</v>
      </c>
      <c r="D3590" t="s">
        <v>241</v>
      </c>
    </row>
    <row r="3591" spans="1:4" x14ac:dyDescent="0.35">
      <c r="A3591" t="s">
        <v>62</v>
      </c>
      <c r="B3591" s="88">
        <v>45703</v>
      </c>
      <c r="C3591">
        <v>22.5940444873325</v>
      </c>
      <c r="D3591" t="s">
        <v>241</v>
      </c>
    </row>
    <row r="3592" spans="1:4" x14ac:dyDescent="0.35">
      <c r="A3592" t="s">
        <v>62</v>
      </c>
      <c r="B3592" s="88">
        <v>45792</v>
      </c>
      <c r="C3592">
        <v>23.906617719108301</v>
      </c>
      <c r="D3592" t="s">
        <v>241</v>
      </c>
    </row>
    <row r="3593" spans="1:4" x14ac:dyDescent="0.35">
      <c r="A3593" t="s">
        <v>62</v>
      </c>
      <c r="B3593" s="88">
        <v>45884</v>
      </c>
      <c r="C3593">
        <v>23.984339987453399</v>
      </c>
      <c r="D3593" t="s">
        <v>241</v>
      </c>
    </row>
    <row r="3594" spans="1:4" x14ac:dyDescent="0.35">
      <c r="A3594" t="s">
        <v>62</v>
      </c>
      <c r="B3594" s="88">
        <v>45976</v>
      </c>
      <c r="C3594">
        <v>24.0162478519667</v>
      </c>
      <c r="D3594" t="s">
        <v>241</v>
      </c>
    </row>
    <row r="3595" spans="1:4" x14ac:dyDescent="0.35">
      <c r="A3595" t="s">
        <v>62</v>
      </c>
      <c r="B3595" s="88">
        <v>46068</v>
      </c>
      <c r="C3595">
        <v>24.774804234117799</v>
      </c>
      <c r="D3595" t="s">
        <v>241</v>
      </c>
    </row>
    <row r="3596" spans="1:4" x14ac:dyDescent="0.35">
      <c r="A3596" t="s">
        <v>62</v>
      </c>
      <c r="B3596" s="88">
        <v>46157</v>
      </c>
      <c r="C3596">
        <v>25.615198710697602</v>
      </c>
      <c r="D3596" t="s">
        <v>241</v>
      </c>
    </row>
    <row r="3597" spans="1:4" x14ac:dyDescent="0.35">
      <c r="A3597" t="s">
        <v>62</v>
      </c>
      <c r="B3597" s="88">
        <v>46249</v>
      </c>
      <c r="C3597">
        <v>25.803592875528601</v>
      </c>
      <c r="D3597" t="s">
        <v>241</v>
      </c>
    </row>
    <row r="3598" spans="1:4" x14ac:dyDescent="0.35">
      <c r="A3598" t="s">
        <v>64</v>
      </c>
      <c r="B3598" s="88">
        <v>43511</v>
      </c>
      <c r="C3598">
        <v>18.06434345972982</v>
      </c>
      <c r="D3598" t="s">
        <v>241</v>
      </c>
    </row>
    <row r="3599" spans="1:4" x14ac:dyDescent="0.35">
      <c r="A3599" t="s">
        <v>64</v>
      </c>
      <c r="B3599" s="88">
        <v>43600</v>
      </c>
      <c r="C3599">
        <v>18.113034201350562</v>
      </c>
      <c r="D3599" t="s">
        <v>241</v>
      </c>
    </row>
    <row r="3600" spans="1:4" x14ac:dyDescent="0.35">
      <c r="A3600" t="s">
        <v>64</v>
      </c>
      <c r="B3600" s="88">
        <v>43692</v>
      </c>
      <c r="C3600">
        <v>18.040920444754089</v>
      </c>
      <c r="D3600" t="s">
        <v>241</v>
      </c>
    </row>
    <row r="3601" spans="1:4" x14ac:dyDescent="0.35">
      <c r="A3601" t="s">
        <v>64</v>
      </c>
      <c r="B3601" s="88">
        <v>43784</v>
      </c>
      <c r="C3601">
        <v>18.181699408357257</v>
      </c>
      <c r="D3601" t="s">
        <v>241</v>
      </c>
    </row>
    <row r="3602" spans="1:4" x14ac:dyDescent="0.35">
      <c r="A3602" t="s">
        <v>64</v>
      </c>
      <c r="B3602" s="88">
        <v>43876</v>
      </c>
      <c r="C3602">
        <v>18.949726630111773</v>
      </c>
      <c r="D3602" t="s">
        <v>241</v>
      </c>
    </row>
    <row r="3603" spans="1:4" x14ac:dyDescent="0.35">
      <c r="A3603" t="s">
        <v>64</v>
      </c>
      <c r="B3603" s="88">
        <v>43966</v>
      </c>
      <c r="C3603">
        <v>19.115128736340981</v>
      </c>
      <c r="D3603" t="s">
        <v>241</v>
      </c>
    </row>
    <row r="3604" spans="1:4" x14ac:dyDescent="0.35">
      <c r="A3604" t="s">
        <v>64</v>
      </c>
      <c r="B3604" s="88">
        <v>44058</v>
      </c>
      <c r="C3604">
        <v>19.155512523302949</v>
      </c>
      <c r="D3604" t="s">
        <v>241</v>
      </c>
    </row>
    <row r="3605" spans="1:4" x14ac:dyDescent="0.35">
      <c r="A3605" t="s">
        <v>64</v>
      </c>
      <c r="B3605" s="88">
        <v>44150</v>
      </c>
      <c r="C3605">
        <v>19.081669906050305</v>
      </c>
      <c r="D3605" t="s">
        <v>241</v>
      </c>
    </row>
    <row r="3606" spans="1:4" x14ac:dyDescent="0.35">
      <c r="A3606" t="s">
        <v>64</v>
      </c>
      <c r="B3606" s="88">
        <v>44242</v>
      </c>
      <c r="C3606">
        <v>19.097207483658668</v>
      </c>
      <c r="D3606" t="s">
        <v>241</v>
      </c>
    </row>
    <row r="3607" spans="1:4" x14ac:dyDescent="0.35">
      <c r="A3607" t="s">
        <v>64</v>
      </c>
      <c r="B3607" s="88">
        <v>44331</v>
      </c>
      <c r="C3607">
        <v>19.920806142973777</v>
      </c>
      <c r="D3607" t="s">
        <v>241</v>
      </c>
    </row>
    <row r="3608" spans="1:4" x14ac:dyDescent="0.35">
      <c r="A3608" t="s">
        <v>64</v>
      </c>
      <c r="B3608" s="88">
        <v>44423</v>
      </c>
      <c r="C3608">
        <v>19.908429366353889</v>
      </c>
      <c r="D3608" t="s">
        <v>241</v>
      </c>
    </row>
    <row r="3609" spans="1:4" x14ac:dyDescent="0.35">
      <c r="A3609" t="s">
        <v>64</v>
      </c>
      <c r="B3609" s="88">
        <v>44515</v>
      </c>
      <c r="C3609">
        <v>20.167245287781181</v>
      </c>
      <c r="D3609" t="s">
        <v>241</v>
      </c>
    </row>
    <row r="3610" spans="1:4" x14ac:dyDescent="0.35">
      <c r="A3610" t="s">
        <v>64</v>
      </c>
      <c r="B3610" s="88">
        <v>44607</v>
      </c>
      <c r="C3610">
        <v>20.411043914315837</v>
      </c>
      <c r="D3610" t="s">
        <v>241</v>
      </c>
    </row>
    <row r="3611" spans="1:4" x14ac:dyDescent="0.35">
      <c r="A3611" t="s">
        <v>64</v>
      </c>
      <c r="B3611" s="88">
        <v>44696</v>
      </c>
      <c r="C3611">
        <v>19.83365362758494</v>
      </c>
      <c r="D3611" t="s">
        <v>241</v>
      </c>
    </row>
    <row r="3612" spans="1:4" x14ac:dyDescent="0.35">
      <c r="A3612" t="s">
        <v>64</v>
      </c>
      <c r="B3612" s="88">
        <v>44788</v>
      </c>
      <c r="C3612">
        <v>19.885766232768848</v>
      </c>
      <c r="D3612" t="s">
        <v>241</v>
      </c>
    </row>
    <row r="3613" spans="1:4" x14ac:dyDescent="0.35">
      <c r="A3613" t="s">
        <v>64</v>
      </c>
      <c r="B3613" s="88">
        <v>44880</v>
      </c>
      <c r="C3613">
        <v>20.134949875977565</v>
      </c>
      <c r="D3613" t="s">
        <v>241</v>
      </c>
    </row>
    <row r="3614" spans="1:4" x14ac:dyDescent="0.35">
      <c r="A3614" t="s">
        <v>64</v>
      </c>
      <c r="B3614" s="88">
        <v>44972</v>
      </c>
      <c r="C3614">
        <v>20.34553705123815</v>
      </c>
      <c r="D3614" t="s">
        <v>241</v>
      </c>
    </row>
    <row r="3615" spans="1:4" x14ac:dyDescent="0.35">
      <c r="A3615" t="s">
        <v>64</v>
      </c>
      <c r="B3615" s="88">
        <v>45061</v>
      </c>
      <c r="C3615">
        <v>21.710839982904801</v>
      </c>
      <c r="D3615" t="s">
        <v>241</v>
      </c>
    </row>
    <row r="3616" spans="1:4" x14ac:dyDescent="0.35">
      <c r="A3616" t="s">
        <v>64</v>
      </c>
      <c r="B3616" s="88">
        <v>45153</v>
      </c>
      <c r="C3616">
        <v>21.8748412120548</v>
      </c>
      <c r="D3616" t="s">
        <v>241</v>
      </c>
    </row>
    <row r="3617" spans="1:4" x14ac:dyDescent="0.35">
      <c r="A3617" t="s">
        <v>64</v>
      </c>
      <c r="B3617" s="88">
        <v>45245</v>
      </c>
      <c r="C3617">
        <v>21.909403515944401</v>
      </c>
      <c r="D3617" t="s">
        <v>241</v>
      </c>
    </row>
    <row r="3618" spans="1:4" x14ac:dyDescent="0.35">
      <c r="A3618" t="s">
        <v>64</v>
      </c>
      <c r="B3618" s="88">
        <v>45337</v>
      </c>
      <c r="C3618">
        <v>22.051738145889999</v>
      </c>
      <c r="D3618" t="s">
        <v>241</v>
      </c>
    </row>
    <row r="3619" spans="1:4" x14ac:dyDescent="0.35">
      <c r="A3619" t="s">
        <v>64</v>
      </c>
      <c r="B3619" s="88">
        <v>45427</v>
      </c>
      <c r="C3619">
        <v>22.386130301205402</v>
      </c>
      <c r="D3619" t="s">
        <v>241</v>
      </c>
    </row>
    <row r="3620" spans="1:4" x14ac:dyDescent="0.35">
      <c r="A3620" t="s">
        <v>64</v>
      </c>
      <c r="B3620" s="88">
        <v>45519</v>
      </c>
      <c r="C3620">
        <v>22.659419324915302</v>
      </c>
      <c r="D3620" t="s">
        <v>241</v>
      </c>
    </row>
    <row r="3621" spans="1:4" x14ac:dyDescent="0.35">
      <c r="A3621" t="s">
        <v>64</v>
      </c>
      <c r="B3621" s="88">
        <v>45611</v>
      </c>
      <c r="C3621">
        <v>22.945282139625501</v>
      </c>
      <c r="D3621" t="s">
        <v>241</v>
      </c>
    </row>
    <row r="3622" spans="1:4" x14ac:dyDescent="0.35">
      <c r="A3622" t="s">
        <v>64</v>
      </c>
      <c r="B3622" s="88">
        <v>45703</v>
      </c>
      <c r="C3622">
        <v>23.298741688729301</v>
      </c>
      <c r="D3622" t="s">
        <v>241</v>
      </c>
    </row>
    <row r="3623" spans="1:4" x14ac:dyDescent="0.35">
      <c r="A3623" t="s">
        <v>64</v>
      </c>
      <c r="B3623" s="88">
        <v>45792</v>
      </c>
      <c r="C3623">
        <v>23.908268231796601</v>
      </c>
      <c r="D3623" t="s">
        <v>241</v>
      </c>
    </row>
    <row r="3624" spans="1:4" x14ac:dyDescent="0.35">
      <c r="A3624" t="s">
        <v>64</v>
      </c>
      <c r="B3624" s="88">
        <v>45884</v>
      </c>
      <c r="C3624">
        <v>23.992075469792699</v>
      </c>
      <c r="D3624" t="s">
        <v>241</v>
      </c>
    </row>
    <row r="3625" spans="1:4" x14ac:dyDescent="0.35">
      <c r="A3625" t="s">
        <v>64</v>
      </c>
      <c r="B3625" s="88">
        <v>45976</v>
      </c>
      <c r="C3625">
        <v>23.9391179416981</v>
      </c>
      <c r="D3625" t="s">
        <v>241</v>
      </c>
    </row>
    <row r="3626" spans="1:4" x14ac:dyDescent="0.35">
      <c r="A3626" t="s">
        <v>64</v>
      </c>
      <c r="B3626" s="88">
        <v>46068</v>
      </c>
      <c r="C3626">
        <v>25.999985238072501</v>
      </c>
      <c r="D3626" t="s">
        <v>241</v>
      </c>
    </row>
    <row r="3627" spans="1:4" x14ac:dyDescent="0.35">
      <c r="A3627" t="s">
        <v>64</v>
      </c>
      <c r="B3627" s="88">
        <v>46157</v>
      </c>
      <c r="C3627">
        <v>25.202971865016099</v>
      </c>
      <c r="D3627" t="s">
        <v>241</v>
      </c>
    </row>
    <row r="3628" spans="1:4" x14ac:dyDescent="0.35">
      <c r="A3628" t="s">
        <v>64</v>
      </c>
      <c r="B3628" s="88">
        <v>46249</v>
      </c>
      <c r="C3628">
        <v>25.257160557228399</v>
      </c>
      <c r="D3628" t="s">
        <v>241</v>
      </c>
    </row>
    <row r="3629" spans="1:4" x14ac:dyDescent="0.35">
      <c r="A3629" t="s">
        <v>63</v>
      </c>
      <c r="B3629" s="88">
        <v>43511</v>
      </c>
      <c r="C3629">
        <v>18.06434345972982</v>
      </c>
      <c r="D3629" t="s">
        <v>241</v>
      </c>
    </row>
    <row r="3630" spans="1:4" x14ac:dyDescent="0.35">
      <c r="A3630" t="s">
        <v>63</v>
      </c>
      <c r="B3630" s="88">
        <v>43600</v>
      </c>
      <c r="C3630">
        <v>18.113034201350562</v>
      </c>
      <c r="D3630" t="s">
        <v>241</v>
      </c>
    </row>
    <row r="3631" spans="1:4" x14ac:dyDescent="0.35">
      <c r="A3631" t="s">
        <v>63</v>
      </c>
      <c r="B3631" s="88">
        <v>43692</v>
      </c>
      <c r="C3631">
        <v>18.040920444754089</v>
      </c>
      <c r="D3631" t="s">
        <v>241</v>
      </c>
    </row>
    <row r="3632" spans="1:4" x14ac:dyDescent="0.35">
      <c r="A3632" t="s">
        <v>63</v>
      </c>
      <c r="B3632" s="88">
        <v>43784</v>
      </c>
      <c r="C3632">
        <v>18.181699408357257</v>
      </c>
      <c r="D3632" t="s">
        <v>241</v>
      </c>
    </row>
    <row r="3633" spans="1:4" x14ac:dyDescent="0.35">
      <c r="A3633" t="s">
        <v>63</v>
      </c>
      <c r="B3633" s="88">
        <v>43876</v>
      </c>
      <c r="C3633">
        <v>18.949726630111773</v>
      </c>
      <c r="D3633" t="s">
        <v>241</v>
      </c>
    </row>
    <row r="3634" spans="1:4" x14ac:dyDescent="0.35">
      <c r="A3634" t="s">
        <v>63</v>
      </c>
      <c r="B3634" s="88">
        <v>43966</v>
      </c>
      <c r="C3634">
        <v>19.115128736340981</v>
      </c>
      <c r="D3634" t="s">
        <v>241</v>
      </c>
    </row>
    <row r="3635" spans="1:4" x14ac:dyDescent="0.35">
      <c r="A3635" t="s">
        <v>63</v>
      </c>
      <c r="B3635" s="88">
        <v>44058</v>
      </c>
      <c r="C3635">
        <v>19.155512523302949</v>
      </c>
      <c r="D3635" t="s">
        <v>241</v>
      </c>
    </row>
    <row r="3636" spans="1:4" x14ac:dyDescent="0.35">
      <c r="A3636" t="s">
        <v>63</v>
      </c>
      <c r="B3636" s="88">
        <v>44150</v>
      </c>
      <c r="C3636">
        <v>19.081669906050305</v>
      </c>
      <c r="D3636" t="s">
        <v>241</v>
      </c>
    </row>
    <row r="3637" spans="1:4" x14ac:dyDescent="0.35">
      <c r="A3637" t="s">
        <v>63</v>
      </c>
      <c r="B3637" s="88">
        <v>44242</v>
      </c>
      <c r="C3637">
        <v>19.097207483658668</v>
      </c>
      <c r="D3637" t="s">
        <v>241</v>
      </c>
    </row>
    <row r="3638" spans="1:4" x14ac:dyDescent="0.35">
      <c r="A3638" t="s">
        <v>63</v>
      </c>
      <c r="B3638" s="88">
        <v>44331</v>
      </c>
      <c r="C3638">
        <v>19.920806142973777</v>
      </c>
      <c r="D3638" t="s">
        <v>241</v>
      </c>
    </row>
    <row r="3639" spans="1:4" x14ac:dyDescent="0.35">
      <c r="A3639" t="s">
        <v>63</v>
      </c>
      <c r="B3639" s="88">
        <v>44423</v>
      </c>
      <c r="C3639">
        <v>19.908429366353889</v>
      </c>
      <c r="D3639" t="s">
        <v>241</v>
      </c>
    </row>
    <row r="3640" spans="1:4" x14ac:dyDescent="0.35">
      <c r="A3640" t="s">
        <v>63</v>
      </c>
      <c r="B3640" s="88">
        <v>44515</v>
      </c>
      <c r="C3640">
        <v>20.167245287781181</v>
      </c>
      <c r="D3640" t="s">
        <v>241</v>
      </c>
    </row>
    <row r="3641" spans="1:4" x14ac:dyDescent="0.35">
      <c r="A3641" t="s">
        <v>63</v>
      </c>
      <c r="B3641" s="88">
        <v>44607</v>
      </c>
      <c r="C3641">
        <v>20.411043914315837</v>
      </c>
      <c r="D3641" t="s">
        <v>241</v>
      </c>
    </row>
    <row r="3642" spans="1:4" x14ac:dyDescent="0.35">
      <c r="A3642" t="s">
        <v>63</v>
      </c>
      <c r="B3642" s="88">
        <v>44696</v>
      </c>
      <c r="C3642">
        <v>19.83365362758494</v>
      </c>
      <c r="D3642" t="s">
        <v>241</v>
      </c>
    </row>
    <row r="3643" spans="1:4" x14ac:dyDescent="0.35">
      <c r="A3643" t="s">
        <v>63</v>
      </c>
      <c r="B3643" s="88">
        <v>44788</v>
      </c>
      <c r="C3643">
        <v>19.885766232768848</v>
      </c>
      <c r="D3643" t="s">
        <v>241</v>
      </c>
    </row>
    <row r="3644" spans="1:4" x14ac:dyDescent="0.35">
      <c r="A3644" t="s">
        <v>63</v>
      </c>
      <c r="B3644" s="88">
        <v>44880</v>
      </c>
      <c r="C3644">
        <v>20.134949875977565</v>
      </c>
      <c r="D3644" t="s">
        <v>241</v>
      </c>
    </row>
    <row r="3645" spans="1:4" x14ac:dyDescent="0.35">
      <c r="A3645" t="s">
        <v>63</v>
      </c>
      <c r="B3645" s="88">
        <v>44972</v>
      </c>
      <c r="C3645">
        <v>20.34553705123815</v>
      </c>
      <c r="D3645" t="s">
        <v>241</v>
      </c>
    </row>
    <row r="3646" spans="1:4" x14ac:dyDescent="0.35">
      <c r="A3646" t="s">
        <v>63</v>
      </c>
      <c r="B3646" s="88">
        <v>45061</v>
      </c>
      <c r="C3646">
        <v>21.710839982904801</v>
      </c>
      <c r="D3646" t="s">
        <v>241</v>
      </c>
    </row>
    <row r="3647" spans="1:4" x14ac:dyDescent="0.35">
      <c r="A3647" t="s">
        <v>63</v>
      </c>
      <c r="B3647" s="88">
        <v>45153</v>
      </c>
      <c r="C3647">
        <v>21.8748412120548</v>
      </c>
      <c r="D3647" t="s">
        <v>241</v>
      </c>
    </row>
    <row r="3648" spans="1:4" x14ac:dyDescent="0.35">
      <c r="A3648" t="s">
        <v>63</v>
      </c>
      <c r="B3648" s="88">
        <v>45245</v>
      </c>
      <c r="C3648">
        <v>21.909403515944401</v>
      </c>
      <c r="D3648" t="s">
        <v>241</v>
      </c>
    </row>
    <row r="3649" spans="1:4" x14ac:dyDescent="0.35">
      <c r="A3649" t="s">
        <v>63</v>
      </c>
      <c r="B3649" s="88">
        <v>45337</v>
      </c>
      <c r="C3649">
        <v>22.051738145889999</v>
      </c>
      <c r="D3649" t="s">
        <v>241</v>
      </c>
    </row>
    <row r="3650" spans="1:4" x14ac:dyDescent="0.35">
      <c r="A3650" t="s">
        <v>63</v>
      </c>
      <c r="B3650" s="88">
        <v>45427</v>
      </c>
      <c r="C3650">
        <v>22.386130301205402</v>
      </c>
      <c r="D3650" t="s">
        <v>241</v>
      </c>
    </row>
    <row r="3651" spans="1:4" x14ac:dyDescent="0.35">
      <c r="A3651" t="s">
        <v>63</v>
      </c>
      <c r="B3651" s="88">
        <v>45519</v>
      </c>
      <c r="C3651">
        <v>22.659419324915302</v>
      </c>
      <c r="D3651" t="s">
        <v>241</v>
      </c>
    </row>
    <row r="3652" spans="1:4" x14ac:dyDescent="0.35">
      <c r="A3652" t="s">
        <v>63</v>
      </c>
      <c r="B3652" s="88">
        <v>45611</v>
      </c>
      <c r="C3652">
        <v>22.945282139625501</v>
      </c>
      <c r="D3652" t="s">
        <v>241</v>
      </c>
    </row>
    <row r="3653" spans="1:4" x14ac:dyDescent="0.35">
      <c r="A3653" t="s">
        <v>63</v>
      </c>
      <c r="B3653" s="88">
        <v>45703</v>
      </c>
      <c r="C3653">
        <v>23.298741688729301</v>
      </c>
      <c r="D3653" t="s">
        <v>241</v>
      </c>
    </row>
    <row r="3654" spans="1:4" x14ac:dyDescent="0.35">
      <c r="A3654" t="s">
        <v>63</v>
      </c>
      <c r="B3654" s="88">
        <v>45792</v>
      </c>
      <c r="C3654">
        <v>23.908268231796601</v>
      </c>
      <c r="D3654" t="s">
        <v>241</v>
      </c>
    </row>
    <row r="3655" spans="1:4" x14ac:dyDescent="0.35">
      <c r="A3655" t="s">
        <v>63</v>
      </c>
      <c r="B3655" s="88">
        <v>45884</v>
      </c>
      <c r="C3655">
        <v>23.992075469792699</v>
      </c>
      <c r="D3655" t="s">
        <v>241</v>
      </c>
    </row>
    <row r="3656" spans="1:4" x14ac:dyDescent="0.35">
      <c r="A3656" t="s">
        <v>63</v>
      </c>
      <c r="B3656" s="88">
        <v>45976</v>
      </c>
      <c r="C3656">
        <v>23.9391179416981</v>
      </c>
      <c r="D3656" t="s">
        <v>241</v>
      </c>
    </row>
    <row r="3657" spans="1:4" x14ac:dyDescent="0.35">
      <c r="A3657" t="s">
        <v>63</v>
      </c>
      <c r="B3657" s="88">
        <v>46068</v>
      </c>
      <c r="C3657">
        <v>25.999985238072501</v>
      </c>
      <c r="D3657" t="s">
        <v>241</v>
      </c>
    </row>
    <row r="3658" spans="1:4" x14ac:dyDescent="0.35">
      <c r="A3658" t="s">
        <v>63</v>
      </c>
      <c r="B3658" s="88">
        <v>46157</v>
      </c>
      <c r="C3658">
        <v>25.202971865016099</v>
      </c>
      <c r="D3658" t="s">
        <v>241</v>
      </c>
    </row>
    <row r="3659" spans="1:4" x14ac:dyDescent="0.35">
      <c r="A3659" t="s">
        <v>63</v>
      </c>
      <c r="B3659" s="88">
        <v>46249</v>
      </c>
      <c r="C3659">
        <v>25.257160557228399</v>
      </c>
      <c r="D3659" t="s">
        <v>241</v>
      </c>
    </row>
    <row r="3660" spans="1:4" x14ac:dyDescent="0.35">
      <c r="A3660" t="s">
        <v>65</v>
      </c>
      <c r="B3660" s="88">
        <v>43511</v>
      </c>
      <c r="C3660">
        <v>18.624391255292942</v>
      </c>
      <c r="D3660" t="s">
        <v>241</v>
      </c>
    </row>
    <row r="3661" spans="1:4" x14ac:dyDescent="0.35">
      <c r="A3661" t="s">
        <v>65</v>
      </c>
      <c r="B3661" s="88">
        <v>43600</v>
      </c>
      <c r="C3661">
        <v>18.48843026392084</v>
      </c>
      <c r="D3661" t="s">
        <v>241</v>
      </c>
    </row>
    <row r="3662" spans="1:4" x14ac:dyDescent="0.35">
      <c r="A3662" t="s">
        <v>65</v>
      </c>
      <c r="B3662" s="88">
        <v>43692</v>
      </c>
      <c r="C3662">
        <v>18.710275951161897</v>
      </c>
      <c r="D3662" t="s">
        <v>241</v>
      </c>
    </row>
    <row r="3663" spans="1:4" x14ac:dyDescent="0.35">
      <c r="A3663" t="s">
        <v>65</v>
      </c>
      <c r="B3663" s="88">
        <v>43784</v>
      </c>
      <c r="C3663">
        <v>19.195512088126058</v>
      </c>
      <c r="D3663" t="s">
        <v>241</v>
      </c>
    </row>
    <row r="3664" spans="1:4" x14ac:dyDescent="0.35">
      <c r="A3664" t="s">
        <v>65</v>
      </c>
      <c r="B3664" s="88">
        <v>43876</v>
      </c>
      <c r="C3664">
        <v>19.252117942393014</v>
      </c>
      <c r="D3664" t="s">
        <v>241</v>
      </c>
    </row>
    <row r="3665" spans="1:4" x14ac:dyDescent="0.35">
      <c r="A3665" t="s">
        <v>65</v>
      </c>
      <c r="B3665" s="88">
        <v>43966</v>
      </c>
      <c r="C3665">
        <v>19.460861528718809</v>
      </c>
      <c r="D3665" t="s">
        <v>241</v>
      </c>
    </row>
    <row r="3666" spans="1:4" x14ac:dyDescent="0.35">
      <c r="A3666" t="s">
        <v>65</v>
      </c>
      <c r="B3666" s="88">
        <v>44058</v>
      </c>
      <c r="C3666">
        <v>19.45039109573402</v>
      </c>
      <c r="D3666" t="s">
        <v>241</v>
      </c>
    </row>
    <row r="3667" spans="1:4" x14ac:dyDescent="0.35">
      <c r="A3667" t="s">
        <v>65</v>
      </c>
      <c r="B3667" s="88">
        <v>44150</v>
      </c>
      <c r="C3667">
        <v>18.586726649077747</v>
      </c>
      <c r="D3667" t="s">
        <v>241</v>
      </c>
    </row>
    <row r="3668" spans="1:4" x14ac:dyDescent="0.35">
      <c r="A3668" t="s">
        <v>65</v>
      </c>
      <c r="B3668" s="88">
        <v>44242</v>
      </c>
      <c r="C3668">
        <v>18.633693461124899</v>
      </c>
      <c r="D3668" t="s">
        <v>241</v>
      </c>
    </row>
    <row r="3669" spans="1:4" x14ac:dyDescent="0.35">
      <c r="A3669" t="s">
        <v>65</v>
      </c>
      <c r="B3669" s="88">
        <v>44331</v>
      </c>
      <c r="C3669">
        <v>18.568248974818914</v>
      </c>
      <c r="D3669" t="s">
        <v>241</v>
      </c>
    </row>
    <row r="3670" spans="1:4" x14ac:dyDescent="0.35">
      <c r="A3670" t="s">
        <v>65</v>
      </c>
      <c r="B3670" s="88">
        <v>44423</v>
      </c>
      <c r="C3670">
        <v>19.062418397933982</v>
      </c>
      <c r="D3670" t="s">
        <v>241</v>
      </c>
    </row>
    <row r="3671" spans="1:4" x14ac:dyDescent="0.35">
      <c r="A3671" t="s">
        <v>65</v>
      </c>
      <c r="B3671" s="88">
        <v>44515</v>
      </c>
      <c r="C3671">
        <v>19.871776952194999</v>
      </c>
      <c r="D3671" t="s">
        <v>241</v>
      </c>
    </row>
    <row r="3672" spans="1:4" x14ac:dyDescent="0.35">
      <c r="A3672" t="s">
        <v>65</v>
      </c>
      <c r="B3672" s="88">
        <v>44607</v>
      </c>
      <c r="C3672">
        <v>19.973017973083671</v>
      </c>
      <c r="D3672" t="s">
        <v>241</v>
      </c>
    </row>
    <row r="3673" spans="1:4" x14ac:dyDescent="0.35">
      <c r="A3673" t="s">
        <v>65</v>
      </c>
      <c r="B3673" s="88">
        <v>44696</v>
      </c>
      <c r="C3673">
        <v>19.362652921139595</v>
      </c>
      <c r="D3673" t="s">
        <v>241</v>
      </c>
    </row>
    <row r="3674" spans="1:4" x14ac:dyDescent="0.35">
      <c r="A3674" t="s">
        <v>65</v>
      </c>
      <c r="B3674" s="88">
        <v>44788</v>
      </c>
      <c r="C3674">
        <v>18.683338725190747</v>
      </c>
      <c r="D3674" t="s">
        <v>241</v>
      </c>
    </row>
    <row r="3675" spans="1:4" x14ac:dyDescent="0.35">
      <c r="A3675" t="s">
        <v>65</v>
      </c>
      <c r="B3675" s="88">
        <v>44880</v>
      </c>
      <c r="C3675">
        <v>20.191706222541431</v>
      </c>
      <c r="D3675" t="s">
        <v>241</v>
      </c>
    </row>
    <row r="3676" spans="1:4" x14ac:dyDescent="0.35">
      <c r="A3676" t="s">
        <v>65</v>
      </c>
      <c r="B3676" s="88">
        <v>44972</v>
      </c>
      <c r="C3676">
        <v>20.127551041676359</v>
      </c>
      <c r="D3676" t="s">
        <v>241</v>
      </c>
    </row>
    <row r="3677" spans="1:4" x14ac:dyDescent="0.35">
      <c r="A3677" t="s">
        <v>65</v>
      </c>
      <c r="B3677" s="88">
        <v>45061</v>
      </c>
      <c r="C3677">
        <v>20.6928266329287</v>
      </c>
      <c r="D3677" t="s">
        <v>241</v>
      </c>
    </row>
    <row r="3678" spans="1:4" x14ac:dyDescent="0.35">
      <c r="A3678" t="s">
        <v>65</v>
      </c>
      <c r="B3678" s="88">
        <v>45153</v>
      </c>
      <c r="C3678">
        <v>20.789467919069601</v>
      </c>
      <c r="D3678" t="s">
        <v>241</v>
      </c>
    </row>
    <row r="3679" spans="1:4" x14ac:dyDescent="0.35">
      <c r="A3679" t="s">
        <v>65</v>
      </c>
      <c r="B3679" s="88">
        <v>45245</v>
      </c>
      <c r="C3679">
        <v>21.246934775907601</v>
      </c>
      <c r="D3679" t="s">
        <v>241</v>
      </c>
    </row>
    <row r="3680" spans="1:4" x14ac:dyDescent="0.35">
      <c r="A3680" t="s">
        <v>65</v>
      </c>
      <c r="B3680" s="88">
        <v>45337</v>
      </c>
      <c r="C3680">
        <v>21.20787905309</v>
      </c>
      <c r="D3680" t="s">
        <v>241</v>
      </c>
    </row>
    <row r="3681" spans="1:4" x14ac:dyDescent="0.35">
      <c r="A3681" t="s">
        <v>65</v>
      </c>
      <c r="B3681" s="88">
        <v>45427</v>
      </c>
      <c r="C3681">
        <v>21.301261409540899</v>
      </c>
      <c r="D3681" t="s">
        <v>241</v>
      </c>
    </row>
    <row r="3682" spans="1:4" x14ac:dyDescent="0.35">
      <c r="A3682" t="s">
        <v>65</v>
      </c>
      <c r="B3682" s="88">
        <v>45519</v>
      </c>
      <c r="C3682">
        <v>21.755820278384501</v>
      </c>
      <c r="D3682" t="s">
        <v>241</v>
      </c>
    </row>
    <row r="3683" spans="1:4" x14ac:dyDescent="0.35">
      <c r="A3683" t="s">
        <v>65</v>
      </c>
      <c r="B3683" s="88">
        <v>45611</v>
      </c>
      <c r="C3683">
        <v>22.709793712187501</v>
      </c>
      <c r="D3683" t="s">
        <v>241</v>
      </c>
    </row>
    <row r="3684" spans="1:4" x14ac:dyDescent="0.35">
      <c r="A3684" t="s">
        <v>65</v>
      </c>
      <c r="B3684" s="88">
        <v>45703</v>
      </c>
      <c r="C3684">
        <v>22.895990085318399</v>
      </c>
      <c r="D3684" t="s">
        <v>241</v>
      </c>
    </row>
    <row r="3685" spans="1:4" x14ac:dyDescent="0.35">
      <c r="A3685" t="s">
        <v>65</v>
      </c>
      <c r="B3685" s="88">
        <v>45792</v>
      </c>
      <c r="C3685">
        <v>24.283013157985</v>
      </c>
      <c r="D3685" t="s">
        <v>241</v>
      </c>
    </row>
    <row r="3686" spans="1:4" x14ac:dyDescent="0.35">
      <c r="A3686" t="s">
        <v>65</v>
      </c>
      <c r="B3686" s="88">
        <v>45884</v>
      </c>
      <c r="C3686">
        <v>24.315589062190099</v>
      </c>
      <c r="D3686" t="s">
        <v>241</v>
      </c>
    </row>
    <row r="3687" spans="1:4" x14ac:dyDescent="0.35">
      <c r="A3687" t="s">
        <v>65</v>
      </c>
      <c r="B3687" s="88">
        <v>45976</v>
      </c>
      <c r="C3687">
        <v>24.306619415445599</v>
      </c>
      <c r="D3687" t="s">
        <v>241</v>
      </c>
    </row>
    <row r="3688" spans="1:4" x14ac:dyDescent="0.35">
      <c r="A3688" t="s">
        <v>65</v>
      </c>
      <c r="B3688" s="88">
        <v>46068</v>
      </c>
      <c r="C3688">
        <v>24.971767101104799</v>
      </c>
      <c r="D3688" t="s">
        <v>241</v>
      </c>
    </row>
    <row r="3689" spans="1:4" x14ac:dyDescent="0.35">
      <c r="A3689" t="s">
        <v>65</v>
      </c>
      <c r="B3689" s="88">
        <v>46157</v>
      </c>
      <c r="C3689">
        <v>24.7440399314468</v>
      </c>
      <c r="D3689" t="s">
        <v>241</v>
      </c>
    </row>
    <row r="3690" spans="1:4" x14ac:dyDescent="0.35">
      <c r="A3690" t="s">
        <v>65</v>
      </c>
      <c r="B3690" s="88">
        <v>46249</v>
      </c>
      <c r="C3690">
        <v>24.937010462108201</v>
      </c>
      <c r="D3690" t="s">
        <v>241</v>
      </c>
    </row>
    <row r="3691" spans="1:4" x14ac:dyDescent="0.35">
      <c r="A3691" t="s">
        <v>86</v>
      </c>
      <c r="B3691" s="88">
        <v>43511</v>
      </c>
      <c r="C3691">
        <v>18.785323335308391</v>
      </c>
      <c r="D3691" t="s">
        <v>241</v>
      </c>
    </row>
    <row r="3692" spans="1:4" x14ac:dyDescent="0.35">
      <c r="A3692" t="s">
        <v>86</v>
      </c>
      <c r="B3692" s="88">
        <v>43600</v>
      </c>
      <c r="C3692">
        <v>18.014498134949964</v>
      </c>
      <c r="D3692" t="s">
        <v>241</v>
      </c>
    </row>
    <row r="3693" spans="1:4" x14ac:dyDescent="0.35">
      <c r="A3693" t="s">
        <v>86</v>
      </c>
      <c r="B3693" s="88">
        <v>43692</v>
      </c>
      <c r="C3693">
        <v>17.336623425880045</v>
      </c>
      <c r="D3693" t="s">
        <v>241</v>
      </c>
    </row>
    <row r="3694" spans="1:4" x14ac:dyDescent="0.35">
      <c r="A3694" t="s">
        <v>86</v>
      </c>
      <c r="B3694" s="88">
        <v>43784</v>
      </c>
      <c r="C3694">
        <v>18.181312160403433</v>
      </c>
      <c r="D3694" t="s">
        <v>241</v>
      </c>
    </row>
    <row r="3695" spans="1:4" x14ac:dyDescent="0.35">
      <c r="A3695" t="s">
        <v>86</v>
      </c>
      <c r="B3695" s="88">
        <v>43876</v>
      </c>
      <c r="C3695">
        <v>18.230323345377567</v>
      </c>
      <c r="D3695" t="s">
        <v>241</v>
      </c>
    </row>
    <row r="3696" spans="1:4" x14ac:dyDescent="0.35">
      <c r="A3696" t="s">
        <v>86</v>
      </c>
      <c r="B3696" s="88">
        <v>43966</v>
      </c>
      <c r="C3696">
        <v>20.071630391867036</v>
      </c>
      <c r="D3696" t="s">
        <v>241</v>
      </c>
    </row>
    <row r="3697" spans="1:4" x14ac:dyDescent="0.35">
      <c r="A3697" t="s">
        <v>86</v>
      </c>
      <c r="B3697" s="88">
        <v>44058</v>
      </c>
      <c r="C3697">
        <v>20.078949165944213</v>
      </c>
      <c r="D3697" t="s">
        <v>241</v>
      </c>
    </row>
    <row r="3698" spans="1:4" x14ac:dyDescent="0.35">
      <c r="A3698" t="s">
        <v>86</v>
      </c>
      <c r="B3698" s="88">
        <v>44150</v>
      </c>
      <c r="C3698">
        <v>20.045712165704845</v>
      </c>
      <c r="D3698" t="s">
        <v>241</v>
      </c>
    </row>
    <row r="3699" spans="1:4" x14ac:dyDescent="0.35">
      <c r="A3699" t="s">
        <v>86</v>
      </c>
      <c r="B3699" s="88">
        <v>44242</v>
      </c>
      <c r="C3699">
        <v>20.018606008504204</v>
      </c>
      <c r="D3699" t="s">
        <v>241</v>
      </c>
    </row>
    <row r="3700" spans="1:4" x14ac:dyDescent="0.35">
      <c r="A3700" t="s">
        <v>86</v>
      </c>
      <c r="B3700" s="88">
        <v>44331</v>
      </c>
      <c r="C3700">
        <v>20.127902104257181</v>
      </c>
      <c r="D3700" t="s">
        <v>241</v>
      </c>
    </row>
    <row r="3701" spans="1:4" x14ac:dyDescent="0.35">
      <c r="A3701" t="s">
        <v>86</v>
      </c>
      <c r="B3701" s="88">
        <v>44423</v>
      </c>
      <c r="C3701">
        <v>21.289610495040762</v>
      </c>
      <c r="D3701" t="s">
        <v>241</v>
      </c>
    </row>
    <row r="3702" spans="1:4" x14ac:dyDescent="0.35">
      <c r="A3702" t="s">
        <v>86</v>
      </c>
      <c r="B3702" s="88">
        <v>44515</v>
      </c>
      <c r="C3702">
        <v>21.284812596854209</v>
      </c>
      <c r="D3702" t="s">
        <v>241</v>
      </c>
    </row>
    <row r="3703" spans="1:4" x14ac:dyDescent="0.35">
      <c r="A3703" t="s">
        <v>86</v>
      </c>
      <c r="B3703" s="88">
        <v>44607</v>
      </c>
      <c r="C3703">
        <v>22.270878327525054</v>
      </c>
      <c r="D3703" t="s">
        <v>241</v>
      </c>
    </row>
    <row r="3704" spans="1:4" x14ac:dyDescent="0.35">
      <c r="A3704" t="s">
        <v>86</v>
      </c>
      <c r="B3704" s="88">
        <v>44696</v>
      </c>
      <c r="C3704">
        <v>24.978465683922511</v>
      </c>
      <c r="D3704" t="s">
        <v>241</v>
      </c>
    </row>
    <row r="3705" spans="1:4" x14ac:dyDescent="0.35">
      <c r="A3705" t="s">
        <v>86</v>
      </c>
      <c r="B3705" s="88">
        <v>44788</v>
      </c>
      <c r="C3705">
        <v>25.026897449688743</v>
      </c>
      <c r="D3705" t="s">
        <v>241</v>
      </c>
    </row>
    <row r="3706" spans="1:4" x14ac:dyDescent="0.35">
      <c r="A3706" t="s">
        <v>86</v>
      </c>
      <c r="B3706" s="88">
        <v>44880</v>
      </c>
      <c r="C3706">
        <v>24.649216640696363</v>
      </c>
      <c r="D3706" t="s">
        <v>241</v>
      </c>
    </row>
    <row r="3707" spans="1:4" x14ac:dyDescent="0.35">
      <c r="A3707" t="s">
        <v>86</v>
      </c>
      <c r="B3707" s="88">
        <v>44972</v>
      </c>
      <c r="C3707">
        <v>24.944574680629469</v>
      </c>
      <c r="D3707" t="s">
        <v>241</v>
      </c>
    </row>
    <row r="3708" spans="1:4" x14ac:dyDescent="0.35">
      <c r="A3708" t="s">
        <v>86</v>
      </c>
      <c r="B3708" s="88">
        <v>45061</v>
      </c>
      <c r="C3708">
        <v>24.0896249494416</v>
      </c>
      <c r="D3708" t="s">
        <v>241</v>
      </c>
    </row>
    <row r="3709" spans="1:4" x14ac:dyDescent="0.35">
      <c r="A3709" t="s">
        <v>86</v>
      </c>
      <c r="B3709" s="88">
        <v>45153</v>
      </c>
      <c r="C3709">
        <v>25.123888271233</v>
      </c>
      <c r="D3709" t="s">
        <v>241</v>
      </c>
    </row>
    <row r="3710" spans="1:4" x14ac:dyDescent="0.35">
      <c r="A3710" t="s">
        <v>86</v>
      </c>
      <c r="B3710" s="88">
        <v>45245</v>
      </c>
      <c r="C3710">
        <v>25.5538382205803</v>
      </c>
      <c r="D3710" t="s">
        <v>241</v>
      </c>
    </row>
    <row r="3711" spans="1:4" x14ac:dyDescent="0.35">
      <c r="A3711" t="s">
        <v>86</v>
      </c>
      <c r="B3711" s="88">
        <v>45337</v>
      </c>
      <c r="C3711">
        <v>25.7280884925169</v>
      </c>
      <c r="D3711" t="s">
        <v>241</v>
      </c>
    </row>
    <row r="3712" spans="1:4" x14ac:dyDescent="0.35">
      <c r="A3712" t="s">
        <v>86</v>
      </c>
      <c r="B3712" s="88">
        <v>45427</v>
      </c>
      <c r="C3712">
        <v>26.158072310183499</v>
      </c>
      <c r="D3712" t="s">
        <v>241</v>
      </c>
    </row>
    <row r="3713" spans="1:4" x14ac:dyDescent="0.35">
      <c r="A3713" t="s">
        <v>86</v>
      </c>
      <c r="B3713" s="88">
        <v>45519</v>
      </c>
      <c r="C3713">
        <v>24.806463935357701</v>
      </c>
      <c r="D3713" t="s">
        <v>241</v>
      </c>
    </row>
    <row r="3714" spans="1:4" x14ac:dyDescent="0.35">
      <c r="A3714" t="s">
        <v>86</v>
      </c>
      <c r="B3714" s="88">
        <v>45611</v>
      </c>
      <c r="C3714">
        <v>25.903241116209401</v>
      </c>
      <c r="D3714" t="s">
        <v>241</v>
      </c>
    </row>
    <row r="3715" spans="1:4" x14ac:dyDescent="0.35">
      <c r="A3715" t="s">
        <v>86</v>
      </c>
      <c r="B3715" s="88">
        <v>45703</v>
      </c>
      <c r="C3715">
        <v>25.9886473832162</v>
      </c>
      <c r="D3715" t="s">
        <v>241</v>
      </c>
    </row>
    <row r="3716" spans="1:4" x14ac:dyDescent="0.35">
      <c r="A3716" t="s">
        <v>86</v>
      </c>
      <c r="B3716" s="88">
        <v>45792</v>
      </c>
      <c r="C3716">
        <v>26.367961292568101</v>
      </c>
      <c r="D3716" t="s">
        <v>241</v>
      </c>
    </row>
    <row r="3717" spans="1:4" x14ac:dyDescent="0.35">
      <c r="A3717" t="s">
        <v>86</v>
      </c>
      <c r="B3717" s="88">
        <v>45884</v>
      </c>
      <c r="C3717">
        <v>26.476582848362799</v>
      </c>
      <c r="D3717" t="s">
        <v>241</v>
      </c>
    </row>
    <row r="3718" spans="1:4" x14ac:dyDescent="0.35">
      <c r="A3718" t="s">
        <v>86</v>
      </c>
      <c r="B3718" s="88">
        <v>45976</v>
      </c>
      <c r="C3718">
        <v>26.457934243997698</v>
      </c>
      <c r="D3718" t="s">
        <v>241</v>
      </c>
    </row>
    <row r="3719" spans="1:4" x14ac:dyDescent="0.35">
      <c r="A3719" t="s">
        <v>86</v>
      </c>
      <c r="B3719" s="88">
        <v>46068</v>
      </c>
      <c r="C3719">
        <v>27.495279007164999</v>
      </c>
      <c r="D3719" t="s">
        <v>241</v>
      </c>
    </row>
    <row r="3720" spans="1:4" x14ac:dyDescent="0.35">
      <c r="A3720" t="s">
        <v>86</v>
      </c>
      <c r="B3720" s="88">
        <v>46157</v>
      </c>
      <c r="C3720">
        <v>27.2955348602237</v>
      </c>
      <c r="D3720" t="s">
        <v>241</v>
      </c>
    </row>
    <row r="3721" spans="1:4" x14ac:dyDescent="0.35">
      <c r="A3721" t="s">
        <v>86</v>
      </c>
      <c r="B3721" s="88">
        <v>46249</v>
      </c>
      <c r="C3721">
        <v>27.3546169302933</v>
      </c>
      <c r="D3721" t="s">
        <v>241</v>
      </c>
    </row>
    <row r="3722" spans="1:4" x14ac:dyDescent="0.35">
      <c r="A3722" t="s">
        <v>37</v>
      </c>
      <c r="B3722" s="88">
        <v>43511</v>
      </c>
      <c r="C3722">
        <v>16.46265215911292</v>
      </c>
      <c r="D3722" t="s">
        <v>241</v>
      </c>
    </row>
    <row r="3723" spans="1:4" x14ac:dyDescent="0.35">
      <c r="A3723" t="s">
        <v>37</v>
      </c>
      <c r="B3723" s="88">
        <v>43600</v>
      </c>
      <c r="C3723">
        <v>17.439459547210532</v>
      </c>
      <c r="D3723" t="s">
        <v>241</v>
      </c>
    </row>
    <row r="3724" spans="1:4" x14ac:dyDescent="0.35">
      <c r="A3724" t="s">
        <v>37</v>
      </c>
      <c r="B3724" s="88">
        <v>43692</v>
      </c>
      <c r="C3724">
        <v>17.454135045708586</v>
      </c>
      <c r="D3724" t="s">
        <v>241</v>
      </c>
    </row>
    <row r="3725" spans="1:4" x14ac:dyDescent="0.35">
      <c r="A3725" t="s">
        <v>37</v>
      </c>
      <c r="B3725" s="88">
        <v>43784</v>
      </c>
      <c r="C3725">
        <v>18.002816484550166</v>
      </c>
      <c r="D3725" t="s">
        <v>241</v>
      </c>
    </row>
    <row r="3726" spans="1:4" x14ac:dyDescent="0.35">
      <c r="A3726" t="s">
        <v>37</v>
      </c>
      <c r="B3726" s="88">
        <v>43876</v>
      </c>
      <c r="C3726">
        <v>18.136735261828715</v>
      </c>
      <c r="D3726" t="s">
        <v>241</v>
      </c>
    </row>
    <row r="3727" spans="1:4" x14ac:dyDescent="0.35">
      <c r="A3727" t="s">
        <v>37</v>
      </c>
      <c r="B3727" s="88">
        <v>43966</v>
      </c>
      <c r="C3727">
        <v>19.709092740321196</v>
      </c>
      <c r="D3727" t="s">
        <v>241</v>
      </c>
    </row>
    <row r="3728" spans="1:4" x14ac:dyDescent="0.35">
      <c r="A3728" t="s">
        <v>37</v>
      </c>
      <c r="B3728" s="88">
        <v>44058</v>
      </c>
      <c r="C3728">
        <v>19.724292363048392</v>
      </c>
      <c r="D3728" t="s">
        <v>241</v>
      </c>
    </row>
    <row r="3729" spans="1:4" x14ac:dyDescent="0.35">
      <c r="A3729" t="s">
        <v>37</v>
      </c>
      <c r="B3729" s="88">
        <v>44150</v>
      </c>
      <c r="C3729">
        <v>19.004791903462646</v>
      </c>
      <c r="D3729" t="s">
        <v>241</v>
      </c>
    </row>
    <row r="3730" spans="1:4" x14ac:dyDescent="0.35">
      <c r="A3730" t="s">
        <v>37</v>
      </c>
      <c r="B3730" s="88">
        <v>44242</v>
      </c>
      <c r="C3730">
        <v>19.089335537319151</v>
      </c>
      <c r="D3730" t="s">
        <v>241</v>
      </c>
    </row>
    <row r="3731" spans="1:4" x14ac:dyDescent="0.35">
      <c r="A3731" t="s">
        <v>37</v>
      </c>
      <c r="B3731" s="88">
        <v>44331</v>
      </c>
      <c r="C3731">
        <v>19.114347458351524</v>
      </c>
      <c r="D3731" t="s">
        <v>241</v>
      </c>
    </row>
    <row r="3732" spans="1:4" x14ac:dyDescent="0.35">
      <c r="A3732" t="s">
        <v>37</v>
      </c>
      <c r="B3732" s="88">
        <v>44423</v>
      </c>
      <c r="C3732">
        <v>19.350334038808271</v>
      </c>
      <c r="D3732" t="s">
        <v>241</v>
      </c>
    </row>
    <row r="3733" spans="1:4" x14ac:dyDescent="0.35">
      <c r="A3733" t="s">
        <v>37</v>
      </c>
      <c r="B3733" s="88">
        <v>44515</v>
      </c>
      <c r="C3733">
        <v>19.95105232463532</v>
      </c>
      <c r="D3733" t="s">
        <v>241</v>
      </c>
    </row>
    <row r="3734" spans="1:4" x14ac:dyDescent="0.35">
      <c r="A3734" t="s">
        <v>37</v>
      </c>
      <c r="B3734" s="88">
        <v>44607</v>
      </c>
      <c r="C3734">
        <v>20.87318765032331</v>
      </c>
      <c r="D3734" t="s">
        <v>241</v>
      </c>
    </row>
    <row r="3735" spans="1:4" x14ac:dyDescent="0.35">
      <c r="A3735" t="s">
        <v>37</v>
      </c>
      <c r="B3735" s="88">
        <v>44696</v>
      </c>
      <c r="C3735">
        <v>21.237581759886346</v>
      </c>
      <c r="D3735" t="s">
        <v>241</v>
      </c>
    </row>
    <row r="3736" spans="1:4" x14ac:dyDescent="0.35">
      <c r="A3736" t="s">
        <v>37</v>
      </c>
      <c r="B3736" s="88">
        <v>44788</v>
      </c>
      <c r="C3736">
        <v>21.07525267555026</v>
      </c>
      <c r="D3736" t="s">
        <v>241</v>
      </c>
    </row>
    <row r="3737" spans="1:4" x14ac:dyDescent="0.35">
      <c r="A3737" t="s">
        <v>37</v>
      </c>
      <c r="B3737" s="88">
        <v>44880</v>
      </c>
      <c r="C3737">
        <v>21.071228379286765</v>
      </c>
      <c r="D3737" t="s">
        <v>241</v>
      </c>
    </row>
    <row r="3738" spans="1:4" x14ac:dyDescent="0.35">
      <c r="A3738" t="s">
        <v>37</v>
      </c>
      <c r="B3738" s="88">
        <v>44972</v>
      </c>
      <c r="C3738">
        <v>21.102882028473765</v>
      </c>
      <c r="D3738" t="s">
        <v>241</v>
      </c>
    </row>
    <row r="3739" spans="1:4" x14ac:dyDescent="0.35">
      <c r="A3739" t="s">
        <v>37</v>
      </c>
      <c r="B3739" s="88">
        <v>45061</v>
      </c>
      <c r="C3739">
        <v>20.7701330638406</v>
      </c>
      <c r="D3739" t="s">
        <v>241</v>
      </c>
    </row>
    <row r="3740" spans="1:4" x14ac:dyDescent="0.35">
      <c r="A3740" t="s">
        <v>37</v>
      </c>
      <c r="B3740" s="88">
        <v>45153</v>
      </c>
      <c r="C3740">
        <v>21.467815709505501</v>
      </c>
      <c r="D3740" t="s">
        <v>241</v>
      </c>
    </row>
    <row r="3741" spans="1:4" x14ac:dyDescent="0.35">
      <c r="A3741" t="s">
        <v>37</v>
      </c>
      <c r="B3741" s="88">
        <v>45245</v>
      </c>
      <c r="C3741">
        <v>21.576795578249701</v>
      </c>
      <c r="D3741" t="s">
        <v>241</v>
      </c>
    </row>
    <row r="3742" spans="1:4" x14ac:dyDescent="0.35">
      <c r="A3742" t="s">
        <v>37</v>
      </c>
      <c r="B3742" s="88">
        <v>45337</v>
      </c>
      <c r="C3742">
        <v>21.613542367589201</v>
      </c>
      <c r="D3742" t="s">
        <v>241</v>
      </c>
    </row>
    <row r="3743" spans="1:4" x14ac:dyDescent="0.35">
      <c r="A3743" t="s">
        <v>37</v>
      </c>
      <c r="B3743" s="88">
        <v>45427</v>
      </c>
      <c r="C3743">
        <v>22.3697435811305</v>
      </c>
      <c r="D3743" t="s">
        <v>241</v>
      </c>
    </row>
    <row r="3744" spans="1:4" x14ac:dyDescent="0.35">
      <c r="A3744" t="s">
        <v>37</v>
      </c>
      <c r="B3744" s="88">
        <v>45519</v>
      </c>
      <c r="C3744">
        <v>21.755075830019099</v>
      </c>
      <c r="D3744" t="s">
        <v>241</v>
      </c>
    </row>
    <row r="3745" spans="1:4" x14ac:dyDescent="0.35">
      <c r="A3745" t="s">
        <v>37</v>
      </c>
      <c r="B3745" s="88">
        <v>45611</v>
      </c>
      <c r="C3745">
        <v>22.532706271121999</v>
      </c>
      <c r="D3745" t="s">
        <v>241</v>
      </c>
    </row>
    <row r="3746" spans="1:4" x14ac:dyDescent="0.35">
      <c r="A3746" t="s">
        <v>37</v>
      </c>
      <c r="B3746" s="88">
        <v>45703</v>
      </c>
      <c r="C3746">
        <v>23.619545394128998</v>
      </c>
      <c r="D3746" t="s">
        <v>241</v>
      </c>
    </row>
    <row r="3747" spans="1:4" x14ac:dyDescent="0.35">
      <c r="A3747" t="s">
        <v>37</v>
      </c>
      <c r="B3747" s="88">
        <v>45792</v>
      </c>
      <c r="C3747">
        <v>23.751978587317002</v>
      </c>
      <c r="D3747" t="s">
        <v>241</v>
      </c>
    </row>
    <row r="3748" spans="1:4" x14ac:dyDescent="0.35">
      <c r="A3748" t="s">
        <v>37</v>
      </c>
      <c r="B3748" s="88">
        <v>45884</v>
      </c>
      <c r="C3748">
        <v>24.448675071235598</v>
      </c>
      <c r="D3748" t="s">
        <v>241</v>
      </c>
    </row>
    <row r="3749" spans="1:4" x14ac:dyDescent="0.35">
      <c r="A3749" t="s">
        <v>37</v>
      </c>
      <c r="B3749" s="88">
        <v>45976</v>
      </c>
      <c r="C3749">
        <v>24.643727861425699</v>
      </c>
      <c r="D3749" t="s">
        <v>241</v>
      </c>
    </row>
    <row r="3750" spans="1:4" x14ac:dyDescent="0.35">
      <c r="A3750" t="s">
        <v>37</v>
      </c>
      <c r="B3750" s="88">
        <v>46068</v>
      </c>
      <c r="C3750">
        <v>25.2642504017508</v>
      </c>
      <c r="D3750" t="s">
        <v>241</v>
      </c>
    </row>
    <row r="3751" spans="1:4" x14ac:dyDescent="0.35">
      <c r="A3751" t="s">
        <v>37</v>
      </c>
      <c r="B3751" s="88">
        <v>46157</v>
      </c>
      <c r="C3751">
        <v>24.4584821260597</v>
      </c>
      <c r="D3751" t="s">
        <v>241</v>
      </c>
    </row>
    <row r="3752" spans="1:4" x14ac:dyDescent="0.35">
      <c r="A3752" t="s">
        <v>37</v>
      </c>
      <c r="B3752" s="88">
        <v>46249</v>
      </c>
      <c r="C3752">
        <v>24.660334023109801</v>
      </c>
      <c r="D3752" t="s">
        <v>241</v>
      </c>
    </row>
    <row r="3753" spans="1:4" x14ac:dyDescent="0.35">
      <c r="A3753" t="s">
        <v>67</v>
      </c>
      <c r="B3753" s="88">
        <v>43511</v>
      </c>
      <c r="C3753">
        <v>18.842099795866137</v>
      </c>
      <c r="D3753" t="s">
        <v>241</v>
      </c>
    </row>
    <row r="3754" spans="1:4" x14ac:dyDescent="0.35">
      <c r="A3754" t="s">
        <v>67</v>
      </c>
      <c r="B3754" s="88">
        <v>43600</v>
      </c>
      <c r="C3754">
        <v>19.36745598700854</v>
      </c>
      <c r="D3754" t="s">
        <v>241</v>
      </c>
    </row>
    <row r="3755" spans="1:4" x14ac:dyDescent="0.35">
      <c r="A3755" t="s">
        <v>67</v>
      </c>
      <c r="B3755" s="88">
        <v>43692</v>
      </c>
      <c r="C3755">
        <v>19.372533730612012</v>
      </c>
      <c r="D3755" t="s">
        <v>241</v>
      </c>
    </row>
    <row r="3756" spans="1:4" x14ac:dyDescent="0.35">
      <c r="A3756" t="s">
        <v>67</v>
      </c>
      <c r="B3756" s="88">
        <v>43784</v>
      </c>
      <c r="C3756">
        <v>19.788397889727463</v>
      </c>
      <c r="D3756" t="s">
        <v>241</v>
      </c>
    </row>
    <row r="3757" spans="1:4" x14ac:dyDescent="0.35">
      <c r="A3757" t="s">
        <v>67</v>
      </c>
      <c r="B3757" s="88">
        <v>43876</v>
      </c>
      <c r="C3757">
        <v>20.061205580190013</v>
      </c>
      <c r="D3757" t="s">
        <v>241</v>
      </c>
    </row>
    <row r="3758" spans="1:4" x14ac:dyDescent="0.35">
      <c r="A3758" t="s">
        <v>67</v>
      </c>
      <c r="B3758" s="88">
        <v>43966</v>
      </c>
      <c r="C3758">
        <v>21.248902194812707</v>
      </c>
      <c r="D3758" t="s">
        <v>241</v>
      </c>
    </row>
    <row r="3759" spans="1:4" x14ac:dyDescent="0.35">
      <c r="A3759" t="s">
        <v>67</v>
      </c>
      <c r="B3759" s="88">
        <v>44058</v>
      </c>
      <c r="C3759">
        <v>21.205030060905216</v>
      </c>
      <c r="D3759" t="s">
        <v>241</v>
      </c>
    </row>
    <row r="3760" spans="1:4" x14ac:dyDescent="0.35">
      <c r="A3760" t="s">
        <v>67</v>
      </c>
      <c r="B3760" s="88">
        <v>44150</v>
      </c>
      <c r="C3760">
        <v>21.15088976293768</v>
      </c>
      <c r="D3760" t="s">
        <v>241</v>
      </c>
    </row>
    <row r="3761" spans="1:4" x14ac:dyDescent="0.35">
      <c r="A3761" t="s">
        <v>67</v>
      </c>
      <c r="B3761" s="88">
        <v>44242</v>
      </c>
      <c r="C3761">
        <v>21.312103234691406</v>
      </c>
      <c r="D3761" t="s">
        <v>241</v>
      </c>
    </row>
    <row r="3762" spans="1:4" x14ac:dyDescent="0.35">
      <c r="A3762" t="s">
        <v>67</v>
      </c>
      <c r="B3762" s="88">
        <v>44331</v>
      </c>
      <c r="C3762">
        <v>21.648850868773117</v>
      </c>
      <c r="D3762" t="s">
        <v>241</v>
      </c>
    </row>
    <row r="3763" spans="1:4" x14ac:dyDescent="0.35">
      <c r="A3763" t="s">
        <v>67</v>
      </c>
      <c r="B3763" s="88">
        <v>44423</v>
      </c>
      <c r="C3763">
        <v>21.823818738351271</v>
      </c>
      <c r="D3763" t="s">
        <v>241</v>
      </c>
    </row>
    <row r="3764" spans="1:4" x14ac:dyDescent="0.35">
      <c r="A3764" t="s">
        <v>67</v>
      </c>
      <c r="B3764" s="88">
        <v>44515</v>
      </c>
      <c r="C3764">
        <v>21.879914707583715</v>
      </c>
      <c r="D3764" t="s">
        <v>241</v>
      </c>
    </row>
    <row r="3765" spans="1:4" x14ac:dyDescent="0.35">
      <c r="A3765" t="s">
        <v>67</v>
      </c>
      <c r="B3765" s="88">
        <v>44607</v>
      </c>
      <c r="C3765">
        <v>22.653169116883518</v>
      </c>
      <c r="D3765" t="s">
        <v>241</v>
      </c>
    </row>
    <row r="3766" spans="1:4" x14ac:dyDescent="0.35">
      <c r="A3766" t="s">
        <v>67</v>
      </c>
      <c r="B3766" s="88">
        <v>44696</v>
      </c>
      <c r="C3766">
        <v>23.096824573800411</v>
      </c>
      <c r="D3766" t="s">
        <v>241</v>
      </c>
    </row>
    <row r="3767" spans="1:4" x14ac:dyDescent="0.35">
      <c r="A3767" t="s">
        <v>67</v>
      </c>
      <c r="B3767" s="88">
        <v>44788</v>
      </c>
      <c r="C3767">
        <v>22.858853444857047</v>
      </c>
      <c r="D3767" t="s">
        <v>241</v>
      </c>
    </row>
    <row r="3768" spans="1:4" x14ac:dyDescent="0.35">
      <c r="A3768" t="s">
        <v>67</v>
      </c>
      <c r="B3768" s="88">
        <v>44880</v>
      </c>
      <c r="C3768">
        <v>22.830280875715381</v>
      </c>
      <c r="D3768" t="s">
        <v>241</v>
      </c>
    </row>
    <row r="3769" spans="1:4" x14ac:dyDescent="0.35">
      <c r="A3769" t="s">
        <v>67</v>
      </c>
      <c r="B3769" s="88">
        <v>44972</v>
      </c>
      <c r="C3769">
        <v>22.833961172239327</v>
      </c>
      <c r="D3769" t="s">
        <v>241</v>
      </c>
    </row>
    <row r="3770" spans="1:4" x14ac:dyDescent="0.35">
      <c r="A3770" t="s">
        <v>67</v>
      </c>
      <c r="B3770" s="88">
        <v>45061</v>
      </c>
      <c r="C3770">
        <v>22.999142788048001</v>
      </c>
      <c r="D3770" t="s">
        <v>241</v>
      </c>
    </row>
    <row r="3771" spans="1:4" x14ac:dyDescent="0.35">
      <c r="A3771" t="s">
        <v>67</v>
      </c>
      <c r="B3771" s="88">
        <v>45153</v>
      </c>
      <c r="C3771">
        <v>23.921011780391201</v>
      </c>
      <c r="D3771" t="s">
        <v>241</v>
      </c>
    </row>
    <row r="3772" spans="1:4" x14ac:dyDescent="0.35">
      <c r="A3772" t="s">
        <v>67</v>
      </c>
      <c r="B3772" s="88">
        <v>45245</v>
      </c>
      <c r="C3772">
        <v>23.659600019996901</v>
      </c>
      <c r="D3772" t="s">
        <v>241</v>
      </c>
    </row>
    <row r="3773" spans="1:4" x14ac:dyDescent="0.35">
      <c r="A3773" t="s">
        <v>67</v>
      </c>
      <c r="B3773" s="88">
        <v>45337</v>
      </c>
      <c r="C3773">
        <v>24.033176832880098</v>
      </c>
      <c r="D3773" t="s">
        <v>241</v>
      </c>
    </row>
    <row r="3774" spans="1:4" x14ac:dyDescent="0.35">
      <c r="A3774" t="s">
        <v>67</v>
      </c>
      <c r="B3774" s="88">
        <v>45427</v>
      </c>
      <c r="C3774">
        <v>25.2403924062823</v>
      </c>
      <c r="D3774" t="s">
        <v>241</v>
      </c>
    </row>
    <row r="3775" spans="1:4" x14ac:dyDescent="0.35">
      <c r="A3775" t="s">
        <v>67</v>
      </c>
      <c r="B3775" s="88">
        <v>45519</v>
      </c>
      <c r="C3775">
        <v>24.838975010388701</v>
      </c>
      <c r="D3775" t="s">
        <v>241</v>
      </c>
    </row>
    <row r="3776" spans="1:4" x14ac:dyDescent="0.35">
      <c r="A3776" t="s">
        <v>67</v>
      </c>
      <c r="B3776" s="88">
        <v>45611</v>
      </c>
      <c r="C3776">
        <v>25.1140441495264</v>
      </c>
      <c r="D3776" t="s">
        <v>241</v>
      </c>
    </row>
    <row r="3777" spans="1:4" x14ac:dyDescent="0.35">
      <c r="A3777" t="s">
        <v>67</v>
      </c>
      <c r="B3777" s="88">
        <v>45703</v>
      </c>
      <c r="C3777">
        <v>25.465865009934301</v>
      </c>
      <c r="D3777" t="s">
        <v>241</v>
      </c>
    </row>
    <row r="3778" spans="1:4" x14ac:dyDescent="0.35">
      <c r="A3778" t="s">
        <v>67</v>
      </c>
      <c r="B3778" s="88">
        <v>45792</v>
      </c>
      <c r="C3778">
        <v>26.1170936423906</v>
      </c>
      <c r="D3778" t="s">
        <v>241</v>
      </c>
    </row>
    <row r="3779" spans="1:4" x14ac:dyDescent="0.35">
      <c r="A3779" t="s">
        <v>67</v>
      </c>
      <c r="B3779" s="88">
        <v>45884</v>
      </c>
      <c r="C3779">
        <v>26.629186427785601</v>
      </c>
      <c r="D3779" t="s">
        <v>241</v>
      </c>
    </row>
    <row r="3780" spans="1:4" x14ac:dyDescent="0.35">
      <c r="A3780" t="s">
        <v>67</v>
      </c>
      <c r="B3780" s="88">
        <v>45976</v>
      </c>
      <c r="C3780">
        <v>26.666562346307099</v>
      </c>
      <c r="D3780" t="s">
        <v>241</v>
      </c>
    </row>
    <row r="3781" spans="1:4" x14ac:dyDescent="0.35">
      <c r="A3781" t="s">
        <v>67</v>
      </c>
      <c r="B3781" s="88">
        <v>46068</v>
      </c>
      <c r="C3781">
        <v>27.556840863866999</v>
      </c>
      <c r="D3781" t="s">
        <v>241</v>
      </c>
    </row>
    <row r="3782" spans="1:4" x14ac:dyDescent="0.35">
      <c r="A3782" t="s">
        <v>67</v>
      </c>
      <c r="B3782" s="88">
        <v>46157</v>
      </c>
      <c r="C3782">
        <v>27.432177377625301</v>
      </c>
      <c r="D3782" t="s">
        <v>241</v>
      </c>
    </row>
    <row r="3783" spans="1:4" x14ac:dyDescent="0.35">
      <c r="A3783" t="s">
        <v>67</v>
      </c>
      <c r="B3783" s="88">
        <v>46249</v>
      </c>
      <c r="C3783">
        <v>27.606537947384201</v>
      </c>
      <c r="D3783" t="s">
        <v>241</v>
      </c>
    </row>
    <row r="3784" spans="1:4" x14ac:dyDescent="0.35">
      <c r="A3784" t="s">
        <v>68</v>
      </c>
      <c r="B3784" s="88">
        <v>43511</v>
      </c>
      <c r="C3784">
        <v>18.733291226961054</v>
      </c>
      <c r="D3784" t="s">
        <v>241</v>
      </c>
    </row>
    <row r="3785" spans="1:4" x14ac:dyDescent="0.35">
      <c r="A3785" t="s">
        <v>68</v>
      </c>
      <c r="B3785" s="88">
        <v>43600</v>
      </c>
      <c r="C3785">
        <v>19.184967994016795</v>
      </c>
      <c r="D3785" t="s">
        <v>241</v>
      </c>
    </row>
    <row r="3786" spans="1:4" x14ac:dyDescent="0.35">
      <c r="A3786" t="s">
        <v>68</v>
      </c>
      <c r="B3786" s="88">
        <v>43692</v>
      </c>
      <c r="C3786">
        <v>19.272594525967769</v>
      </c>
      <c r="D3786" t="s">
        <v>241</v>
      </c>
    </row>
    <row r="3787" spans="1:4" x14ac:dyDescent="0.35">
      <c r="A3787" t="s">
        <v>68</v>
      </c>
      <c r="B3787" s="88">
        <v>43784</v>
      </c>
      <c r="C3787">
        <v>19.760118515938849</v>
      </c>
      <c r="D3787" t="s">
        <v>241</v>
      </c>
    </row>
    <row r="3788" spans="1:4" x14ac:dyDescent="0.35">
      <c r="A3788" t="s">
        <v>68</v>
      </c>
      <c r="B3788" s="88">
        <v>43876</v>
      </c>
      <c r="C3788">
        <v>19.974840000992117</v>
      </c>
      <c r="D3788" t="s">
        <v>241</v>
      </c>
    </row>
    <row r="3789" spans="1:4" x14ac:dyDescent="0.35">
      <c r="A3789" t="s">
        <v>68</v>
      </c>
      <c r="B3789" s="88">
        <v>43966</v>
      </c>
      <c r="C3789">
        <v>21.263014038687267</v>
      </c>
      <c r="D3789" t="s">
        <v>241</v>
      </c>
    </row>
    <row r="3790" spans="1:4" x14ac:dyDescent="0.35">
      <c r="A3790" t="s">
        <v>68</v>
      </c>
      <c r="B3790" s="88">
        <v>44058</v>
      </c>
      <c r="C3790">
        <v>21.243502903501152</v>
      </c>
      <c r="D3790" t="s">
        <v>241</v>
      </c>
    </row>
    <row r="3791" spans="1:4" x14ac:dyDescent="0.35">
      <c r="A3791" t="s">
        <v>68</v>
      </c>
      <c r="B3791" s="88">
        <v>44150</v>
      </c>
      <c r="C3791">
        <v>21.224269452663741</v>
      </c>
      <c r="D3791" t="s">
        <v>241</v>
      </c>
    </row>
    <row r="3792" spans="1:4" x14ac:dyDescent="0.35">
      <c r="A3792" t="s">
        <v>68</v>
      </c>
      <c r="B3792" s="88">
        <v>44242</v>
      </c>
      <c r="C3792">
        <v>21.371143984341344</v>
      </c>
      <c r="D3792" t="s">
        <v>241</v>
      </c>
    </row>
    <row r="3793" spans="1:4" x14ac:dyDescent="0.35">
      <c r="A3793" t="s">
        <v>68</v>
      </c>
      <c r="B3793" s="88">
        <v>44331</v>
      </c>
      <c r="C3793">
        <v>21.87158109168967</v>
      </c>
      <c r="D3793" t="s">
        <v>241</v>
      </c>
    </row>
    <row r="3794" spans="1:4" x14ac:dyDescent="0.35">
      <c r="A3794" t="s">
        <v>68</v>
      </c>
      <c r="B3794" s="88">
        <v>44423</v>
      </c>
      <c r="C3794">
        <v>22.1086518599461</v>
      </c>
      <c r="D3794" t="s">
        <v>241</v>
      </c>
    </row>
    <row r="3795" spans="1:4" x14ac:dyDescent="0.35">
      <c r="A3795" t="s">
        <v>68</v>
      </c>
      <c r="B3795" s="88">
        <v>44515</v>
      </c>
      <c r="C3795">
        <v>22.003238947417053</v>
      </c>
      <c r="D3795" t="s">
        <v>241</v>
      </c>
    </row>
    <row r="3796" spans="1:4" x14ac:dyDescent="0.35">
      <c r="A3796" t="s">
        <v>68</v>
      </c>
      <c r="B3796" s="88">
        <v>44607</v>
      </c>
      <c r="C3796">
        <v>22.920247191091931</v>
      </c>
      <c r="D3796" t="s">
        <v>241</v>
      </c>
    </row>
    <row r="3797" spans="1:4" x14ac:dyDescent="0.35">
      <c r="A3797" t="s">
        <v>68</v>
      </c>
      <c r="B3797" s="88">
        <v>44696</v>
      </c>
      <c r="C3797">
        <v>23.216561404874327</v>
      </c>
      <c r="D3797" t="s">
        <v>241</v>
      </c>
    </row>
    <row r="3798" spans="1:4" x14ac:dyDescent="0.35">
      <c r="A3798" t="s">
        <v>68</v>
      </c>
      <c r="B3798" s="88">
        <v>44788</v>
      </c>
      <c r="C3798">
        <v>23.328227187455084</v>
      </c>
      <c r="D3798" t="s">
        <v>241</v>
      </c>
    </row>
    <row r="3799" spans="1:4" x14ac:dyDescent="0.35">
      <c r="A3799" t="s">
        <v>68</v>
      </c>
      <c r="B3799" s="88">
        <v>44880</v>
      </c>
      <c r="C3799">
        <v>23.095178292082828</v>
      </c>
      <c r="D3799" t="s">
        <v>241</v>
      </c>
    </row>
    <row r="3800" spans="1:4" x14ac:dyDescent="0.35">
      <c r="A3800" t="s">
        <v>68</v>
      </c>
      <c r="B3800" s="88">
        <v>44972</v>
      </c>
      <c r="C3800">
        <v>23.20581675754385</v>
      </c>
      <c r="D3800" t="s">
        <v>241</v>
      </c>
    </row>
    <row r="3801" spans="1:4" x14ac:dyDescent="0.35">
      <c r="A3801" t="s">
        <v>68</v>
      </c>
      <c r="B3801" s="88">
        <v>45061</v>
      </c>
      <c r="C3801">
        <v>23.063906191726101</v>
      </c>
      <c r="D3801" t="s">
        <v>241</v>
      </c>
    </row>
    <row r="3802" spans="1:4" x14ac:dyDescent="0.35">
      <c r="A3802" t="s">
        <v>68</v>
      </c>
      <c r="B3802" s="88">
        <v>45153</v>
      </c>
      <c r="C3802">
        <v>24.1725193503204</v>
      </c>
      <c r="D3802" t="s">
        <v>241</v>
      </c>
    </row>
    <row r="3803" spans="1:4" x14ac:dyDescent="0.35">
      <c r="A3803" t="s">
        <v>68</v>
      </c>
      <c r="B3803" s="88">
        <v>45245</v>
      </c>
      <c r="C3803">
        <v>24.1445963432461</v>
      </c>
      <c r="D3803" t="s">
        <v>241</v>
      </c>
    </row>
    <row r="3804" spans="1:4" x14ac:dyDescent="0.35">
      <c r="A3804" t="s">
        <v>68</v>
      </c>
      <c r="B3804" s="88">
        <v>45337</v>
      </c>
      <c r="C3804">
        <v>24.523459276976599</v>
      </c>
      <c r="D3804" t="s">
        <v>241</v>
      </c>
    </row>
    <row r="3805" spans="1:4" x14ac:dyDescent="0.35">
      <c r="A3805" t="s">
        <v>68</v>
      </c>
      <c r="B3805" s="88">
        <v>45427</v>
      </c>
      <c r="C3805">
        <v>25.560520406249999</v>
      </c>
      <c r="D3805" t="s">
        <v>241</v>
      </c>
    </row>
    <row r="3806" spans="1:4" x14ac:dyDescent="0.35">
      <c r="A3806" t="s">
        <v>68</v>
      </c>
      <c r="B3806" s="88">
        <v>45519</v>
      </c>
      <c r="C3806">
        <v>24.9752443950665</v>
      </c>
      <c r="D3806" t="s">
        <v>241</v>
      </c>
    </row>
    <row r="3807" spans="1:4" x14ac:dyDescent="0.35">
      <c r="A3807" t="s">
        <v>68</v>
      </c>
      <c r="B3807" s="88">
        <v>45611</v>
      </c>
      <c r="C3807">
        <v>25.5540132435972</v>
      </c>
      <c r="D3807" t="s">
        <v>241</v>
      </c>
    </row>
    <row r="3808" spans="1:4" x14ac:dyDescent="0.35">
      <c r="A3808" t="s">
        <v>68</v>
      </c>
      <c r="B3808" s="88">
        <v>45703</v>
      </c>
      <c r="C3808">
        <v>25.814269570274799</v>
      </c>
      <c r="D3808" t="s">
        <v>241</v>
      </c>
    </row>
    <row r="3809" spans="1:4" x14ac:dyDescent="0.35">
      <c r="A3809" t="s">
        <v>68</v>
      </c>
      <c r="B3809" s="88">
        <v>45792</v>
      </c>
      <c r="C3809">
        <v>26.380996578562499</v>
      </c>
      <c r="D3809" t="s">
        <v>241</v>
      </c>
    </row>
    <row r="3810" spans="1:4" x14ac:dyDescent="0.35">
      <c r="A3810" t="s">
        <v>68</v>
      </c>
      <c r="B3810" s="88">
        <v>45884</v>
      </c>
      <c r="C3810">
        <v>26.764417695334799</v>
      </c>
      <c r="D3810" t="s">
        <v>241</v>
      </c>
    </row>
    <row r="3811" spans="1:4" x14ac:dyDescent="0.35">
      <c r="A3811" t="s">
        <v>68</v>
      </c>
      <c r="B3811" s="88">
        <v>45976</v>
      </c>
      <c r="C3811">
        <v>26.819214224646</v>
      </c>
      <c r="D3811" t="s">
        <v>241</v>
      </c>
    </row>
    <row r="3812" spans="1:4" x14ac:dyDescent="0.35">
      <c r="A3812" t="s">
        <v>68</v>
      </c>
      <c r="B3812" s="88">
        <v>46068</v>
      </c>
      <c r="C3812">
        <v>27.813047453079399</v>
      </c>
      <c r="D3812" t="s">
        <v>241</v>
      </c>
    </row>
    <row r="3813" spans="1:4" x14ac:dyDescent="0.35">
      <c r="A3813" t="s">
        <v>68</v>
      </c>
      <c r="B3813" s="88">
        <v>46157</v>
      </c>
      <c r="C3813">
        <v>27.410013310141402</v>
      </c>
      <c r="D3813" t="s">
        <v>241</v>
      </c>
    </row>
    <row r="3814" spans="1:4" x14ac:dyDescent="0.35">
      <c r="A3814" t="s">
        <v>68</v>
      </c>
      <c r="B3814" s="88">
        <v>46249</v>
      </c>
      <c r="C3814">
        <v>26.8323723406791</v>
      </c>
      <c r="D3814" t="s">
        <v>241</v>
      </c>
    </row>
    <row r="3815" spans="1:4" x14ac:dyDescent="0.35">
      <c r="A3815" t="s">
        <v>72</v>
      </c>
      <c r="B3815" s="88">
        <v>43511</v>
      </c>
      <c r="C3815">
        <v>17.188046490021552</v>
      </c>
      <c r="D3815" t="s">
        <v>241</v>
      </c>
    </row>
    <row r="3816" spans="1:4" x14ac:dyDescent="0.35">
      <c r="A3816" t="s">
        <v>72</v>
      </c>
      <c r="B3816" s="88">
        <v>43600</v>
      </c>
      <c r="C3816">
        <v>17.436565603252006</v>
      </c>
      <c r="D3816" t="s">
        <v>241</v>
      </c>
    </row>
    <row r="3817" spans="1:4" x14ac:dyDescent="0.35">
      <c r="A3817" t="s">
        <v>72</v>
      </c>
      <c r="B3817" s="88">
        <v>43692</v>
      </c>
      <c r="C3817">
        <v>17.505269857862544</v>
      </c>
      <c r="D3817" t="s">
        <v>241</v>
      </c>
    </row>
    <row r="3818" spans="1:4" x14ac:dyDescent="0.35">
      <c r="A3818" t="s">
        <v>72</v>
      </c>
      <c r="B3818" s="88">
        <v>43784</v>
      </c>
      <c r="C3818">
        <v>18.103419866662335</v>
      </c>
      <c r="D3818" t="s">
        <v>241</v>
      </c>
    </row>
    <row r="3819" spans="1:4" x14ac:dyDescent="0.35">
      <c r="A3819" t="s">
        <v>72</v>
      </c>
      <c r="B3819" s="88">
        <v>43876</v>
      </c>
      <c r="C3819">
        <v>18.197385496338427</v>
      </c>
      <c r="D3819" t="s">
        <v>241</v>
      </c>
    </row>
    <row r="3820" spans="1:4" x14ac:dyDescent="0.35">
      <c r="A3820" t="s">
        <v>72</v>
      </c>
      <c r="B3820" s="88">
        <v>43966</v>
      </c>
      <c r="C3820">
        <v>19.103646458483226</v>
      </c>
      <c r="D3820" t="s">
        <v>241</v>
      </c>
    </row>
    <row r="3821" spans="1:4" x14ac:dyDescent="0.35">
      <c r="A3821" t="s">
        <v>72</v>
      </c>
      <c r="B3821" s="88">
        <v>44058</v>
      </c>
      <c r="C3821">
        <v>19.077102122133766</v>
      </c>
      <c r="D3821" t="s">
        <v>241</v>
      </c>
    </row>
    <row r="3822" spans="1:4" x14ac:dyDescent="0.35">
      <c r="A3822" t="s">
        <v>72</v>
      </c>
      <c r="B3822" s="88">
        <v>44150</v>
      </c>
      <c r="C3822">
        <v>19.075630014970873</v>
      </c>
      <c r="D3822" t="s">
        <v>241</v>
      </c>
    </row>
    <row r="3823" spans="1:4" x14ac:dyDescent="0.35">
      <c r="A3823" t="s">
        <v>72</v>
      </c>
      <c r="B3823" s="88">
        <v>44242</v>
      </c>
      <c r="C3823">
        <v>18.962112005869198</v>
      </c>
      <c r="D3823" t="s">
        <v>241</v>
      </c>
    </row>
    <row r="3824" spans="1:4" x14ac:dyDescent="0.35">
      <c r="A3824" t="s">
        <v>72</v>
      </c>
      <c r="B3824" s="88">
        <v>44331</v>
      </c>
      <c r="C3824">
        <v>18.847142204385158</v>
      </c>
      <c r="D3824" t="s">
        <v>241</v>
      </c>
    </row>
    <row r="3825" spans="1:4" x14ac:dyDescent="0.35">
      <c r="A3825" t="s">
        <v>72</v>
      </c>
      <c r="B3825" s="88">
        <v>44423</v>
      </c>
      <c r="C3825">
        <v>19.210436354038897</v>
      </c>
      <c r="D3825" t="s">
        <v>241</v>
      </c>
    </row>
    <row r="3826" spans="1:4" x14ac:dyDescent="0.35">
      <c r="A3826" t="s">
        <v>72</v>
      </c>
      <c r="B3826" s="88">
        <v>44515</v>
      </c>
      <c r="C3826">
        <v>19.466739301699405</v>
      </c>
      <c r="D3826" t="s">
        <v>241</v>
      </c>
    </row>
    <row r="3827" spans="1:4" x14ac:dyDescent="0.35">
      <c r="A3827" t="s">
        <v>72</v>
      </c>
      <c r="B3827" s="88">
        <v>44607</v>
      </c>
      <c r="C3827">
        <v>20.007060174985263</v>
      </c>
      <c r="D3827" t="s">
        <v>241</v>
      </c>
    </row>
    <row r="3828" spans="1:4" x14ac:dyDescent="0.35">
      <c r="A3828" t="s">
        <v>72</v>
      </c>
      <c r="B3828" s="88">
        <v>44696</v>
      </c>
      <c r="C3828">
        <v>20.245877392716572</v>
      </c>
      <c r="D3828" t="s">
        <v>241</v>
      </c>
    </row>
    <row r="3829" spans="1:4" x14ac:dyDescent="0.35">
      <c r="A3829" t="s">
        <v>72</v>
      </c>
      <c r="B3829" s="88">
        <v>44788</v>
      </c>
      <c r="C3829">
        <v>20.377530421909231</v>
      </c>
      <c r="D3829" t="s">
        <v>241</v>
      </c>
    </row>
    <row r="3830" spans="1:4" x14ac:dyDescent="0.35">
      <c r="A3830" t="s">
        <v>72</v>
      </c>
      <c r="B3830" s="88">
        <v>44880</v>
      </c>
      <c r="C3830">
        <v>20.385381708992988</v>
      </c>
      <c r="D3830" t="s">
        <v>241</v>
      </c>
    </row>
    <row r="3831" spans="1:4" x14ac:dyDescent="0.35">
      <c r="A3831" t="s">
        <v>72</v>
      </c>
      <c r="B3831" s="88">
        <v>44972</v>
      </c>
      <c r="C3831">
        <v>20.828753769676187</v>
      </c>
      <c r="D3831" t="s">
        <v>241</v>
      </c>
    </row>
    <row r="3832" spans="1:4" x14ac:dyDescent="0.35">
      <c r="A3832" t="s">
        <v>72</v>
      </c>
      <c r="B3832" s="88">
        <v>45061</v>
      </c>
      <c r="C3832">
        <v>20.682237945163902</v>
      </c>
      <c r="D3832" t="s">
        <v>241</v>
      </c>
    </row>
    <row r="3833" spans="1:4" x14ac:dyDescent="0.35">
      <c r="A3833" t="s">
        <v>72</v>
      </c>
      <c r="B3833" s="88">
        <v>45153</v>
      </c>
      <c r="C3833">
        <v>21.071050240892799</v>
      </c>
      <c r="D3833" t="s">
        <v>241</v>
      </c>
    </row>
    <row r="3834" spans="1:4" x14ac:dyDescent="0.35">
      <c r="A3834" t="s">
        <v>72</v>
      </c>
      <c r="B3834" s="88">
        <v>45245</v>
      </c>
      <c r="C3834">
        <v>21.435859924863099</v>
      </c>
      <c r="D3834" t="s">
        <v>241</v>
      </c>
    </row>
    <row r="3835" spans="1:4" x14ac:dyDescent="0.35">
      <c r="A3835" t="s">
        <v>72</v>
      </c>
      <c r="B3835" s="88">
        <v>45337</v>
      </c>
      <c r="C3835">
        <v>20.9750589424692</v>
      </c>
      <c r="D3835" t="s">
        <v>241</v>
      </c>
    </row>
    <row r="3836" spans="1:4" x14ac:dyDescent="0.35">
      <c r="A3836" t="s">
        <v>72</v>
      </c>
      <c r="B3836" s="88">
        <v>45427</v>
      </c>
      <c r="C3836">
        <v>21.357879840147799</v>
      </c>
      <c r="D3836" t="s">
        <v>241</v>
      </c>
    </row>
    <row r="3837" spans="1:4" x14ac:dyDescent="0.35">
      <c r="A3837" t="s">
        <v>72</v>
      </c>
      <c r="B3837" s="88">
        <v>45519</v>
      </c>
      <c r="C3837">
        <v>21.510619582215501</v>
      </c>
      <c r="D3837" t="s">
        <v>241</v>
      </c>
    </row>
    <row r="3838" spans="1:4" x14ac:dyDescent="0.35">
      <c r="A3838" t="s">
        <v>72</v>
      </c>
      <c r="B3838" s="88">
        <v>45611</v>
      </c>
      <c r="C3838">
        <v>22.0282106197714</v>
      </c>
      <c r="D3838" t="s">
        <v>241</v>
      </c>
    </row>
    <row r="3839" spans="1:4" x14ac:dyDescent="0.35">
      <c r="A3839" t="s">
        <v>72</v>
      </c>
      <c r="B3839" s="88">
        <v>45703</v>
      </c>
      <c r="C3839">
        <v>22.2855825556965</v>
      </c>
      <c r="D3839" t="s">
        <v>241</v>
      </c>
    </row>
    <row r="3840" spans="1:4" x14ac:dyDescent="0.35">
      <c r="A3840" t="s">
        <v>72</v>
      </c>
      <c r="B3840" s="88">
        <v>45792</v>
      </c>
      <c r="C3840">
        <v>24.0934268968971</v>
      </c>
      <c r="D3840" t="s">
        <v>241</v>
      </c>
    </row>
    <row r="3841" spans="1:4" x14ac:dyDescent="0.35">
      <c r="A3841" t="s">
        <v>72</v>
      </c>
      <c r="B3841" s="88">
        <v>45884</v>
      </c>
      <c r="C3841">
        <v>24.210930671379199</v>
      </c>
      <c r="D3841" t="s">
        <v>241</v>
      </c>
    </row>
    <row r="3842" spans="1:4" x14ac:dyDescent="0.35">
      <c r="A3842" t="s">
        <v>72</v>
      </c>
      <c r="B3842" s="88">
        <v>45976</v>
      </c>
      <c r="C3842">
        <v>24.0692672136929</v>
      </c>
      <c r="D3842" t="s">
        <v>241</v>
      </c>
    </row>
    <row r="3843" spans="1:4" x14ac:dyDescent="0.35">
      <c r="A3843" t="s">
        <v>72</v>
      </c>
      <c r="B3843" s="88">
        <v>46068</v>
      </c>
      <c r="C3843">
        <v>25.373013990804399</v>
      </c>
      <c r="D3843" t="s">
        <v>241</v>
      </c>
    </row>
    <row r="3844" spans="1:4" x14ac:dyDescent="0.35">
      <c r="A3844" t="s">
        <v>72</v>
      </c>
      <c r="B3844" s="88">
        <v>46157</v>
      </c>
      <c r="C3844">
        <v>25.110281280986101</v>
      </c>
      <c r="D3844" t="s">
        <v>241</v>
      </c>
    </row>
    <row r="3845" spans="1:4" x14ac:dyDescent="0.35">
      <c r="A3845" t="s">
        <v>72</v>
      </c>
      <c r="B3845" s="88">
        <v>46249</v>
      </c>
      <c r="C3845">
        <v>25.239240158162801</v>
      </c>
      <c r="D3845" t="s">
        <v>241</v>
      </c>
    </row>
    <row r="3846" spans="1:4" x14ac:dyDescent="0.35">
      <c r="A3846" t="s">
        <v>73</v>
      </c>
      <c r="B3846" s="88">
        <v>43511</v>
      </c>
      <c r="C3846">
        <v>16.704603749472021</v>
      </c>
      <c r="D3846" t="s">
        <v>241</v>
      </c>
    </row>
    <row r="3847" spans="1:4" x14ac:dyDescent="0.35">
      <c r="A3847" t="s">
        <v>73</v>
      </c>
      <c r="B3847" s="88">
        <v>43600</v>
      </c>
      <c r="C3847">
        <v>16.930353986202462</v>
      </c>
      <c r="D3847" t="s">
        <v>241</v>
      </c>
    </row>
    <row r="3848" spans="1:4" x14ac:dyDescent="0.35">
      <c r="A3848" t="s">
        <v>73</v>
      </c>
      <c r="B3848" s="88">
        <v>43692</v>
      </c>
      <c r="C3848">
        <v>17.011399811672078</v>
      </c>
      <c r="D3848" t="s">
        <v>241</v>
      </c>
    </row>
    <row r="3849" spans="1:4" x14ac:dyDescent="0.35">
      <c r="A3849" t="s">
        <v>73</v>
      </c>
      <c r="B3849" s="88">
        <v>43784</v>
      </c>
      <c r="C3849">
        <v>17.374791917518948</v>
      </c>
      <c r="D3849" t="s">
        <v>241</v>
      </c>
    </row>
    <row r="3850" spans="1:4" x14ac:dyDescent="0.35">
      <c r="A3850" t="s">
        <v>73</v>
      </c>
      <c r="B3850" s="88">
        <v>43876</v>
      </c>
      <c r="C3850">
        <v>17.46766811553271</v>
      </c>
      <c r="D3850" t="s">
        <v>241</v>
      </c>
    </row>
    <row r="3851" spans="1:4" x14ac:dyDescent="0.35">
      <c r="A3851" t="s">
        <v>73</v>
      </c>
      <c r="B3851" s="88">
        <v>43966</v>
      </c>
      <c r="C3851">
        <v>18.36737278513063</v>
      </c>
      <c r="D3851" t="s">
        <v>241</v>
      </c>
    </row>
    <row r="3852" spans="1:4" x14ac:dyDescent="0.35">
      <c r="A3852" t="s">
        <v>73</v>
      </c>
      <c r="B3852" s="88">
        <v>44058</v>
      </c>
      <c r="C3852">
        <v>18.338496621126087</v>
      </c>
      <c r="D3852" t="s">
        <v>241</v>
      </c>
    </row>
    <row r="3853" spans="1:4" x14ac:dyDescent="0.35">
      <c r="A3853" t="s">
        <v>73</v>
      </c>
      <c r="B3853" s="88">
        <v>44150</v>
      </c>
      <c r="C3853">
        <v>18.317471044343048</v>
      </c>
      <c r="D3853" t="s">
        <v>241</v>
      </c>
    </row>
    <row r="3854" spans="1:4" x14ac:dyDescent="0.35">
      <c r="A3854" t="s">
        <v>73</v>
      </c>
      <c r="B3854" s="88">
        <v>44242</v>
      </c>
      <c r="C3854">
        <v>18.180907571366323</v>
      </c>
      <c r="D3854" t="s">
        <v>241</v>
      </c>
    </row>
    <row r="3855" spans="1:4" x14ac:dyDescent="0.35">
      <c r="A3855" t="s">
        <v>73</v>
      </c>
      <c r="B3855" s="88">
        <v>44331</v>
      </c>
      <c r="C3855">
        <v>18.196233788433958</v>
      </c>
      <c r="D3855" t="s">
        <v>241</v>
      </c>
    </row>
    <row r="3856" spans="1:4" x14ac:dyDescent="0.35">
      <c r="A3856" t="s">
        <v>73</v>
      </c>
      <c r="B3856" s="88">
        <v>44423</v>
      </c>
      <c r="C3856">
        <v>18.570998597818786</v>
      </c>
      <c r="D3856" t="s">
        <v>241</v>
      </c>
    </row>
    <row r="3857" spans="1:4" x14ac:dyDescent="0.35">
      <c r="A3857" t="s">
        <v>73</v>
      </c>
      <c r="B3857" s="88">
        <v>44515</v>
      </c>
      <c r="C3857">
        <v>18.886644629410604</v>
      </c>
      <c r="D3857" t="s">
        <v>241</v>
      </c>
    </row>
    <row r="3858" spans="1:4" x14ac:dyDescent="0.35">
      <c r="A3858" t="s">
        <v>73</v>
      </c>
      <c r="B3858" s="88">
        <v>44607</v>
      </c>
      <c r="C3858">
        <v>19.49603158607151</v>
      </c>
      <c r="D3858" t="s">
        <v>241</v>
      </c>
    </row>
    <row r="3859" spans="1:4" x14ac:dyDescent="0.35">
      <c r="A3859" t="s">
        <v>73</v>
      </c>
      <c r="B3859" s="88">
        <v>44696</v>
      </c>
      <c r="C3859">
        <v>19.839676919303319</v>
      </c>
      <c r="D3859" t="s">
        <v>241</v>
      </c>
    </row>
    <row r="3860" spans="1:4" x14ac:dyDescent="0.35">
      <c r="A3860" t="s">
        <v>73</v>
      </c>
      <c r="B3860" s="88">
        <v>44788</v>
      </c>
      <c r="C3860">
        <v>20.128512805214328</v>
      </c>
      <c r="D3860" t="s">
        <v>241</v>
      </c>
    </row>
    <row r="3861" spans="1:4" x14ac:dyDescent="0.35">
      <c r="A3861" t="s">
        <v>73</v>
      </c>
      <c r="B3861" s="88">
        <v>44880</v>
      </c>
      <c r="C3861">
        <v>20.111978337103192</v>
      </c>
      <c r="D3861" t="s">
        <v>241</v>
      </c>
    </row>
    <row r="3862" spans="1:4" x14ac:dyDescent="0.35">
      <c r="A3862" t="s">
        <v>73</v>
      </c>
      <c r="B3862" s="88">
        <v>44972</v>
      </c>
      <c r="C3862">
        <v>20.427240392500281</v>
      </c>
      <c r="D3862" t="s">
        <v>241</v>
      </c>
    </row>
    <row r="3863" spans="1:4" x14ac:dyDescent="0.35">
      <c r="A3863" t="s">
        <v>73</v>
      </c>
      <c r="B3863" s="88">
        <v>45061</v>
      </c>
      <c r="C3863">
        <v>20.393837820530202</v>
      </c>
      <c r="D3863" t="s">
        <v>241</v>
      </c>
    </row>
    <row r="3864" spans="1:4" x14ac:dyDescent="0.35">
      <c r="A3864" t="s">
        <v>73</v>
      </c>
      <c r="B3864" s="88">
        <v>45153</v>
      </c>
      <c r="C3864">
        <v>20.914014687003501</v>
      </c>
      <c r="D3864" t="s">
        <v>241</v>
      </c>
    </row>
    <row r="3865" spans="1:4" x14ac:dyDescent="0.35">
      <c r="A3865" t="s">
        <v>73</v>
      </c>
      <c r="B3865" s="88">
        <v>45245</v>
      </c>
      <c r="C3865">
        <v>21.297671404837899</v>
      </c>
      <c r="D3865" t="s">
        <v>241</v>
      </c>
    </row>
    <row r="3866" spans="1:4" x14ac:dyDescent="0.35">
      <c r="A3866" t="s">
        <v>73</v>
      </c>
      <c r="B3866" s="88">
        <v>45337</v>
      </c>
      <c r="C3866">
        <v>20.883051589343602</v>
      </c>
      <c r="D3866" t="s">
        <v>241</v>
      </c>
    </row>
    <row r="3867" spans="1:4" x14ac:dyDescent="0.35">
      <c r="A3867" t="s">
        <v>73</v>
      </c>
      <c r="B3867" s="88">
        <v>45427</v>
      </c>
      <c r="C3867">
        <v>21.429302764145302</v>
      </c>
      <c r="D3867" t="s">
        <v>241</v>
      </c>
    </row>
    <row r="3868" spans="1:4" x14ac:dyDescent="0.35">
      <c r="A3868" t="s">
        <v>73</v>
      </c>
      <c r="B3868" s="88">
        <v>45519</v>
      </c>
      <c r="C3868">
        <v>21.519098236534401</v>
      </c>
      <c r="D3868" t="s">
        <v>241</v>
      </c>
    </row>
    <row r="3869" spans="1:4" x14ac:dyDescent="0.35">
      <c r="A3869" t="s">
        <v>73</v>
      </c>
      <c r="B3869" s="88">
        <v>45611</v>
      </c>
      <c r="C3869">
        <v>22.028685858519101</v>
      </c>
      <c r="D3869" t="s">
        <v>241</v>
      </c>
    </row>
    <row r="3870" spans="1:4" x14ac:dyDescent="0.35">
      <c r="A3870" t="s">
        <v>73</v>
      </c>
      <c r="B3870" s="88">
        <v>45703</v>
      </c>
      <c r="C3870">
        <v>22.24909855181</v>
      </c>
      <c r="D3870" t="s">
        <v>241</v>
      </c>
    </row>
    <row r="3871" spans="1:4" x14ac:dyDescent="0.35">
      <c r="A3871" t="s">
        <v>73</v>
      </c>
      <c r="B3871" s="88">
        <v>45792</v>
      </c>
      <c r="C3871">
        <v>23.9228548733251</v>
      </c>
      <c r="D3871" t="s">
        <v>241</v>
      </c>
    </row>
    <row r="3872" spans="1:4" x14ac:dyDescent="0.35">
      <c r="A3872" t="s">
        <v>73</v>
      </c>
      <c r="B3872" s="88">
        <v>45884</v>
      </c>
      <c r="C3872">
        <v>24.006888018272299</v>
      </c>
      <c r="D3872" t="s">
        <v>241</v>
      </c>
    </row>
    <row r="3873" spans="1:4" x14ac:dyDescent="0.35">
      <c r="A3873" t="s">
        <v>73</v>
      </c>
      <c r="B3873" s="88">
        <v>45976</v>
      </c>
      <c r="C3873">
        <v>23.8453789005865</v>
      </c>
      <c r="D3873" t="s">
        <v>241</v>
      </c>
    </row>
    <row r="3874" spans="1:4" x14ac:dyDescent="0.35">
      <c r="A3874" t="s">
        <v>73</v>
      </c>
      <c r="B3874" s="88">
        <v>46068</v>
      </c>
      <c r="C3874">
        <v>25.420866836921501</v>
      </c>
      <c r="D3874" t="s">
        <v>241</v>
      </c>
    </row>
    <row r="3875" spans="1:4" x14ac:dyDescent="0.35">
      <c r="A3875" t="s">
        <v>73</v>
      </c>
      <c r="B3875" s="88">
        <v>46157</v>
      </c>
      <c r="C3875">
        <v>25.028130902139601</v>
      </c>
      <c r="D3875" t="s">
        <v>241</v>
      </c>
    </row>
    <row r="3876" spans="1:4" x14ac:dyDescent="0.35">
      <c r="A3876" t="s">
        <v>73</v>
      </c>
      <c r="B3876" s="88">
        <v>46249</v>
      </c>
      <c r="C3876">
        <v>25.156166163838201</v>
      </c>
      <c r="D3876" t="s">
        <v>241</v>
      </c>
    </row>
    <row r="3877" spans="1:4" x14ac:dyDescent="0.35">
      <c r="A3877" t="s">
        <v>82</v>
      </c>
      <c r="B3877" s="88">
        <v>43511</v>
      </c>
      <c r="C3877">
        <v>19.151410166114484</v>
      </c>
      <c r="D3877" t="s">
        <v>241</v>
      </c>
    </row>
    <row r="3878" spans="1:4" x14ac:dyDescent="0.35">
      <c r="A3878" t="s">
        <v>82</v>
      </c>
      <c r="B3878" s="88">
        <v>43600</v>
      </c>
      <c r="C3878">
        <v>19.413669674332393</v>
      </c>
      <c r="D3878" t="s">
        <v>241</v>
      </c>
    </row>
    <row r="3879" spans="1:4" x14ac:dyDescent="0.35">
      <c r="A3879" t="s">
        <v>82</v>
      </c>
      <c r="B3879" s="88">
        <v>43692</v>
      </c>
      <c r="C3879">
        <v>19.3961474932056</v>
      </c>
      <c r="D3879" t="s">
        <v>241</v>
      </c>
    </row>
    <row r="3880" spans="1:4" x14ac:dyDescent="0.35">
      <c r="A3880" t="s">
        <v>82</v>
      </c>
      <c r="B3880" s="88">
        <v>43784</v>
      </c>
      <c r="C3880">
        <v>19.789906660372271</v>
      </c>
      <c r="D3880" t="s">
        <v>241</v>
      </c>
    </row>
    <row r="3881" spans="1:4" x14ac:dyDescent="0.35">
      <c r="A3881" t="s">
        <v>82</v>
      </c>
      <c r="B3881" s="88">
        <v>43876</v>
      </c>
      <c r="C3881">
        <v>19.897187471707692</v>
      </c>
      <c r="D3881" t="s">
        <v>241</v>
      </c>
    </row>
    <row r="3882" spans="1:4" x14ac:dyDescent="0.35">
      <c r="A3882" t="s">
        <v>82</v>
      </c>
      <c r="B3882" s="88">
        <v>43966</v>
      </c>
      <c r="C3882">
        <v>20.575017473960294</v>
      </c>
      <c r="D3882" t="s">
        <v>241</v>
      </c>
    </row>
    <row r="3883" spans="1:4" x14ac:dyDescent="0.35">
      <c r="A3883" t="s">
        <v>82</v>
      </c>
      <c r="B3883" s="88">
        <v>44058</v>
      </c>
      <c r="C3883">
        <v>20.559057920909872</v>
      </c>
      <c r="D3883" t="s">
        <v>241</v>
      </c>
    </row>
    <row r="3884" spans="1:4" x14ac:dyDescent="0.35">
      <c r="A3884" t="s">
        <v>82</v>
      </c>
      <c r="B3884" s="88">
        <v>44150</v>
      </c>
      <c r="C3884">
        <v>20.517276272054438</v>
      </c>
      <c r="D3884" t="s">
        <v>241</v>
      </c>
    </row>
    <row r="3885" spans="1:4" x14ac:dyDescent="0.35">
      <c r="A3885" t="s">
        <v>82</v>
      </c>
      <c r="B3885" s="88">
        <v>44242</v>
      </c>
      <c r="C3885">
        <v>20.571343496290233</v>
      </c>
      <c r="D3885" t="s">
        <v>241</v>
      </c>
    </row>
    <row r="3886" spans="1:4" x14ac:dyDescent="0.35">
      <c r="A3886" t="s">
        <v>82</v>
      </c>
      <c r="B3886" s="88">
        <v>44331</v>
      </c>
      <c r="C3886">
        <v>20.924437740598893</v>
      </c>
      <c r="D3886" t="s">
        <v>241</v>
      </c>
    </row>
    <row r="3887" spans="1:4" x14ac:dyDescent="0.35">
      <c r="A3887" t="s">
        <v>82</v>
      </c>
      <c r="B3887" s="88">
        <v>44423</v>
      </c>
      <c r="C3887">
        <v>21.093734444080756</v>
      </c>
      <c r="D3887" t="s">
        <v>241</v>
      </c>
    </row>
    <row r="3888" spans="1:4" x14ac:dyDescent="0.35">
      <c r="A3888" t="s">
        <v>82</v>
      </c>
      <c r="B3888" s="88">
        <v>44515</v>
      </c>
      <c r="C3888">
        <v>21.250046436699321</v>
      </c>
      <c r="D3888" t="s">
        <v>241</v>
      </c>
    </row>
    <row r="3889" spans="1:4" x14ac:dyDescent="0.35">
      <c r="A3889" t="s">
        <v>82</v>
      </c>
      <c r="B3889" s="88">
        <v>44607</v>
      </c>
      <c r="C3889">
        <v>21.691202410978072</v>
      </c>
      <c r="D3889" t="s">
        <v>241</v>
      </c>
    </row>
    <row r="3890" spans="1:4" x14ac:dyDescent="0.35">
      <c r="A3890" t="s">
        <v>82</v>
      </c>
      <c r="B3890" s="88">
        <v>44696</v>
      </c>
      <c r="C3890">
        <v>21.380668716725289</v>
      </c>
      <c r="D3890" t="s">
        <v>241</v>
      </c>
    </row>
    <row r="3891" spans="1:4" x14ac:dyDescent="0.35">
      <c r="A3891" t="s">
        <v>82</v>
      </c>
      <c r="B3891" s="88">
        <v>44788</v>
      </c>
      <c r="C3891">
        <v>21.273953375988405</v>
      </c>
      <c r="D3891" t="s">
        <v>241</v>
      </c>
    </row>
    <row r="3892" spans="1:4" x14ac:dyDescent="0.35">
      <c r="A3892" t="s">
        <v>82</v>
      </c>
      <c r="B3892" s="88">
        <v>44880</v>
      </c>
      <c r="C3892">
        <v>21.467200807218028</v>
      </c>
      <c r="D3892" t="s">
        <v>241</v>
      </c>
    </row>
    <row r="3893" spans="1:4" x14ac:dyDescent="0.35">
      <c r="A3893" t="s">
        <v>82</v>
      </c>
      <c r="B3893" s="88">
        <v>44972</v>
      </c>
      <c r="C3893">
        <v>21.793980945334859</v>
      </c>
      <c r="D3893" t="s">
        <v>241</v>
      </c>
    </row>
    <row r="3894" spans="1:4" x14ac:dyDescent="0.35">
      <c r="A3894" t="s">
        <v>82</v>
      </c>
      <c r="B3894" s="88">
        <v>45061</v>
      </c>
      <c r="C3894">
        <v>21.440170669376599</v>
      </c>
      <c r="D3894" t="s">
        <v>241</v>
      </c>
    </row>
    <row r="3895" spans="1:4" x14ac:dyDescent="0.35">
      <c r="A3895" t="s">
        <v>82</v>
      </c>
      <c r="B3895" s="88">
        <v>45153</v>
      </c>
      <c r="C3895">
        <v>21.848453901695599</v>
      </c>
      <c r="D3895" t="s">
        <v>241</v>
      </c>
    </row>
    <row r="3896" spans="1:4" x14ac:dyDescent="0.35">
      <c r="A3896" t="s">
        <v>82</v>
      </c>
      <c r="B3896" s="88">
        <v>45245</v>
      </c>
      <c r="C3896">
        <v>21.803483128979401</v>
      </c>
      <c r="D3896" t="s">
        <v>241</v>
      </c>
    </row>
    <row r="3897" spans="1:4" x14ac:dyDescent="0.35">
      <c r="A3897" t="s">
        <v>82</v>
      </c>
      <c r="B3897" s="88">
        <v>45337</v>
      </c>
      <c r="C3897">
        <v>22.2224901047088</v>
      </c>
      <c r="D3897" t="s">
        <v>241</v>
      </c>
    </row>
    <row r="3898" spans="1:4" x14ac:dyDescent="0.35">
      <c r="A3898" t="s">
        <v>82</v>
      </c>
      <c r="B3898" s="88">
        <v>45427</v>
      </c>
      <c r="C3898">
        <v>22.327093983668899</v>
      </c>
      <c r="D3898" t="s">
        <v>241</v>
      </c>
    </row>
    <row r="3899" spans="1:4" x14ac:dyDescent="0.35">
      <c r="A3899" t="s">
        <v>82</v>
      </c>
      <c r="B3899" s="88">
        <v>45519</v>
      </c>
      <c r="C3899">
        <v>23.117530535077599</v>
      </c>
      <c r="D3899" t="s">
        <v>241</v>
      </c>
    </row>
    <row r="3900" spans="1:4" x14ac:dyDescent="0.35">
      <c r="A3900" t="s">
        <v>82</v>
      </c>
      <c r="B3900" s="88">
        <v>45611</v>
      </c>
      <c r="C3900">
        <v>23.393151801415101</v>
      </c>
      <c r="D3900" t="s">
        <v>241</v>
      </c>
    </row>
    <row r="3901" spans="1:4" x14ac:dyDescent="0.35">
      <c r="A3901" t="s">
        <v>82</v>
      </c>
      <c r="B3901" s="88">
        <v>45703</v>
      </c>
      <c r="C3901">
        <v>23.857410824736</v>
      </c>
      <c r="D3901" t="s">
        <v>241</v>
      </c>
    </row>
    <row r="3902" spans="1:4" x14ac:dyDescent="0.35">
      <c r="A3902" t="s">
        <v>82</v>
      </c>
      <c r="B3902" s="88">
        <v>45792</v>
      </c>
      <c r="C3902">
        <v>24.5031205219626</v>
      </c>
      <c r="D3902" t="s">
        <v>241</v>
      </c>
    </row>
    <row r="3903" spans="1:4" x14ac:dyDescent="0.35">
      <c r="A3903" t="s">
        <v>82</v>
      </c>
      <c r="B3903" s="88">
        <v>45884</v>
      </c>
      <c r="C3903">
        <v>24.9330867395567</v>
      </c>
      <c r="D3903" t="s">
        <v>241</v>
      </c>
    </row>
    <row r="3904" spans="1:4" x14ac:dyDescent="0.35">
      <c r="A3904" t="s">
        <v>82</v>
      </c>
      <c r="B3904" s="88">
        <v>45976</v>
      </c>
      <c r="C3904">
        <v>24.7764699165606</v>
      </c>
      <c r="D3904" t="s">
        <v>241</v>
      </c>
    </row>
    <row r="3905" spans="1:4" x14ac:dyDescent="0.35">
      <c r="A3905" t="s">
        <v>82</v>
      </c>
      <c r="B3905" s="88">
        <v>46068</v>
      </c>
      <c r="C3905">
        <v>26.425121502874099</v>
      </c>
      <c r="D3905" t="s">
        <v>241</v>
      </c>
    </row>
    <row r="3906" spans="1:4" x14ac:dyDescent="0.35">
      <c r="A3906" t="s">
        <v>82</v>
      </c>
      <c r="B3906" s="88">
        <v>46157</v>
      </c>
      <c r="C3906">
        <v>27.024564306256298</v>
      </c>
      <c r="D3906" t="s">
        <v>241</v>
      </c>
    </row>
    <row r="3907" spans="1:4" x14ac:dyDescent="0.35">
      <c r="A3907" t="s">
        <v>82</v>
      </c>
      <c r="B3907" s="88">
        <v>46249</v>
      </c>
      <c r="C3907">
        <v>27.157708865075001</v>
      </c>
      <c r="D3907" t="s">
        <v>241</v>
      </c>
    </row>
    <row r="3908" spans="1:4" x14ac:dyDescent="0.35">
      <c r="A3908" t="s">
        <v>76</v>
      </c>
      <c r="B3908" s="88">
        <v>43511</v>
      </c>
      <c r="C3908">
        <v>17.520936804434672</v>
      </c>
      <c r="D3908" t="s">
        <v>241</v>
      </c>
    </row>
    <row r="3909" spans="1:4" x14ac:dyDescent="0.35">
      <c r="A3909" t="s">
        <v>76</v>
      </c>
      <c r="B3909" s="88">
        <v>43600</v>
      </c>
      <c r="C3909">
        <v>18.610050242308475</v>
      </c>
      <c r="D3909" t="s">
        <v>241</v>
      </c>
    </row>
    <row r="3910" spans="1:4" x14ac:dyDescent="0.35">
      <c r="A3910" t="s">
        <v>76</v>
      </c>
      <c r="B3910" s="88">
        <v>43692</v>
      </c>
      <c r="C3910">
        <v>18.483103095778031</v>
      </c>
      <c r="D3910" t="s">
        <v>241</v>
      </c>
    </row>
    <row r="3911" spans="1:4" x14ac:dyDescent="0.35">
      <c r="A3911" t="s">
        <v>76</v>
      </c>
      <c r="B3911" s="88">
        <v>43784</v>
      </c>
      <c r="C3911">
        <v>19.138186470468778</v>
      </c>
      <c r="D3911" t="s">
        <v>241</v>
      </c>
    </row>
    <row r="3912" spans="1:4" x14ac:dyDescent="0.35">
      <c r="A3912" t="s">
        <v>76</v>
      </c>
      <c r="B3912" s="88">
        <v>43876</v>
      </c>
      <c r="C3912">
        <v>19.251177354449847</v>
      </c>
      <c r="D3912" t="s">
        <v>241</v>
      </c>
    </row>
    <row r="3913" spans="1:4" x14ac:dyDescent="0.35">
      <c r="A3913" t="s">
        <v>76</v>
      </c>
      <c r="B3913" s="88">
        <v>43966</v>
      </c>
      <c r="C3913">
        <v>20.166425700126517</v>
      </c>
      <c r="D3913" t="s">
        <v>241</v>
      </c>
    </row>
    <row r="3914" spans="1:4" x14ac:dyDescent="0.35">
      <c r="A3914" t="s">
        <v>76</v>
      </c>
      <c r="B3914" s="88">
        <v>44058</v>
      </c>
      <c r="C3914">
        <v>20.040737491921448</v>
      </c>
      <c r="D3914" t="s">
        <v>241</v>
      </c>
    </row>
    <row r="3915" spans="1:4" x14ac:dyDescent="0.35">
      <c r="A3915" t="s">
        <v>76</v>
      </c>
      <c r="B3915" s="88">
        <v>44150</v>
      </c>
      <c r="C3915">
        <v>19.856083397702548</v>
      </c>
      <c r="D3915" t="s">
        <v>241</v>
      </c>
    </row>
    <row r="3916" spans="1:4" x14ac:dyDescent="0.35">
      <c r="A3916" t="s">
        <v>76</v>
      </c>
      <c r="B3916" s="88">
        <v>44242</v>
      </c>
      <c r="C3916">
        <v>19.999446579724541</v>
      </c>
      <c r="D3916" t="s">
        <v>241</v>
      </c>
    </row>
    <row r="3917" spans="1:4" x14ac:dyDescent="0.35">
      <c r="A3917" t="s">
        <v>76</v>
      </c>
      <c r="B3917" s="88">
        <v>44331</v>
      </c>
      <c r="C3917">
        <v>20.002277252971062</v>
      </c>
      <c r="D3917" t="s">
        <v>241</v>
      </c>
    </row>
    <row r="3918" spans="1:4" x14ac:dyDescent="0.35">
      <c r="A3918" t="s">
        <v>76</v>
      </c>
      <c r="B3918" s="88">
        <v>44423</v>
      </c>
      <c r="C3918">
        <v>20.200921992520044</v>
      </c>
      <c r="D3918" t="s">
        <v>241</v>
      </c>
    </row>
    <row r="3919" spans="1:4" x14ac:dyDescent="0.35">
      <c r="A3919" t="s">
        <v>76</v>
      </c>
      <c r="B3919" s="88">
        <v>44515</v>
      </c>
      <c r="C3919">
        <v>20.451626620598866</v>
      </c>
      <c r="D3919" t="s">
        <v>241</v>
      </c>
    </row>
    <row r="3920" spans="1:4" x14ac:dyDescent="0.35">
      <c r="A3920" t="s">
        <v>76</v>
      </c>
      <c r="B3920" s="88">
        <v>44607</v>
      </c>
      <c r="C3920">
        <v>20.909830518358575</v>
      </c>
      <c r="D3920" t="s">
        <v>241</v>
      </c>
    </row>
    <row r="3921" spans="1:4" x14ac:dyDescent="0.35">
      <c r="A3921" t="s">
        <v>76</v>
      </c>
      <c r="B3921" s="88">
        <v>44696</v>
      </c>
      <c r="C3921">
        <v>21.233858160171877</v>
      </c>
      <c r="D3921" t="s">
        <v>241</v>
      </c>
    </row>
    <row r="3922" spans="1:4" x14ac:dyDescent="0.35">
      <c r="A3922" t="s">
        <v>76</v>
      </c>
      <c r="B3922" s="88">
        <v>44788</v>
      </c>
      <c r="C3922">
        <v>21.337998647370995</v>
      </c>
      <c r="D3922" t="s">
        <v>241</v>
      </c>
    </row>
    <row r="3923" spans="1:4" x14ac:dyDescent="0.35">
      <c r="A3923" t="s">
        <v>76</v>
      </c>
      <c r="B3923" s="88">
        <v>44880</v>
      </c>
      <c r="C3923">
        <v>21.152989259847001</v>
      </c>
      <c r="D3923" t="s">
        <v>241</v>
      </c>
    </row>
    <row r="3924" spans="1:4" x14ac:dyDescent="0.35">
      <c r="A3924" t="s">
        <v>76</v>
      </c>
      <c r="B3924" s="88">
        <v>44972</v>
      </c>
      <c r="C3924">
        <v>21.716126745079336</v>
      </c>
      <c r="D3924" t="s">
        <v>241</v>
      </c>
    </row>
    <row r="3925" spans="1:4" x14ac:dyDescent="0.35">
      <c r="A3925" t="s">
        <v>76</v>
      </c>
      <c r="B3925" s="88">
        <v>45061</v>
      </c>
      <c r="C3925">
        <v>21.319677594225698</v>
      </c>
      <c r="D3925" t="s">
        <v>241</v>
      </c>
    </row>
    <row r="3926" spans="1:4" x14ac:dyDescent="0.35">
      <c r="A3926" t="s">
        <v>76</v>
      </c>
      <c r="B3926" s="88">
        <v>45153</v>
      </c>
      <c r="C3926">
        <v>21.462307560294899</v>
      </c>
      <c r="D3926" t="s">
        <v>241</v>
      </c>
    </row>
    <row r="3927" spans="1:4" x14ac:dyDescent="0.35">
      <c r="A3927" t="s">
        <v>76</v>
      </c>
      <c r="B3927" s="88">
        <v>45245</v>
      </c>
      <c r="C3927">
        <v>21.622244637786402</v>
      </c>
      <c r="D3927" t="s">
        <v>241</v>
      </c>
    </row>
    <row r="3928" spans="1:4" x14ac:dyDescent="0.35">
      <c r="A3928" t="s">
        <v>76</v>
      </c>
      <c r="B3928" s="88">
        <v>45337</v>
      </c>
      <c r="C3928">
        <v>21.644969601909398</v>
      </c>
      <c r="D3928" t="s">
        <v>241</v>
      </c>
    </row>
    <row r="3929" spans="1:4" x14ac:dyDescent="0.35">
      <c r="A3929" t="s">
        <v>76</v>
      </c>
      <c r="B3929" s="88">
        <v>45427</v>
      </c>
      <c r="C3929">
        <v>21.7762971423425</v>
      </c>
      <c r="D3929" t="s">
        <v>241</v>
      </c>
    </row>
    <row r="3930" spans="1:4" x14ac:dyDescent="0.35">
      <c r="A3930" t="s">
        <v>76</v>
      </c>
      <c r="B3930" s="88">
        <v>45519</v>
      </c>
      <c r="C3930">
        <v>21.781084355595301</v>
      </c>
      <c r="D3930" t="s">
        <v>241</v>
      </c>
    </row>
    <row r="3931" spans="1:4" x14ac:dyDescent="0.35">
      <c r="A3931" t="s">
        <v>76</v>
      </c>
      <c r="B3931" s="88">
        <v>45611</v>
      </c>
      <c r="C3931">
        <v>22.1054950187666</v>
      </c>
      <c r="D3931" t="s">
        <v>241</v>
      </c>
    </row>
    <row r="3932" spans="1:4" x14ac:dyDescent="0.35">
      <c r="A3932" t="s">
        <v>76</v>
      </c>
      <c r="B3932" s="88">
        <v>45703</v>
      </c>
      <c r="C3932">
        <v>22.327999000400599</v>
      </c>
      <c r="D3932" t="s">
        <v>241</v>
      </c>
    </row>
    <row r="3933" spans="1:4" x14ac:dyDescent="0.35">
      <c r="A3933" t="s">
        <v>76</v>
      </c>
      <c r="B3933" s="88">
        <v>45792</v>
      </c>
      <c r="C3933">
        <v>23.795841711008201</v>
      </c>
      <c r="D3933" t="s">
        <v>241</v>
      </c>
    </row>
    <row r="3934" spans="1:4" x14ac:dyDescent="0.35">
      <c r="A3934" t="s">
        <v>76</v>
      </c>
      <c r="B3934" s="88">
        <v>45884</v>
      </c>
      <c r="C3934">
        <v>23.888777662896999</v>
      </c>
      <c r="D3934" t="s">
        <v>241</v>
      </c>
    </row>
    <row r="3935" spans="1:4" x14ac:dyDescent="0.35">
      <c r="A3935" t="s">
        <v>76</v>
      </c>
      <c r="B3935" s="88">
        <v>45976</v>
      </c>
      <c r="C3935">
        <v>23.892487467094099</v>
      </c>
      <c r="D3935" t="s">
        <v>241</v>
      </c>
    </row>
    <row r="3936" spans="1:4" x14ac:dyDescent="0.35">
      <c r="A3936" t="s">
        <v>76</v>
      </c>
      <c r="B3936" s="88">
        <v>46068</v>
      </c>
      <c r="C3936">
        <v>25.586135526207599</v>
      </c>
      <c r="D3936" t="s">
        <v>241</v>
      </c>
    </row>
    <row r="3937" spans="1:4" x14ac:dyDescent="0.35">
      <c r="A3937" t="s">
        <v>76</v>
      </c>
      <c r="B3937" s="88">
        <v>46157</v>
      </c>
      <c r="C3937">
        <v>24.7435638184703</v>
      </c>
      <c r="D3937" t="s">
        <v>241</v>
      </c>
    </row>
    <row r="3938" spans="1:4" x14ac:dyDescent="0.35">
      <c r="A3938" t="s">
        <v>76</v>
      </c>
      <c r="B3938" s="88">
        <v>46249</v>
      </c>
      <c r="C3938">
        <v>24.768869274266599</v>
      </c>
      <c r="D3938" t="s">
        <v>241</v>
      </c>
    </row>
    <row r="3939" spans="1:4" x14ac:dyDescent="0.35">
      <c r="A3939" t="s">
        <v>75</v>
      </c>
      <c r="B3939" s="88">
        <v>43511</v>
      </c>
      <c r="C3939">
        <v>17.163040728405967</v>
      </c>
      <c r="D3939" t="s">
        <v>241</v>
      </c>
    </row>
    <row r="3940" spans="1:4" x14ac:dyDescent="0.35">
      <c r="A3940" t="s">
        <v>75</v>
      </c>
      <c r="B3940" s="88">
        <v>43600</v>
      </c>
      <c r="C3940">
        <v>17.344977202247271</v>
      </c>
      <c r="D3940" t="s">
        <v>241</v>
      </c>
    </row>
    <row r="3941" spans="1:4" x14ac:dyDescent="0.35">
      <c r="A3941" t="s">
        <v>75</v>
      </c>
      <c r="B3941" s="88">
        <v>43692</v>
      </c>
      <c r="C3941">
        <v>17.387951592597808</v>
      </c>
      <c r="D3941" t="s">
        <v>241</v>
      </c>
    </row>
    <row r="3942" spans="1:4" x14ac:dyDescent="0.35">
      <c r="A3942" t="s">
        <v>75</v>
      </c>
      <c r="B3942" s="88">
        <v>43784</v>
      </c>
      <c r="C3942">
        <v>18.137762997655805</v>
      </c>
      <c r="D3942" t="s">
        <v>241</v>
      </c>
    </row>
    <row r="3943" spans="1:4" x14ac:dyDescent="0.35">
      <c r="A3943" t="s">
        <v>75</v>
      </c>
      <c r="B3943" s="88">
        <v>43876</v>
      </c>
      <c r="C3943">
        <v>18.32478293427036</v>
      </c>
      <c r="D3943" t="s">
        <v>241</v>
      </c>
    </row>
    <row r="3944" spans="1:4" x14ac:dyDescent="0.35">
      <c r="A3944" t="s">
        <v>75</v>
      </c>
      <c r="B3944" s="88">
        <v>43966</v>
      </c>
      <c r="C3944">
        <v>19.247879003961376</v>
      </c>
      <c r="D3944" t="s">
        <v>241</v>
      </c>
    </row>
    <row r="3945" spans="1:4" x14ac:dyDescent="0.35">
      <c r="A3945" t="s">
        <v>75</v>
      </c>
      <c r="B3945" s="88">
        <v>44058</v>
      </c>
      <c r="C3945">
        <v>19.046999760309422</v>
      </c>
      <c r="D3945" t="s">
        <v>241</v>
      </c>
    </row>
    <row r="3946" spans="1:4" x14ac:dyDescent="0.35">
      <c r="A3946" t="s">
        <v>75</v>
      </c>
      <c r="B3946" s="88">
        <v>44150</v>
      </c>
      <c r="C3946">
        <v>19.048946581834908</v>
      </c>
      <c r="D3946" t="s">
        <v>241</v>
      </c>
    </row>
    <row r="3947" spans="1:4" x14ac:dyDescent="0.35">
      <c r="A3947" t="s">
        <v>75</v>
      </c>
      <c r="B3947" s="88">
        <v>44242</v>
      </c>
      <c r="C3947">
        <v>19.239685270833977</v>
      </c>
      <c r="D3947" t="s">
        <v>241</v>
      </c>
    </row>
    <row r="3948" spans="1:4" x14ac:dyDescent="0.35">
      <c r="A3948" t="s">
        <v>75</v>
      </c>
      <c r="B3948" s="88">
        <v>44331</v>
      </c>
      <c r="C3948">
        <v>18.778571780688335</v>
      </c>
      <c r="D3948" t="s">
        <v>241</v>
      </c>
    </row>
    <row r="3949" spans="1:4" x14ac:dyDescent="0.35">
      <c r="A3949" t="s">
        <v>75</v>
      </c>
      <c r="B3949" s="88">
        <v>44423</v>
      </c>
      <c r="C3949">
        <v>18.825330385487419</v>
      </c>
      <c r="D3949" t="s">
        <v>241</v>
      </c>
    </row>
    <row r="3950" spans="1:4" x14ac:dyDescent="0.35">
      <c r="A3950" t="s">
        <v>75</v>
      </c>
      <c r="B3950" s="88">
        <v>44515</v>
      </c>
      <c r="C3950">
        <v>19.168522695012157</v>
      </c>
      <c r="D3950" t="s">
        <v>241</v>
      </c>
    </row>
    <row r="3951" spans="1:4" x14ac:dyDescent="0.35">
      <c r="A3951" t="s">
        <v>75</v>
      </c>
      <c r="B3951" s="88">
        <v>44607</v>
      </c>
      <c r="C3951">
        <v>19.540309371311398</v>
      </c>
      <c r="D3951" t="s">
        <v>241</v>
      </c>
    </row>
    <row r="3952" spans="1:4" x14ac:dyDescent="0.35">
      <c r="A3952" t="s">
        <v>75</v>
      </c>
      <c r="B3952" s="88">
        <v>44696</v>
      </c>
      <c r="C3952">
        <v>20.437190548268113</v>
      </c>
      <c r="D3952" t="s">
        <v>241</v>
      </c>
    </row>
    <row r="3953" spans="1:4" x14ac:dyDescent="0.35">
      <c r="A3953" t="s">
        <v>75</v>
      </c>
      <c r="B3953" s="88">
        <v>44788</v>
      </c>
      <c r="C3953">
        <v>20.490287828784201</v>
      </c>
      <c r="D3953" t="s">
        <v>241</v>
      </c>
    </row>
    <row r="3954" spans="1:4" x14ac:dyDescent="0.35">
      <c r="A3954" t="s">
        <v>75</v>
      </c>
      <c r="B3954" s="88">
        <v>44880</v>
      </c>
      <c r="C3954">
        <v>20.484262089985201</v>
      </c>
      <c r="D3954" t="s">
        <v>241</v>
      </c>
    </row>
    <row r="3955" spans="1:4" x14ac:dyDescent="0.35">
      <c r="A3955" t="s">
        <v>75</v>
      </c>
      <c r="B3955" s="88">
        <v>44972</v>
      </c>
      <c r="C3955">
        <v>20.953681983905017</v>
      </c>
      <c r="D3955" t="s">
        <v>241</v>
      </c>
    </row>
    <row r="3956" spans="1:4" x14ac:dyDescent="0.35">
      <c r="A3956" t="s">
        <v>75</v>
      </c>
      <c r="B3956" s="88">
        <v>45061</v>
      </c>
      <c r="C3956">
        <v>21.028846797373699</v>
      </c>
      <c r="D3956" t="s">
        <v>241</v>
      </c>
    </row>
    <row r="3957" spans="1:4" x14ac:dyDescent="0.35">
      <c r="A3957" t="s">
        <v>75</v>
      </c>
      <c r="B3957" s="88">
        <v>45153</v>
      </c>
      <c r="C3957">
        <v>21.399972921460101</v>
      </c>
      <c r="D3957" t="s">
        <v>241</v>
      </c>
    </row>
    <row r="3958" spans="1:4" x14ac:dyDescent="0.35">
      <c r="A3958" t="s">
        <v>75</v>
      </c>
      <c r="B3958" s="88">
        <v>45245</v>
      </c>
      <c r="C3958">
        <v>21.6126204280135</v>
      </c>
      <c r="D3958" t="s">
        <v>241</v>
      </c>
    </row>
    <row r="3959" spans="1:4" x14ac:dyDescent="0.35">
      <c r="A3959" t="s">
        <v>75</v>
      </c>
      <c r="B3959" s="88">
        <v>45337</v>
      </c>
      <c r="C3959">
        <v>21.289972272796501</v>
      </c>
      <c r="D3959" t="s">
        <v>241</v>
      </c>
    </row>
    <row r="3960" spans="1:4" x14ac:dyDescent="0.35">
      <c r="A3960" t="s">
        <v>75</v>
      </c>
      <c r="B3960" s="88">
        <v>45427</v>
      </c>
      <c r="C3960">
        <v>21.477243901391098</v>
      </c>
      <c r="D3960" t="s">
        <v>241</v>
      </c>
    </row>
    <row r="3961" spans="1:4" x14ac:dyDescent="0.35">
      <c r="A3961" t="s">
        <v>75</v>
      </c>
      <c r="B3961" s="88">
        <v>45519</v>
      </c>
      <c r="C3961">
        <v>21.842558801869099</v>
      </c>
      <c r="D3961" t="s">
        <v>241</v>
      </c>
    </row>
    <row r="3962" spans="1:4" x14ac:dyDescent="0.35">
      <c r="A3962" t="s">
        <v>75</v>
      </c>
      <c r="B3962" s="88">
        <v>45611</v>
      </c>
      <c r="C3962">
        <v>22.2496844699535</v>
      </c>
      <c r="D3962" t="s">
        <v>241</v>
      </c>
    </row>
    <row r="3963" spans="1:4" x14ac:dyDescent="0.35">
      <c r="A3963" t="s">
        <v>75</v>
      </c>
      <c r="B3963" s="88">
        <v>45703</v>
      </c>
      <c r="C3963">
        <v>22.3572944232269</v>
      </c>
      <c r="D3963" t="s">
        <v>241</v>
      </c>
    </row>
    <row r="3964" spans="1:4" x14ac:dyDescent="0.35">
      <c r="A3964" t="s">
        <v>75</v>
      </c>
      <c r="B3964" s="88">
        <v>45792</v>
      </c>
      <c r="C3964">
        <v>23.461158435636701</v>
      </c>
      <c r="D3964" t="s">
        <v>241</v>
      </c>
    </row>
    <row r="3965" spans="1:4" x14ac:dyDescent="0.35">
      <c r="A3965" t="s">
        <v>75</v>
      </c>
      <c r="B3965" s="88">
        <v>45884</v>
      </c>
      <c r="C3965">
        <v>23.5185611037558</v>
      </c>
      <c r="D3965" t="s">
        <v>241</v>
      </c>
    </row>
    <row r="3966" spans="1:4" x14ac:dyDescent="0.35">
      <c r="A3966" t="s">
        <v>75</v>
      </c>
      <c r="B3966" s="88">
        <v>45976</v>
      </c>
      <c r="C3966">
        <v>23.338777239006198</v>
      </c>
      <c r="D3966" t="s">
        <v>241</v>
      </c>
    </row>
    <row r="3967" spans="1:4" x14ac:dyDescent="0.35">
      <c r="A3967" t="s">
        <v>75</v>
      </c>
      <c r="B3967" s="88">
        <v>46068</v>
      </c>
      <c r="C3967">
        <v>24.811604845966301</v>
      </c>
      <c r="D3967" t="s">
        <v>241</v>
      </c>
    </row>
    <row r="3968" spans="1:4" x14ac:dyDescent="0.35">
      <c r="A3968" t="s">
        <v>75</v>
      </c>
      <c r="B3968" s="88">
        <v>46157</v>
      </c>
      <c r="C3968">
        <v>24.7306086806081</v>
      </c>
      <c r="D3968" t="s">
        <v>241</v>
      </c>
    </row>
    <row r="3969" spans="1:4" x14ac:dyDescent="0.35">
      <c r="A3969" t="s">
        <v>75</v>
      </c>
      <c r="B3969" s="88">
        <v>46249</v>
      </c>
      <c r="C3969">
        <v>24.9175890647053</v>
      </c>
      <c r="D3969" t="s">
        <v>241</v>
      </c>
    </row>
    <row r="3970" spans="1:4" x14ac:dyDescent="0.35">
      <c r="A3970" t="s">
        <v>77</v>
      </c>
      <c r="B3970" s="88">
        <v>43511</v>
      </c>
      <c r="C3970">
        <v>21.853161865771273</v>
      </c>
      <c r="D3970" t="s">
        <v>241</v>
      </c>
    </row>
    <row r="3971" spans="1:4" x14ac:dyDescent="0.35">
      <c r="A3971" t="s">
        <v>77</v>
      </c>
      <c r="B3971" s="88">
        <v>43600</v>
      </c>
      <c r="C3971">
        <v>22.052781461415343</v>
      </c>
      <c r="D3971" t="s">
        <v>241</v>
      </c>
    </row>
    <row r="3972" spans="1:4" x14ac:dyDescent="0.35">
      <c r="A3972" t="s">
        <v>77</v>
      </c>
      <c r="B3972" s="88">
        <v>43692</v>
      </c>
      <c r="C3972">
        <v>22.110633365809583</v>
      </c>
      <c r="D3972" t="s">
        <v>241</v>
      </c>
    </row>
    <row r="3973" spans="1:4" x14ac:dyDescent="0.35">
      <c r="A3973" t="s">
        <v>77</v>
      </c>
      <c r="B3973" s="88">
        <v>43784</v>
      </c>
      <c r="C3973">
        <v>22.368180368648538</v>
      </c>
      <c r="D3973" t="s">
        <v>241</v>
      </c>
    </row>
    <row r="3974" spans="1:4" x14ac:dyDescent="0.35">
      <c r="A3974" t="s">
        <v>77</v>
      </c>
      <c r="B3974" s="88">
        <v>43876</v>
      </c>
      <c r="C3974">
        <v>22.42501738046635</v>
      </c>
      <c r="D3974" t="s">
        <v>241</v>
      </c>
    </row>
    <row r="3975" spans="1:4" x14ac:dyDescent="0.35">
      <c r="A3975" t="s">
        <v>77</v>
      </c>
      <c r="B3975" s="88">
        <v>43966</v>
      </c>
      <c r="C3975">
        <v>23.230994751088183</v>
      </c>
      <c r="D3975" t="s">
        <v>241</v>
      </c>
    </row>
    <row r="3976" spans="1:4" x14ac:dyDescent="0.35">
      <c r="A3976" t="s">
        <v>77</v>
      </c>
      <c r="B3976" s="88">
        <v>44058</v>
      </c>
      <c r="C3976">
        <v>23.167405767173044</v>
      </c>
      <c r="D3976" t="s">
        <v>241</v>
      </c>
    </row>
    <row r="3977" spans="1:4" x14ac:dyDescent="0.35">
      <c r="A3977" t="s">
        <v>77</v>
      </c>
      <c r="B3977" s="88">
        <v>44150</v>
      </c>
      <c r="C3977">
        <v>23.127203525272805</v>
      </c>
      <c r="D3977" t="s">
        <v>241</v>
      </c>
    </row>
    <row r="3978" spans="1:4" x14ac:dyDescent="0.35">
      <c r="A3978" t="s">
        <v>77</v>
      </c>
      <c r="B3978" s="88">
        <v>44242</v>
      </c>
      <c r="C3978">
        <v>23.104577347739841</v>
      </c>
      <c r="D3978" t="s">
        <v>241</v>
      </c>
    </row>
    <row r="3979" spans="1:4" x14ac:dyDescent="0.35">
      <c r="A3979" t="s">
        <v>77</v>
      </c>
      <c r="B3979" s="88">
        <v>44331</v>
      </c>
      <c r="C3979">
        <v>23.680128706945503</v>
      </c>
      <c r="D3979" t="s">
        <v>241</v>
      </c>
    </row>
    <row r="3980" spans="1:4" x14ac:dyDescent="0.35">
      <c r="A3980" t="s">
        <v>77</v>
      </c>
      <c r="B3980" s="88">
        <v>44423</v>
      </c>
      <c r="C3980">
        <v>23.746650920576812</v>
      </c>
      <c r="D3980" t="s">
        <v>241</v>
      </c>
    </row>
    <row r="3981" spans="1:4" x14ac:dyDescent="0.35">
      <c r="A3981" t="s">
        <v>77</v>
      </c>
      <c r="B3981" s="88">
        <v>44515</v>
      </c>
      <c r="C3981">
        <v>23.89996793794532</v>
      </c>
      <c r="D3981" t="s">
        <v>241</v>
      </c>
    </row>
    <row r="3982" spans="1:4" x14ac:dyDescent="0.35">
      <c r="A3982" t="s">
        <v>77</v>
      </c>
      <c r="B3982" s="88">
        <v>44607</v>
      </c>
      <c r="C3982">
        <v>24.046851050761582</v>
      </c>
      <c r="D3982" t="s">
        <v>241</v>
      </c>
    </row>
    <row r="3983" spans="1:4" x14ac:dyDescent="0.35">
      <c r="A3983" t="s">
        <v>77</v>
      </c>
      <c r="B3983" s="88">
        <v>44696</v>
      </c>
      <c r="C3983">
        <v>24.030658935048564</v>
      </c>
      <c r="D3983" t="s">
        <v>241</v>
      </c>
    </row>
    <row r="3984" spans="1:4" x14ac:dyDescent="0.35">
      <c r="A3984" t="s">
        <v>77</v>
      </c>
      <c r="B3984" s="88">
        <v>44788</v>
      </c>
      <c r="C3984">
        <v>24.3087163639251</v>
      </c>
      <c r="D3984" t="s">
        <v>241</v>
      </c>
    </row>
    <row r="3985" spans="1:4" x14ac:dyDescent="0.35">
      <c r="A3985" t="s">
        <v>77</v>
      </c>
      <c r="B3985" s="88">
        <v>44880</v>
      </c>
      <c r="C3985">
        <v>24.293088885010611</v>
      </c>
      <c r="D3985" t="s">
        <v>241</v>
      </c>
    </row>
    <row r="3986" spans="1:4" x14ac:dyDescent="0.35">
      <c r="A3986" t="s">
        <v>77</v>
      </c>
      <c r="B3986" s="88">
        <v>44972</v>
      </c>
      <c r="C3986">
        <v>24.240261845118049</v>
      </c>
      <c r="D3986" t="s">
        <v>241</v>
      </c>
    </row>
    <row r="3987" spans="1:4" x14ac:dyDescent="0.35">
      <c r="A3987" t="s">
        <v>77</v>
      </c>
      <c r="B3987" s="88">
        <v>45061</v>
      </c>
      <c r="C3987">
        <v>24.6549380823554</v>
      </c>
      <c r="D3987" t="s">
        <v>241</v>
      </c>
    </row>
    <row r="3988" spans="1:4" x14ac:dyDescent="0.35">
      <c r="A3988" t="s">
        <v>77</v>
      </c>
      <c r="B3988" s="88">
        <v>45153</v>
      </c>
      <c r="C3988">
        <v>24.8852537748682</v>
      </c>
      <c r="D3988" t="s">
        <v>241</v>
      </c>
    </row>
    <row r="3989" spans="1:4" x14ac:dyDescent="0.35">
      <c r="A3989" t="s">
        <v>77</v>
      </c>
      <c r="B3989" s="88">
        <v>45245</v>
      </c>
      <c r="C3989">
        <v>25.1251246431199</v>
      </c>
      <c r="D3989" t="s">
        <v>241</v>
      </c>
    </row>
    <row r="3990" spans="1:4" x14ac:dyDescent="0.35">
      <c r="A3990" t="s">
        <v>77</v>
      </c>
      <c r="B3990" s="88">
        <v>45337</v>
      </c>
      <c r="C3990">
        <v>25.2094407209031</v>
      </c>
      <c r="D3990" t="s">
        <v>241</v>
      </c>
    </row>
    <row r="3991" spans="1:4" x14ac:dyDescent="0.35">
      <c r="A3991" t="s">
        <v>77</v>
      </c>
      <c r="B3991" s="88">
        <v>45427</v>
      </c>
      <c r="C3991">
        <v>25.1655148470523</v>
      </c>
      <c r="D3991" t="s">
        <v>241</v>
      </c>
    </row>
    <row r="3992" spans="1:4" x14ac:dyDescent="0.35">
      <c r="A3992" t="s">
        <v>77</v>
      </c>
      <c r="B3992" s="88">
        <v>45519</v>
      </c>
      <c r="C3992">
        <v>26.5703417708947</v>
      </c>
      <c r="D3992" t="s">
        <v>241</v>
      </c>
    </row>
    <row r="3993" spans="1:4" x14ac:dyDescent="0.35">
      <c r="A3993" t="s">
        <v>77</v>
      </c>
      <c r="B3993" s="88">
        <v>45611</v>
      </c>
      <c r="C3993">
        <v>27.3141736679143</v>
      </c>
      <c r="D3993" t="s">
        <v>241</v>
      </c>
    </row>
    <row r="3994" spans="1:4" x14ac:dyDescent="0.35">
      <c r="A3994" t="s">
        <v>77</v>
      </c>
      <c r="B3994" s="88">
        <v>45703</v>
      </c>
      <c r="C3994">
        <v>27.603481513301901</v>
      </c>
      <c r="D3994" t="s">
        <v>241</v>
      </c>
    </row>
    <row r="3995" spans="1:4" x14ac:dyDescent="0.35">
      <c r="A3995" t="s">
        <v>77</v>
      </c>
      <c r="B3995" s="88">
        <v>45792</v>
      </c>
      <c r="C3995">
        <v>27.380425725230499</v>
      </c>
      <c r="D3995" t="s">
        <v>241</v>
      </c>
    </row>
    <row r="3996" spans="1:4" x14ac:dyDescent="0.35">
      <c r="A3996" t="s">
        <v>77</v>
      </c>
      <c r="B3996" s="88">
        <v>45884</v>
      </c>
      <c r="C3996">
        <v>27.436699086439699</v>
      </c>
      <c r="D3996" t="s">
        <v>241</v>
      </c>
    </row>
    <row r="3997" spans="1:4" x14ac:dyDescent="0.35">
      <c r="A3997" t="s">
        <v>77</v>
      </c>
      <c r="B3997" s="88">
        <v>45976</v>
      </c>
      <c r="C3997">
        <v>27.441986144868501</v>
      </c>
      <c r="D3997" t="s">
        <v>241</v>
      </c>
    </row>
    <row r="3998" spans="1:4" x14ac:dyDescent="0.35">
      <c r="A3998" t="s">
        <v>77</v>
      </c>
      <c r="B3998" s="88">
        <v>46068</v>
      </c>
      <c r="C3998">
        <v>28.676444096729401</v>
      </c>
      <c r="D3998" t="s">
        <v>241</v>
      </c>
    </row>
    <row r="3999" spans="1:4" x14ac:dyDescent="0.35">
      <c r="A3999" t="s">
        <v>77</v>
      </c>
      <c r="B3999" s="88">
        <v>46157</v>
      </c>
      <c r="C3999">
        <v>28.357568924007001</v>
      </c>
      <c r="D3999" t="s">
        <v>241</v>
      </c>
    </row>
    <row r="4000" spans="1:4" x14ac:dyDescent="0.35">
      <c r="A4000" t="s">
        <v>77</v>
      </c>
      <c r="B4000" s="88">
        <v>46249</v>
      </c>
      <c r="C4000">
        <v>28.592983625272801</v>
      </c>
      <c r="D4000" t="s">
        <v>241</v>
      </c>
    </row>
  </sheetData>
  <pageMargins left="0.7" right="0.7" top="0.75" bottom="0.75" header="0.3" footer="0.3"/>
  <pageSetup paperSize="8"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112A-AB56-401B-9508-DBEBB50E2FDB}">
  <dimension ref="A1:C32"/>
  <sheetViews>
    <sheetView workbookViewId="0">
      <selection activeCell="H11" sqref="H11"/>
    </sheetView>
  </sheetViews>
  <sheetFormatPr defaultRowHeight="14.5" x14ac:dyDescent="0.35"/>
  <cols>
    <col min="1" max="1" width="9.7265625" bestFit="1" customWidth="1"/>
    <col min="2" max="2" width="11.453125" bestFit="1" customWidth="1"/>
    <col min="3" max="3" width="13.7265625" style="88" bestFit="1" customWidth="1"/>
  </cols>
  <sheetData>
    <row r="1" spans="1:3" x14ac:dyDescent="0.35">
      <c r="A1" t="s">
        <v>242</v>
      </c>
      <c r="B1" t="s">
        <v>243</v>
      </c>
      <c r="C1" s="88" t="s">
        <v>244</v>
      </c>
    </row>
    <row r="2" spans="1:3" x14ac:dyDescent="0.35">
      <c r="A2" t="s">
        <v>245</v>
      </c>
      <c r="B2">
        <v>1026</v>
      </c>
      <c r="C2" s="88">
        <v>43511</v>
      </c>
    </row>
    <row r="3" spans="1:3" x14ac:dyDescent="0.35">
      <c r="A3" t="s">
        <v>246</v>
      </c>
      <c r="B3">
        <v>1032</v>
      </c>
      <c r="C3" s="88">
        <v>43600</v>
      </c>
    </row>
    <row r="4" spans="1:3" x14ac:dyDescent="0.35">
      <c r="A4" t="s">
        <v>247</v>
      </c>
      <c r="B4">
        <v>1039</v>
      </c>
      <c r="C4" s="88">
        <v>43692</v>
      </c>
    </row>
    <row r="5" spans="1:3" x14ac:dyDescent="0.35">
      <c r="A5" t="s">
        <v>248</v>
      </c>
      <c r="B5">
        <v>1044</v>
      </c>
      <c r="C5" s="88">
        <v>43784</v>
      </c>
    </row>
    <row r="6" spans="1:3" x14ac:dyDescent="0.35">
      <c r="A6" t="s">
        <v>249</v>
      </c>
      <c r="B6">
        <v>1052</v>
      </c>
      <c r="C6" s="88">
        <v>43876</v>
      </c>
    </row>
    <row r="7" spans="1:3" x14ac:dyDescent="0.35">
      <c r="A7" t="s">
        <v>250</v>
      </c>
      <c r="B7">
        <v>1047</v>
      </c>
      <c r="C7" s="88">
        <v>43966</v>
      </c>
    </row>
    <row r="8" spans="1:3" x14ac:dyDescent="0.35">
      <c r="A8" t="s">
        <v>251</v>
      </c>
      <c r="B8">
        <v>1054</v>
      </c>
      <c r="C8" s="88">
        <v>44058</v>
      </c>
    </row>
    <row r="9" spans="1:3" x14ac:dyDescent="0.35">
      <c r="A9" t="s">
        <v>252</v>
      </c>
      <c r="B9">
        <v>1059</v>
      </c>
      <c r="C9" s="88">
        <v>44150</v>
      </c>
    </row>
    <row r="10" spans="1:3" x14ac:dyDescent="0.35">
      <c r="A10" t="s">
        <v>253</v>
      </c>
      <c r="B10">
        <v>1068</v>
      </c>
      <c r="C10" s="88">
        <v>44242</v>
      </c>
    </row>
    <row r="11" spans="1:3" x14ac:dyDescent="0.35">
      <c r="A11" t="s">
        <v>254</v>
      </c>
      <c r="B11">
        <v>1082</v>
      </c>
      <c r="C11" s="88">
        <v>44331</v>
      </c>
    </row>
    <row r="12" spans="1:3" x14ac:dyDescent="0.35">
      <c r="A12" t="s">
        <v>255</v>
      </c>
      <c r="B12">
        <v>1106</v>
      </c>
      <c r="C12" s="88">
        <v>44423</v>
      </c>
    </row>
    <row r="13" spans="1:3" x14ac:dyDescent="0.35">
      <c r="A13" t="s">
        <v>256</v>
      </c>
      <c r="B13">
        <v>1122</v>
      </c>
      <c r="C13" s="88">
        <v>44515</v>
      </c>
    </row>
    <row r="14" spans="1:3" x14ac:dyDescent="0.35">
      <c r="A14" t="s">
        <v>257</v>
      </c>
      <c r="B14">
        <v>1142</v>
      </c>
      <c r="C14" s="88">
        <v>44607</v>
      </c>
    </row>
    <row r="15" spans="1:3" x14ac:dyDescent="0.35">
      <c r="A15" t="s">
        <v>258</v>
      </c>
      <c r="B15">
        <v>1161</v>
      </c>
      <c r="C15" s="88">
        <v>44696</v>
      </c>
    </row>
    <row r="16" spans="1:3" x14ac:dyDescent="0.35">
      <c r="A16" t="s">
        <v>259</v>
      </c>
      <c r="B16">
        <v>1186</v>
      </c>
      <c r="C16" s="88">
        <v>44788</v>
      </c>
    </row>
    <row r="17" spans="1:3" x14ac:dyDescent="0.35">
      <c r="A17" t="s">
        <v>260</v>
      </c>
      <c r="B17">
        <v>1203</v>
      </c>
      <c r="C17" s="88">
        <v>44880</v>
      </c>
    </row>
    <row r="18" spans="1:3" x14ac:dyDescent="0.35">
      <c r="A18" t="s">
        <v>261</v>
      </c>
      <c r="B18">
        <v>1218</v>
      </c>
      <c r="C18" s="88">
        <v>44972</v>
      </c>
    </row>
    <row r="19" spans="1:3" x14ac:dyDescent="0.35">
      <c r="A19" t="s">
        <v>262</v>
      </c>
      <c r="B19">
        <v>1231</v>
      </c>
      <c r="C19" s="88">
        <v>45061</v>
      </c>
    </row>
    <row r="20" spans="1:3" x14ac:dyDescent="0.35">
      <c r="A20" t="s">
        <v>263</v>
      </c>
      <c r="B20">
        <v>1253</v>
      </c>
      <c r="C20" s="88">
        <v>45153</v>
      </c>
    </row>
    <row r="21" spans="1:3" x14ac:dyDescent="0.35">
      <c r="A21" t="s">
        <v>264</v>
      </c>
      <c r="B21">
        <v>1259</v>
      </c>
      <c r="C21" s="88">
        <v>45245</v>
      </c>
    </row>
    <row r="22" spans="1:3" x14ac:dyDescent="0.35">
      <c r="A22" t="s">
        <v>265</v>
      </c>
      <c r="B22">
        <v>1267</v>
      </c>
      <c r="C22" s="88">
        <v>45337</v>
      </c>
    </row>
    <row r="23" spans="1:3" x14ac:dyDescent="0.35">
      <c r="A23" t="s">
        <v>266</v>
      </c>
      <c r="B23">
        <v>1272</v>
      </c>
      <c r="C23" s="88">
        <v>45427</v>
      </c>
    </row>
    <row r="24" spans="1:3" x14ac:dyDescent="0.35">
      <c r="A24" t="s">
        <v>267</v>
      </c>
      <c r="B24">
        <v>1280</v>
      </c>
      <c r="C24" s="88">
        <v>45519</v>
      </c>
    </row>
    <row r="25" spans="1:3" x14ac:dyDescent="0.35">
      <c r="A25" t="s">
        <v>268</v>
      </c>
      <c r="B25">
        <v>1287</v>
      </c>
      <c r="C25" s="88">
        <v>45611</v>
      </c>
    </row>
    <row r="26" spans="1:3" x14ac:dyDescent="0.35">
      <c r="A26" t="s">
        <v>269</v>
      </c>
      <c r="B26">
        <v>1299</v>
      </c>
      <c r="C26" s="88">
        <v>45703</v>
      </c>
    </row>
    <row r="27" spans="1:3" x14ac:dyDescent="0.35">
      <c r="A27" t="s">
        <v>270</v>
      </c>
      <c r="B27">
        <v>1306</v>
      </c>
      <c r="C27" s="88">
        <v>45792</v>
      </c>
    </row>
    <row r="28" spans="1:3" x14ac:dyDescent="0.35">
      <c r="A28" t="s">
        <v>271</v>
      </c>
      <c r="B28">
        <v>1319</v>
      </c>
      <c r="C28" s="88">
        <v>45884</v>
      </c>
    </row>
    <row r="29" spans="1:3" x14ac:dyDescent="0.35">
      <c r="A29" t="s">
        <v>272</v>
      </c>
      <c r="B29">
        <v>1327</v>
      </c>
      <c r="C29" s="88">
        <v>45976</v>
      </c>
    </row>
    <row r="30" spans="1:3" x14ac:dyDescent="0.35">
      <c r="A30" t="s">
        <v>273</v>
      </c>
      <c r="B30">
        <v>1339</v>
      </c>
      <c r="C30" s="88">
        <v>46068</v>
      </c>
    </row>
    <row r="31" spans="1:3" x14ac:dyDescent="0.35">
      <c r="A31" t="s">
        <v>274</v>
      </c>
      <c r="B31">
        <v>1359</v>
      </c>
      <c r="C31" s="88">
        <v>46157</v>
      </c>
    </row>
    <row r="32" spans="1:3" x14ac:dyDescent="0.35">
      <c r="A32" t="s">
        <v>275</v>
      </c>
      <c r="B32">
        <v>1368</v>
      </c>
      <c r="C32" s="88">
        <v>46249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249977111117893"/>
  </sheetPr>
  <dimension ref="A1:CN227"/>
  <sheetViews>
    <sheetView zoomScaleNormal="100" workbookViewId="0">
      <pane xSplit="1" topLeftCell="B1" activePane="topRight" state="frozen"/>
      <selection pane="topRight" activeCell="A96" sqref="A96"/>
    </sheetView>
  </sheetViews>
  <sheetFormatPr defaultRowHeight="14.5" x14ac:dyDescent="0.35"/>
  <cols>
    <col min="1" max="1" width="88.54296875" bestFit="1" customWidth="1"/>
    <col min="2" max="2" width="11.08984375" style="12" customWidth="1"/>
    <col min="3" max="3" width="11.7265625" style="12" customWidth="1"/>
    <col min="4" max="4" width="11.26953125" style="12" customWidth="1"/>
    <col min="5" max="5" width="11.36328125" style="12" customWidth="1"/>
    <col min="6" max="6" width="11.08984375" style="12" customWidth="1"/>
    <col min="7" max="7" width="11.7265625" style="12" customWidth="1"/>
    <col min="8" max="8" width="11.26953125" style="12" customWidth="1"/>
    <col min="9" max="9" width="11.36328125" style="12" customWidth="1"/>
    <col min="10" max="10" width="11.08984375" style="12" customWidth="1"/>
    <col min="11" max="11" width="11.7265625" style="12" customWidth="1"/>
    <col min="12" max="12" width="11.26953125" style="12" customWidth="1"/>
    <col min="13" max="13" width="11.36328125" style="12" customWidth="1"/>
    <col min="14" max="14" width="11.08984375" style="12" customWidth="1"/>
    <col min="15" max="15" width="11.7265625" style="12" customWidth="1"/>
    <col min="16" max="16" width="11.26953125" style="12" customWidth="1"/>
    <col min="17" max="17" width="11.36328125" style="12" customWidth="1"/>
    <col min="18" max="18" width="11.08984375" style="12" customWidth="1"/>
    <col min="19" max="19" width="11.7265625" style="12" customWidth="1"/>
    <col min="20" max="20" width="11.26953125" style="12" customWidth="1"/>
    <col min="21" max="21" width="11.36328125" style="12" customWidth="1"/>
    <col min="22" max="22" width="11.08984375" style="12" customWidth="1"/>
    <col min="23" max="23" width="11.7265625" style="12" customWidth="1"/>
    <col min="24" max="24" width="11.26953125" style="12" customWidth="1"/>
    <col min="25" max="25" width="11.36328125" style="12" customWidth="1"/>
    <col min="26" max="26" width="11.08984375" style="12" customWidth="1"/>
    <col min="27" max="27" width="11.7265625" style="12" customWidth="1"/>
    <col min="28" max="28" width="11.26953125" style="12" customWidth="1"/>
    <col min="29" max="29" width="11.36328125" style="12" customWidth="1"/>
    <col min="30" max="30" width="11.08984375" style="12" customWidth="1"/>
    <col min="31" max="31" width="11.7265625" style="12" customWidth="1"/>
    <col min="32" max="32" width="11.26953125" style="12" customWidth="1"/>
    <col min="33" max="33" width="11.36328125" style="12" customWidth="1"/>
    <col min="34" max="34" width="11.08984375" style="12" customWidth="1"/>
    <col min="35" max="35" width="11.7265625" style="12" customWidth="1"/>
    <col min="36" max="36" width="11.26953125" style="12" customWidth="1"/>
    <col min="37" max="37" width="11.36328125" style="12" customWidth="1"/>
    <col min="38" max="38" width="11.08984375" style="12" customWidth="1"/>
    <col min="39" max="39" width="11.7265625" style="12" customWidth="1"/>
    <col min="40" max="40" width="11.26953125" style="12" customWidth="1"/>
    <col min="41" max="41" width="11.36328125" style="12" customWidth="1"/>
    <col min="42" max="42" width="11.08984375" style="12" customWidth="1"/>
    <col min="43" max="43" width="11.7265625" style="12" customWidth="1"/>
    <col min="44" max="44" width="11.26953125" customWidth="1"/>
    <col min="45" max="45" width="11.36328125" customWidth="1"/>
    <col min="46" max="46" width="11.08984375" style="12" customWidth="1"/>
    <col min="47" max="47" width="11.7265625" customWidth="1"/>
    <col min="48" max="48" width="11.26953125" style="12" customWidth="1"/>
    <col min="49" max="49" width="11.36328125" style="12" customWidth="1"/>
    <col min="50" max="50" width="11.08984375" style="12" customWidth="1"/>
    <col min="51" max="51" width="11.7265625" style="12" customWidth="1"/>
    <col min="52" max="52" width="11.26953125" style="12" customWidth="1"/>
    <col min="53" max="53" width="11.36328125" style="12" customWidth="1"/>
    <col min="54" max="54" width="11.453125" customWidth="1"/>
    <col min="55" max="55" width="11.7265625" customWidth="1"/>
    <col min="56" max="56" width="11.26953125" customWidth="1"/>
    <col min="57" max="57" width="11.36328125" customWidth="1"/>
    <col min="58" max="58" width="11.08984375" customWidth="1"/>
    <col min="59" max="59" width="11.7265625" customWidth="1"/>
    <col min="60" max="60" width="11.26953125" customWidth="1"/>
    <col min="61" max="61" width="11.36328125" customWidth="1"/>
    <col min="62" max="62" width="11.08984375" customWidth="1"/>
    <col min="63" max="63" width="11.7265625" customWidth="1"/>
    <col min="64" max="64" width="11.26953125" customWidth="1"/>
    <col min="65" max="65" width="11.36328125" customWidth="1"/>
    <col min="66" max="66" width="11.08984375" customWidth="1"/>
    <col min="67" max="67" width="11.7265625" customWidth="1"/>
    <col min="68" max="68" width="11.26953125" customWidth="1"/>
    <col min="69" max="69" width="11.36328125" customWidth="1"/>
    <col min="70" max="70" width="11.08984375" customWidth="1"/>
    <col min="71" max="71" width="11.7265625" customWidth="1"/>
    <col min="72" max="72" width="11.26953125" customWidth="1"/>
    <col min="73" max="73" width="11.36328125" customWidth="1"/>
    <col min="74" max="74" width="11.08984375" customWidth="1"/>
    <col min="75" max="75" width="11.7265625" customWidth="1"/>
    <col min="76" max="76" width="11.26953125" customWidth="1"/>
    <col min="77" max="77" width="11.36328125" customWidth="1"/>
    <col min="78" max="78" width="11.08984375" customWidth="1"/>
    <col min="79" max="79" width="11.7265625" customWidth="1"/>
    <col min="80" max="80" width="11.26953125" customWidth="1"/>
    <col min="81" max="81" width="11.36328125" customWidth="1"/>
    <col min="82" max="82" width="11.08984375" customWidth="1"/>
    <col min="83" max="83" width="11.7265625" customWidth="1"/>
    <col min="84" max="84" width="11.26953125" customWidth="1"/>
    <col min="85" max="85" width="11.36328125" customWidth="1"/>
    <col min="86" max="86" width="11.08984375" customWidth="1"/>
    <col min="87" max="87" width="11.7265625" customWidth="1"/>
    <col min="88" max="88" width="11.26953125" customWidth="1"/>
    <col min="89" max="89" width="11.36328125" customWidth="1"/>
    <col min="90" max="90" width="11.08984375" customWidth="1"/>
    <col min="91" max="91" width="11.7265625" customWidth="1"/>
    <col min="92" max="92" width="11.26953125" customWidth="1"/>
  </cols>
  <sheetData>
    <row r="1" spans="1:92" ht="18.5" x14ac:dyDescent="0.45">
      <c r="A1" s="74" t="s">
        <v>119</v>
      </c>
      <c r="B1" s="18" t="s">
        <v>144</v>
      </c>
      <c r="C1" s="18" t="s">
        <v>145</v>
      </c>
      <c r="D1" s="18" t="s">
        <v>146</v>
      </c>
      <c r="E1" s="18" t="s">
        <v>147</v>
      </c>
      <c r="F1" s="18" t="s">
        <v>148</v>
      </c>
      <c r="G1" s="18" t="s">
        <v>149</v>
      </c>
      <c r="H1" s="18" t="s">
        <v>150</v>
      </c>
      <c r="I1" s="18" t="s">
        <v>151</v>
      </c>
      <c r="J1" s="18" t="s">
        <v>152</v>
      </c>
      <c r="K1" s="18" t="s">
        <v>153</v>
      </c>
      <c r="L1" s="18" t="s">
        <v>154</v>
      </c>
      <c r="M1" s="18" t="s">
        <v>155</v>
      </c>
      <c r="N1" s="18" t="s">
        <v>156</v>
      </c>
      <c r="O1" s="18" t="s">
        <v>157</v>
      </c>
      <c r="P1" s="18" t="s">
        <v>158</v>
      </c>
      <c r="Q1" s="18" t="s">
        <v>159</v>
      </c>
      <c r="R1" s="18" t="s">
        <v>160</v>
      </c>
      <c r="S1" s="18" t="s">
        <v>161</v>
      </c>
      <c r="T1" s="18" t="s">
        <v>162</v>
      </c>
      <c r="U1" s="18" t="s">
        <v>163</v>
      </c>
      <c r="V1" s="18" t="s">
        <v>164</v>
      </c>
      <c r="W1" s="18" t="s">
        <v>165</v>
      </c>
      <c r="X1" s="18" t="s">
        <v>166</v>
      </c>
      <c r="Y1" s="18" t="s">
        <v>167</v>
      </c>
      <c r="Z1" s="18" t="s">
        <v>168</v>
      </c>
      <c r="AA1" s="18" t="s">
        <v>169</v>
      </c>
      <c r="AB1" s="18" t="s">
        <v>170</v>
      </c>
      <c r="AC1" s="18" t="s">
        <v>171</v>
      </c>
      <c r="AD1" s="18" t="s">
        <v>172</v>
      </c>
      <c r="AE1" s="18" t="s">
        <v>173</v>
      </c>
      <c r="AF1" s="18" t="s">
        <v>174</v>
      </c>
      <c r="AG1" s="18" t="s">
        <v>175</v>
      </c>
      <c r="AH1" s="18" t="s">
        <v>176</v>
      </c>
      <c r="AI1" s="18" t="s">
        <v>177</v>
      </c>
      <c r="AJ1" s="18" t="s">
        <v>178</v>
      </c>
      <c r="AK1" s="18" t="s">
        <v>179</v>
      </c>
      <c r="AL1" s="18" t="s">
        <v>180</v>
      </c>
      <c r="AM1" s="18" t="s">
        <v>181</v>
      </c>
      <c r="AN1" s="18" t="s">
        <v>182</v>
      </c>
      <c r="AO1" s="18" t="s">
        <v>183</v>
      </c>
      <c r="AP1" s="18" t="s">
        <v>184</v>
      </c>
      <c r="AQ1" s="18" t="s">
        <v>185</v>
      </c>
      <c r="AR1" s="18" t="s">
        <v>186</v>
      </c>
      <c r="AS1" s="18" t="s">
        <v>187</v>
      </c>
      <c r="AT1" s="18" t="s">
        <v>188</v>
      </c>
      <c r="AU1" s="18" t="s">
        <v>189</v>
      </c>
      <c r="AV1" s="18" t="s">
        <v>190</v>
      </c>
      <c r="AW1" s="18" t="s">
        <v>191</v>
      </c>
      <c r="AX1" s="18" t="s">
        <v>192</v>
      </c>
      <c r="AY1" s="18" t="s">
        <v>193</v>
      </c>
      <c r="AZ1" s="18" t="s">
        <v>194</v>
      </c>
      <c r="BA1" s="18" t="s">
        <v>195</v>
      </c>
      <c r="BB1" s="18" t="s">
        <v>196</v>
      </c>
      <c r="BC1" s="18" t="s">
        <v>197</v>
      </c>
      <c r="BD1" s="18" t="s">
        <v>198</v>
      </c>
      <c r="BE1" s="18" t="s">
        <v>199</v>
      </c>
      <c r="BF1" s="18" t="s">
        <v>200</v>
      </c>
      <c r="BG1" s="18" t="s">
        <v>201</v>
      </c>
      <c r="BH1" s="18" t="s">
        <v>202</v>
      </c>
      <c r="BI1" s="18" t="s">
        <v>203</v>
      </c>
      <c r="BJ1" s="18" t="s">
        <v>204</v>
      </c>
      <c r="BK1" s="18" t="s">
        <v>205</v>
      </c>
      <c r="BL1" s="18" t="s">
        <v>206</v>
      </c>
      <c r="BM1" s="18" t="s">
        <v>207</v>
      </c>
      <c r="BN1" s="18" t="s">
        <v>208</v>
      </c>
      <c r="BO1" s="18" t="s">
        <v>209</v>
      </c>
      <c r="BP1" s="18" t="s">
        <v>210</v>
      </c>
      <c r="BQ1" s="18" t="s">
        <v>211</v>
      </c>
      <c r="BR1" s="18" t="s">
        <v>212</v>
      </c>
      <c r="BS1" s="18" t="s">
        <v>213</v>
      </c>
      <c r="BT1" s="18" t="s">
        <v>214</v>
      </c>
      <c r="BU1" s="18" t="s">
        <v>215</v>
      </c>
      <c r="BV1" s="18" t="s">
        <v>216</v>
      </c>
      <c r="BW1" s="18" t="s">
        <v>217</v>
      </c>
      <c r="BX1" s="18" t="s">
        <v>218</v>
      </c>
      <c r="BY1" s="18" t="s">
        <v>219</v>
      </c>
      <c r="BZ1" s="18" t="s">
        <v>220</v>
      </c>
      <c r="CA1" s="18" t="s">
        <v>221</v>
      </c>
      <c r="CB1" s="18" t="s">
        <v>222</v>
      </c>
      <c r="CC1" s="18" t="s">
        <v>223</v>
      </c>
      <c r="CD1" s="18" t="s">
        <v>224</v>
      </c>
      <c r="CE1" s="18" t="s">
        <v>225</v>
      </c>
      <c r="CF1" s="18" t="s">
        <v>226</v>
      </c>
      <c r="CG1" s="18" t="s">
        <v>227</v>
      </c>
      <c r="CH1" s="18" t="s">
        <v>228</v>
      </c>
      <c r="CI1" s="18" t="s">
        <v>229</v>
      </c>
      <c r="CJ1" s="18" t="s">
        <v>230</v>
      </c>
      <c r="CK1" s="18" t="s">
        <v>231</v>
      </c>
      <c r="CL1" s="18" t="s">
        <v>232</v>
      </c>
      <c r="CM1" s="18" t="s">
        <v>233</v>
      </c>
      <c r="CN1" s="18" t="s">
        <v>234</v>
      </c>
    </row>
    <row r="2" spans="1:92" x14ac:dyDescent="0.35">
      <c r="A2" s="16" t="s">
        <v>85</v>
      </c>
      <c r="B2" s="17">
        <v>16.524553413346435</v>
      </c>
      <c r="C2" s="17">
        <v>16.993932066850125</v>
      </c>
      <c r="D2" s="17">
        <v>17.234715708246576</v>
      </c>
      <c r="E2" s="17">
        <v>17.92557738511379</v>
      </c>
      <c r="F2" s="17">
        <v>18.115028979037021</v>
      </c>
      <c r="G2" s="17">
        <v>18.405035617234685</v>
      </c>
      <c r="H2" s="17">
        <v>18.595429897594066</v>
      </c>
      <c r="I2" s="17">
        <v>18.802118867901843</v>
      </c>
      <c r="J2" s="17">
        <v>19.013852561274295</v>
      </c>
      <c r="K2" s="17">
        <v>19.500749635289623</v>
      </c>
      <c r="L2" s="17">
        <v>19.872831557467407</v>
      </c>
      <c r="M2" s="17">
        <v>20.247876627281222</v>
      </c>
      <c r="N2" s="17">
        <v>20.333682897020303</v>
      </c>
      <c r="O2" s="17">
        <v>20.860129892977891</v>
      </c>
      <c r="P2" s="17">
        <v>21.212316649683778</v>
      </c>
      <c r="Q2" s="17">
        <v>21.466529743626296</v>
      </c>
      <c r="R2" s="17">
        <v>21.656774384206415</v>
      </c>
      <c r="S2" s="17">
        <v>22.248134800660274</v>
      </c>
      <c r="T2" s="17">
        <v>22.473370884737065</v>
      </c>
      <c r="U2" s="17">
        <v>23.065337739108799</v>
      </c>
      <c r="V2" s="17">
        <v>23.135745084548635</v>
      </c>
      <c r="W2" s="17">
        <v>23.516136697160245</v>
      </c>
      <c r="X2" s="17">
        <v>23.560432056081545</v>
      </c>
      <c r="Y2" s="17">
        <v>23.587027710514647</v>
      </c>
      <c r="Z2" s="17">
        <v>23.630666057771908</v>
      </c>
      <c r="AA2" s="17">
        <v>24.159163814361936</v>
      </c>
      <c r="AB2" s="17">
        <v>24.582555613183452</v>
      </c>
      <c r="AC2" s="17">
        <v>25.229863162601415</v>
      </c>
      <c r="AD2" s="17">
        <v>25.296885110710864</v>
      </c>
      <c r="AE2" s="17">
        <v>26.034134971725276</v>
      </c>
      <c r="AF2" s="17">
        <v>25.260259847950124</v>
      </c>
      <c r="AG2" s="17">
        <v>25.327024842693664</v>
      </c>
      <c r="AH2" s="17">
        <v>25.351177050472039</v>
      </c>
      <c r="AI2" s="17">
        <v>26.577177194478665</v>
      </c>
      <c r="AJ2" s="17">
        <v>26.65116142865752</v>
      </c>
      <c r="AK2" s="17">
        <v>26.771655933919583</v>
      </c>
      <c r="AL2" s="17">
        <v>26.806049400324959</v>
      </c>
      <c r="AM2" s="17">
        <v>27.373303493188249</v>
      </c>
      <c r="AN2" s="17">
        <v>27.492686584965504</v>
      </c>
      <c r="AO2" s="17">
        <v>27.526985169803449</v>
      </c>
      <c r="AP2" s="17">
        <v>27.556466014015992</v>
      </c>
      <c r="AQ2" s="17">
        <v>28.181669169750851</v>
      </c>
      <c r="AR2" s="17">
        <v>28.194209469010779</v>
      </c>
      <c r="AS2" s="17">
        <v>28.197313160974463</v>
      </c>
      <c r="AT2" s="17">
        <v>28.186767634122027</v>
      </c>
      <c r="AU2" s="17">
        <v>28.230484133670462</v>
      </c>
      <c r="AV2" s="17">
        <v>28.319186518767534</v>
      </c>
      <c r="AW2" s="17">
        <v>28.385230256249091</v>
      </c>
      <c r="AX2" s="17">
        <v>28.375276191354704</v>
      </c>
      <c r="AY2" s="17">
        <v>28.798360765824576</v>
      </c>
      <c r="AZ2" s="17">
        <v>28.947727738965291</v>
      </c>
      <c r="BA2" s="17">
        <v>29.022001471176754</v>
      </c>
      <c r="BB2" s="17">
        <v>29.003546707937957</v>
      </c>
      <c r="BC2" s="17">
        <v>29.243228137235779</v>
      </c>
      <c r="BD2" s="17">
        <v>29.270993180840247</v>
      </c>
      <c r="BE2" s="17">
        <v>29.49024018823858</v>
      </c>
      <c r="BF2" s="17">
        <v>29.652479511399481</v>
      </c>
      <c r="BG2" s="17">
        <v>29.674308622937584</v>
      </c>
      <c r="BH2" s="17">
        <v>29.671846450206061</v>
      </c>
      <c r="BI2" s="17">
        <v>29.749750522090508</v>
      </c>
      <c r="BJ2" s="17">
        <v>30.069255642110313</v>
      </c>
      <c r="BK2" s="17">
        <v>30.114273942601692</v>
      </c>
      <c r="BL2" s="17">
        <v>30.157468404818932</v>
      </c>
      <c r="BM2" s="17">
        <v>30.693224282775919</v>
      </c>
      <c r="BN2" s="17">
        <v>30.842179720807547</v>
      </c>
      <c r="BO2" s="17">
        <v>30.680127486381309</v>
      </c>
      <c r="BP2" s="17">
        <v>30.629758162968436</v>
      </c>
      <c r="BQ2" s="17">
        <v>30.5194238820261</v>
      </c>
      <c r="BR2" s="17">
        <v>30.494160696695225</v>
      </c>
      <c r="BS2" s="17">
        <v>30.818873874181993</v>
      </c>
      <c r="BT2" s="17">
        <v>31.163890562143571</v>
      </c>
      <c r="BU2" s="17">
        <v>31.4523567977418</v>
      </c>
      <c r="BV2" s="17">
        <v>31.905355013852162</v>
      </c>
      <c r="BW2" s="17">
        <v>32.357700619705732</v>
      </c>
      <c r="BX2" s="17">
        <v>32.500483202054902</v>
      </c>
      <c r="BY2" s="17">
        <v>32.532905404899097</v>
      </c>
      <c r="BZ2" s="17">
        <v>32.867392077913081</v>
      </c>
      <c r="CA2" s="17">
        <v>32.998316385167001</v>
      </c>
      <c r="CB2" s="17">
        <v>33.507172432548401</v>
      </c>
      <c r="CC2" s="17">
        <v>33.737646735390001</v>
      </c>
      <c r="CD2" s="17">
        <v>33.611878811636998</v>
      </c>
      <c r="CE2" s="17">
        <v>34.706861106757799</v>
      </c>
      <c r="CF2" s="17">
        <v>34.9487276925841</v>
      </c>
      <c r="CG2" s="17">
        <v>35.3570275672433</v>
      </c>
      <c r="CH2" s="17">
        <v>35.668815199785001</v>
      </c>
      <c r="CI2" s="17">
        <v>39.257890000000003</v>
      </c>
      <c r="CJ2" s="17">
        <v>39.390418069425401</v>
      </c>
      <c r="CK2" s="17">
        <v>39.302102469060401</v>
      </c>
      <c r="CL2" s="17">
        <v>40.613056093163699</v>
      </c>
      <c r="CM2" s="17">
        <v>42.041542223659299</v>
      </c>
      <c r="CN2" s="17">
        <v>42.1476585176786</v>
      </c>
    </row>
    <row r="3" spans="1:92" x14ac:dyDescent="0.35">
      <c r="A3" t="s">
        <v>24</v>
      </c>
      <c r="B3" s="11">
        <v>15.677815242832065</v>
      </c>
      <c r="C3" s="11">
        <v>15.677982398480864</v>
      </c>
      <c r="D3" s="11">
        <v>16.049469481513892</v>
      </c>
      <c r="E3" s="11">
        <v>17.053572908714145</v>
      </c>
      <c r="F3" s="11">
        <v>17.052900279116976</v>
      </c>
      <c r="G3" s="11">
        <v>17.052233546568363</v>
      </c>
      <c r="H3" s="11">
        <v>17.44022573771084</v>
      </c>
      <c r="I3" s="11">
        <v>17.791916133208662</v>
      </c>
      <c r="J3" s="11">
        <v>17.781605062201987</v>
      </c>
      <c r="K3" s="11">
        <v>17.779732937685463</v>
      </c>
      <c r="L3" s="11">
        <v>18.112942919358868</v>
      </c>
      <c r="M3" s="11">
        <v>19.14567054718929</v>
      </c>
      <c r="N3" s="11">
        <v>19.133237330871129</v>
      </c>
      <c r="O3" s="11">
        <v>19.129622915412668</v>
      </c>
      <c r="P3" s="11">
        <v>19.990076425007963</v>
      </c>
      <c r="Q3" s="11">
        <v>20.068769469878703</v>
      </c>
      <c r="R3" s="11">
        <v>20.06520441468421</v>
      </c>
      <c r="S3" s="11">
        <v>20.062693297676748</v>
      </c>
      <c r="T3" s="11">
        <v>21.593941724941722</v>
      </c>
      <c r="U3" s="11">
        <v>21.776755340321078</v>
      </c>
      <c r="V3" s="11">
        <v>21.676720584830139</v>
      </c>
      <c r="W3" s="11">
        <v>21.336057065753963</v>
      </c>
      <c r="X3" s="11">
        <v>21.234095313167142</v>
      </c>
      <c r="Y3" s="11">
        <v>21.4736674304419</v>
      </c>
      <c r="Z3" s="11">
        <v>21.439404416321473</v>
      </c>
      <c r="AA3" s="11">
        <v>22.10009379274409</v>
      </c>
      <c r="AB3" s="11">
        <v>22.780021455739409</v>
      </c>
      <c r="AC3" s="11">
        <v>23.254966395012829</v>
      </c>
      <c r="AD3" s="11">
        <v>23.238867135587178</v>
      </c>
      <c r="AE3" s="11">
        <v>23.822512761823344</v>
      </c>
      <c r="AF3" s="11">
        <v>22.214926881387971</v>
      </c>
      <c r="AG3" s="11">
        <v>22.208823083558489</v>
      </c>
      <c r="AH3" s="11">
        <v>22.178482334004801</v>
      </c>
      <c r="AI3" s="11">
        <v>23.559476717628357</v>
      </c>
      <c r="AJ3" s="11">
        <v>23.661040980032382</v>
      </c>
      <c r="AK3" s="11">
        <v>23.637760480073577</v>
      </c>
      <c r="AL3" s="11">
        <v>23.65325266998661</v>
      </c>
      <c r="AM3" s="11">
        <v>24.686250445232321</v>
      </c>
      <c r="AN3" s="11">
        <v>24.691186705581401</v>
      </c>
      <c r="AO3" s="11">
        <v>24.685903052160132</v>
      </c>
      <c r="AP3" s="11">
        <v>24.688160510655539</v>
      </c>
      <c r="AQ3" s="11">
        <v>25.744460862306635</v>
      </c>
      <c r="AR3" s="11">
        <v>25.746794809375569</v>
      </c>
      <c r="AS3" s="11">
        <v>25.751679106496329</v>
      </c>
      <c r="AT3" s="11">
        <v>25.752657369386171</v>
      </c>
      <c r="AU3" s="11">
        <v>25.945974744214823</v>
      </c>
      <c r="AV3" s="11">
        <v>25.796362596871806</v>
      </c>
      <c r="AW3" s="11">
        <v>25.805331528704446</v>
      </c>
      <c r="AX3" s="11">
        <v>25.795716484438817</v>
      </c>
      <c r="AY3" s="11">
        <v>26.785393239766552</v>
      </c>
      <c r="AZ3" s="11">
        <v>27.61556235791797</v>
      </c>
      <c r="BA3" s="11">
        <v>27.762465184849145</v>
      </c>
      <c r="BB3" s="11">
        <v>27.871138694291048</v>
      </c>
      <c r="BC3" s="11">
        <v>28.059602834216406</v>
      </c>
      <c r="BD3" s="11">
        <v>28.036678124776458</v>
      </c>
      <c r="BE3" s="11">
        <v>28.225943379742326</v>
      </c>
      <c r="BF3" s="11">
        <v>28.352866048534114</v>
      </c>
      <c r="BG3" s="11">
        <v>29.632710602820286</v>
      </c>
      <c r="BH3" s="11">
        <v>29.630088485244077</v>
      </c>
      <c r="BI3" s="11">
        <v>30.078373041794034</v>
      </c>
      <c r="BJ3" s="11">
        <v>30.407473402676224</v>
      </c>
      <c r="BK3" s="11">
        <v>31.615476084066579</v>
      </c>
      <c r="BL3" s="11">
        <v>31.585710298333996</v>
      </c>
      <c r="BM3" s="11">
        <v>32.190403163008781</v>
      </c>
      <c r="BN3" s="11">
        <v>32.259821379265894</v>
      </c>
      <c r="BO3" s="11">
        <v>31.119711675295811</v>
      </c>
      <c r="BP3" s="11">
        <v>31.108656670885669</v>
      </c>
      <c r="BQ3" s="11">
        <v>31.106897510963282</v>
      </c>
      <c r="BR3" s="11">
        <v>31.142433900545495</v>
      </c>
      <c r="BS3" s="11">
        <v>30.880814171532634</v>
      </c>
      <c r="BT3" s="11">
        <v>30.532832395693728</v>
      </c>
      <c r="BU3" s="11">
        <v>30.559507718590442</v>
      </c>
      <c r="BV3" s="11">
        <v>30.916981625091132</v>
      </c>
      <c r="BW3" s="11">
        <v>31.308123089469685</v>
      </c>
      <c r="BX3" s="11">
        <v>32.105655681167228</v>
      </c>
      <c r="BY3" s="11">
        <v>32.146871019215133</v>
      </c>
      <c r="BZ3" s="11">
        <v>32.396759478267597</v>
      </c>
      <c r="CA3" s="11">
        <v>33.2377242423957</v>
      </c>
      <c r="CB3" s="11">
        <v>33.636611041212198</v>
      </c>
      <c r="CC3" s="11">
        <v>33.930199529829203</v>
      </c>
      <c r="CD3" s="11">
        <v>34.359033202122802</v>
      </c>
      <c r="CE3" s="11">
        <v>35.427846013315602</v>
      </c>
      <c r="CF3" s="11">
        <v>35.203926343537098</v>
      </c>
      <c r="CG3" s="11">
        <v>36.140400699966399</v>
      </c>
      <c r="CH3" s="11">
        <v>36.268006793959898</v>
      </c>
      <c r="CI3" s="11">
        <v>40.694798898701301</v>
      </c>
      <c r="CJ3" s="11">
        <v>40.800432796538402</v>
      </c>
      <c r="CK3" s="11">
        <v>40.795907614470202</v>
      </c>
      <c r="CL3" s="11">
        <v>41.846665982785801</v>
      </c>
      <c r="CM3" s="11">
        <v>43.128085617308798</v>
      </c>
      <c r="CN3" s="11">
        <v>43.204977650784699</v>
      </c>
    </row>
    <row r="4" spans="1:92" x14ac:dyDescent="0.35">
      <c r="A4" t="s">
        <v>35</v>
      </c>
      <c r="B4" s="11">
        <v>17.210873346488345</v>
      </c>
      <c r="C4" s="11">
        <v>18.295261711972238</v>
      </c>
      <c r="D4" s="11">
        <v>18.345759765345544</v>
      </c>
      <c r="E4" s="11">
        <v>18.582632064754328</v>
      </c>
      <c r="F4" s="11">
        <v>18.583463431786214</v>
      </c>
      <c r="G4" s="11">
        <v>20.092526154275355</v>
      </c>
      <c r="H4" s="11">
        <v>20.330787920860811</v>
      </c>
      <c r="I4" s="11">
        <v>20.324498829684707</v>
      </c>
      <c r="J4" s="11">
        <v>20.386070142051253</v>
      </c>
      <c r="K4" s="11">
        <v>21.534707669457195</v>
      </c>
      <c r="L4" s="11">
        <v>21.518015026497618</v>
      </c>
      <c r="M4" s="11">
        <v>21.584349910125827</v>
      </c>
      <c r="N4" s="11">
        <v>21.783792717455718</v>
      </c>
      <c r="O4" s="11">
        <v>23.43868649318463</v>
      </c>
      <c r="P4" s="11">
        <v>23.41490885585003</v>
      </c>
      <c r="Q4" s="11">
        <v>23.46750817569734</v>
      </c>
      <c r="R4" s="11">
        <v>23.68629256867958</v>
      </c>
      <c r="S4" s="11">
        <v>24.177943226778876</v>
      </c>
      <c r="T4" s="11">
        <v>24.406856034536698</v>
      </c>
      <c r="U4" s="11">
        <v>24.949610660771306</v>
      </c>
      <c r="V4" s="11">
        <v>24.915604823973688</v>
      </c>
      <c r="W4" s="11">
        <v>25.285950879320797</v>
      </c>
      <c r="X4" s="11">
        <v>25.282544432354012</v>
      </c>
      <c r="Y4" s="11">
        <v>25.281622548429791</v>
      </c>
      <c r="Z4" s="11">
        <v>25.164212876365173</v>
      </c>
      <c r="AA4" s="11">
        <v>25.440672830301221</v>
      </c>
      <c r="AB4" s="11">
        <v>26.490557607530086</v>
      </c>
      <c r="AC4" s="11">
        <v>28.032805022506519</v>
      </c>
      <c r="AD4" s="11">
        <v>28.006710293597457</v>
      </c>
      <c r="AE4" s="11">
        <v>28.32950860036231</v>
      </c>
      <c r="AF4" s="11">
        <v>27.776769822286994</v>
      </c>
      <c r="AG4" s="11">
        <v>28.47810283941277</v>
      </c>
      <c r="AH4" s="11">
        <v>28.444739688393383</v>
      </c>
      <c r="AI4" s="11">
        <v>29.272806808223436</v>
      </c>
      <c r="AJ4" s="11">
        <v>29.239048910836701</v>
      </c>
      <c r="AK4" s="11">
        <v>30.406767194598615</v>
      </c>
      <c r="AL4" s="11">
        <v>30.380302054815299</v>
      </c>
      <c r="AM4" s="11">
        <v>30.498049911596262</v>
      </c>
      <c r="AN4" s="11">
        <v>30.680560231939971</v>
      </c>
      <c r="AO4" s="11">
        <v>30.969280343734717</v>
      </c>
      <c r="AP4" s="11">
        <v>31.121717904568825</v>
      </c>
      <c r="AQ4" s="11">
        <v>31.382400396483057</v>
      </c>
      <c r="AR4" s="11">
        <v>31.339432346922717</v>
      </c>
      <c r="AS4" s="11">
        <v>31.644376520098355</v>
      </c>
      <c r="AT4" s="11">
        <v>31.610791885611857</v>
      </c>
      <c r="AU4" s="11">
        <v>31.353088888045992</v>
      </c>
      <c r="AV4" s="11">
        <v>31.293302162494175</v>
      </c>
      <c r="AW4" s="11">
        <v>31.168932157269133</v>
      </c>
      <c r="AX4" s="11">
        <v>31.098724629849841</v>
      </c>
      <c r="AY4" s="11">
        <v>31.275917351019583</v>
      </c>
      <c r="AZ4" s="11">
        <v>31.730736582346715</v>
      </c>
      <c r="BA4" s="11">
        <v>31.939605257746496</v>
      </c>
      <c r="BB4" s="11">
        <v>32.069969513195971</v>
      </c>
      <c r="BC4" s="11">
        <v>32.045559033667658</v>
      </c>
      <c r="BD4" s="11">
        <v>32.009829634102758</v>
      </c>
      <c r="BE4" s="11">
        <v>32.331861394396356</v>
      </c>
      <c r="BF4" s="11">
        <v>32.560134381413441</v>
      </c>
      <c r="BG4" s="11">
        <v>32.205429204514672</v>
      </c>
      <c r="BH4" s="11">
        <v>32.177297661209664</v>
      </c>
      <c r="BI4" s="11">
        <v>32.000231965019964</v>
      </c>
      <c r="BJ4" s="11">
        <v>32.251994081558536</v>
      </c>
      <c r="BK4" s="11">
        <v>32.455638352570006</v>
      </c>
      <c r="BL4" s="11">
        <v>32.383335593403082</v>
      </c>
      <c r="BM4" s="11">
        <v>33.015274429939304</v>
      </c>
      <c r="BN4" s="11">
        <v>33.180349074524365</v>
      </c>
      <c r="BO4" s="11">
        <v>33.205336289967548</v>
      </c>
      <c r="BP4" s="11">
        <v>33.173731357462643</v>
      </c>
      <c r="BQ4" s="11">
        <v>32.40289125400659</v>
      </c>
      <c r="BR4" s="11">
        <v>32.37211398684606</v>
      </c>
      <c r="BS4" s="11">
        <v>33.32159180800663</v>
      </c>
      <c r="BT4" s="11">
        <v>34.011045287748949</v>
      </c>
      <c r="BU4" s="11">
        <v>34.187617302019028</v>
      </c>
      <c r="BV4" s="11">
        <v>34.409143051726616</v>
      </c>
      <c r="BW4" s="11">
        <v>35.502969102056717</v>
      </c>
      <c r="BX4" s="11">
        <v>36.575631843468479</v>
      </c>
      <c r="BY4" s="11">
        <v>36.501892862365601</v>
      </c>
      <c r="BZ4" s="11">
        <v>36.811457719564139</v>
      </c>
      <c r="CA4" s="11">
        <v>38.465399316772299</v>
      </c>
      <c r="CB4" s="11">
        <v>38.888846010646198</v>
      </c>
      <c r="CC4" s="11">
        <v>39.102787416280201</v>
      </c>
      <c r="CD4" s="11">
        <v>39.357884189409603</v>
      </c>
      <c r="CE4" s="11">
        <v>41.156948955427502</v>
      </c>
      <c r="CF4" s="11">
        <v>42.074594516519099</v>
      </c>
      <c r="CG4" s="11">
        <v>42.6958550474966</v>
      </c>
      <c r="CH4" s="11">
        <v>42.8513749725549</v>
      </c>
      <c r="CI4" s="11">
        <v>45.655690982837399</v>
      </c>
      <c r="CJ4" s="11">
        <v>45.736542619514601</v>
      </c>
      <c r="CK4" s="11">
        <v>45.708701907384302</v>
      </c>
      <c r="CL4" s="11">
        <v>46.970429668071397</v>
      </c>
      <c r="CM4" s="11">
        <v>48.813242540229801</v>
      </c>
      <c r="CN4" s="11">
        <v>48.882590529187397</v>
      </c>
    </row>
    <row r="5" spans="1:92" x14ac:dyDescent="0.35">
      <c r="A5" t="s">
        <v>81</v>
      </c>
      <c r="B5" s="11">
        <v>14.431426273755823</v>
      </c>
      <c r="C5" s="11">
        <v>15.779516335799574</v>
      </c>
      <c r="D5" s="11">
        <v>15.797357789772207</v>
      </c>
      <c r="E5" s="11">
        <v>16.203558776756175</v>
      </c>
      <c r="F5" s="11">
        <v>16.20160677466863</v>
      </c>
      <c r="G5" s="11">
        <v>16.626597757724912</v>
      </c>
      <c r="H5" s="11">
        <v>16.772124908958485</v>
      </c>
      <c r="I5" s="11">
        <v>17.00664726531949</v>
      </c>
      <c r="J5" s="11">
        <v>17.001776020791009</v>
      </c>
      <c r="K5" s="11">
        <v>17.618740892449345</v>
      </c>
      <c r="L5" s="11">
        <v>17.616900543478263</v>
      </c>
      <c r="M5" s="11">
        <v>17.934504281085388</v>
      </c>
      <c r="N5" s="11">
        <v>17.925238442733608</v>
      </c>
      <c r="O5" s="11">
        <v>19.162537930785348</v>
      </c>
      <c r="P5" s="11">
        <v>19.159894882982943</v>
      </c>
      <c r="Q5" s="11">
        <v>19.419554312035551</v>
      </c>
      <c r="R5" s="11">
        <v>19.413858196543494</v>
      </c>
      <c r="S5" s="11">
        <v>20.422362962830402</v>
      </c>
      <c r="T5" s="11">
        <v>20.473830201486138</v>
      </c>
      <c r="U5" s="11">
        <v>22.353600412532451</v>
      </c>
      <c r="V5" s="11">
        <v>21.990112357553024</v>
      </c>
      <c r="W5" s="11">
        <v>22.045262606534095</v>
      </c>
      <c r="X5" s="11">
        <v>21.923656847288893</v>
      </c>
      <c r="Y5" s="11">
        <v>21.829192860806963</v>
      </c>
      <c r="Z5" s="11">
        <v>21.70259172811345</v>
      </c>
      <c r="AA5" s="11">
        <v>21.661936609787055</v>
      </c>
      <c r="AB5" s="11">
        <v>22.580235944570632</v>
      </c>
      <c r="AC5" s="11">
        <v>23.212520668425679</v>
      </c>
      <c r="AD5" s="11">
        <v>23.159776877696572</v>
      </c>
      <c r="AE5" s="11">
        <v>23.212627483596766</v>
      </c>
      <c r="AF5" s="11">
        <v>22.133868854606035</v>
      </c>
      <c r="AG5" s="11">
        <v>22.26596424564157</v>
      </c>
      <c r="AH5" s="11">
        <v>22.410509739309457</v>
      </c>
      <c r="AI5" s="11">
        <v>23.183783829936075</v>
      </c>
      <c r="AJ5" s="11">
        <v>23.180796441963537</v>
      </c>
      <c r="AK5" s="11">
        <v>23.342877905457538</v>
      </c>
      <c r="AL5" s="11">
        <v>23.336338786207516</v>
      </c>
      <c r="AM5" s="11">
        <v>23.392282016040337</v>
      </c>
      <c r="AN5" s="11">
        <v>23.387074546014347</v>
      </c>
      <c r="AO5" s="11">
        <v>23.501608045090524</v>
      </c>
      <c r="AP5" s="11">
        <v>23.458834972295513</v>
      </c>
      <c r="AQ5" s="11">
        <v>23.919672209665112</v>
      </c>
      <c r="AR5" s="11">
        <v>23.905006550399683</v>
      </c>
      <c r="AS5" s="11">
        <v>24.036506883159241</v>
      </c>
      <c r="AT5" s="11">
        <v>24.034297150846168</v>
      </c>
      <c r="AU5" s="11">
        <v>24.157198405021926</v>
      </c>
      <c r="AV5" s="11">
        <v>24.313027771325068</v>
      </c>
      <c r="AW5" s="11">
        <v>24.404749811910079</v>
      </c>
      <c r="AX5" s="11">
        <v>24.401409105472705</v>
      </c>
      <c r="AY5" s="11">
        <v>25.003233976767238</v>
      </c>
      <c r="AZ5" s="11">
        <v>24.953249358292609</v>
      </c>
      <c r="BA5" s="11">
        <v>25.107181110570874</v>
      </c>
      <c r="BB5" s="11">
        <v>24.912475543761911</v>
      </c>
      <c r="BC5" s="11">
        <v>24.894584217898004</v>
      </c>
      <c r="BD5" s="11">
        <v>24.851183610153491</v>
      </c>
      <c r="BE5" s="11">
        <v>25.160446249554607</v>
      </c>
      <c r="BF5" s="11">
        <v>25.335276044059004</v>
      </c>
      <c r="BG5" s="11">
        <v>25.326197946365966</v>
      </c>
      <c r="BH5" s="11">
        <v>25.352775049297144</v>
      </c>
      <c r="BI5" s="11">
        <v>25.155038128746167</v>
      </c>
      <c r="BJ5" s="11">
        <v>25.633917586627419</v>
      </c>
      <c r="BK5" s="11">
        <v>25.689506084226029</v>
      </c>
      <c r="BL5" s="11">
        <v>25.607287676088571</v>
      </c>
      <c r="BM5" s="11">
        <v>26.01579497878738</v>
      </c>
      <c r="BN5" s="11">
        <v>26.328942594335981</v>
      </c>
      <c r="BO5" s="11">
        <v>26.739485379982984</v>
      </c>
      <c r="BP5" s="11">
        <v>26.746100600877892</v>
      </c>
      <c r="BQ5" s="11">
        <v>26.171645406668638</v>
      </c>
      <c r="BR5" s="11">
        <v>26.20206893150754</v>
      </c>
      <c r="BS5" s="11">
        <v>26.358408133952025</v>
      </c>
      <c r="BT5" s="11">
        <v>27.230375394598799</v>
      </c>
      <c r="BU5" s="11">
        <v>27.663146333850708</v>
      </c>
      <c r="BV5" s="11">
        <v>28.151378893910969</v>
      </c>
      <c r="BW5" s="11">
        <v>29.096341638789216</v>
      </c>
      <c r="BX5" s="11">
        <v>29.663533443137421</v>
      </c>
      <c r="BY5" s="11">
        <v>29.61924985490943</v>
      </c>
      <c r="BZ5" s="11">
        <v>29.784444890542431</v>
      </c>
      <c r="CA5" s="11">
        <v>30.376595486398202</v>
      </c>
      <c r="CB5" s="11">
        <v>31.2738415528883</v>
      </c>
      <c r="CC5" s="11">
        <v>31.343516578778399</v>
      </c>
      <c r="CD5" s="11">
        <v>31.580969585398002</v>
      </c>
      <c r="CE5" s="11">
        <v>33.009080101798503</v>
      </c>
      <c r="CF5" s="11">
        <v>34.488375260151003</v>
      </c>
      <c r="CG5" s="11">
        <v>35.4065350040106</v>
      </c>
      <c r="CH5" s="11">
        <v>35.544548573121901</v>
      </c>
      <c r="CI5" s="11">
        <v>38.659725632046197</v>
      </c>
      <c r="CJ5" s="11">
        <v>38.812217878046802</v>
      </c>
      <c r="CK5" s="11">
        <v>38.748525707956702</v>
      </c>
      <c r="CL5" s="11">
        <v>39.651709871957401</v>
      </c>
      <c r="CM5" s="11">
        <v>42.434048628967602</v>
      </c>
      <c r="CN5" s="11">
        <v>42.490475397039098</v>
      </c>
    </row>
    <row r="6" spans="1:92" x14ac:dyDescent="0.35">
      <c r="A6" t="s">
        <v>27</v>
      </c>
      <c r="B6" s="11">
        <v>0</v>
      </c>
      <c r="C6" s="11">
        <v>0</v>
      </c>
      <c r="D6" s="11">
        <v>0</v>
      </c>
      <c r="E6" s="11">
        <v>0</v>
      </c>
      <c r="F6" s="11">
        <v>0</v>
      </c>
      <c r="G6" s="11">
        <v>0</v>
      </c>
      <c r="H6" s="11">
        <v>0</v>
      </c>
      <c r="I6" s="11">
        <v>0</v>
      </c>
      <c r="J6" s="11">
        <v>0</v>
      </c>
      <c r="K6" s="11">
        <v>0</v>
      </c>
      <c r="L6" s="11">
        <v>0</v>
      </c>
      <c r="M6" s="11">
        <v>0</v>
      </c>
      <c r="N6" s="11">
        <v>0</v>
      </c>
      <c r="O6" s="11">
        <v>0</v>
      </c>
      <c r="P6" s="11">
        <v>0</v>
      </c>
      <c r="Q6" s="11">
        <v>0</v>
      </c>
      <c r="R6" s="11">
        <v>0</v>
      </c>
      <c r="S6" s="11">
        <v>21.78762448228256</v>
      </c>
      <c r="T6" s="11">
        <v>21.957296829446062</v>
      </c>
      <c r="U6" s="11">
        <v>22.836365753179294</v>
      </c>
      <c r="V6" s="11">
        <v>22.801454204606319</v>
      </c>
      <c r="W6" s="11">
        <v>23.202425512934877</v>
      </c>
      <c r="X6" s="11">
        <v>23.208438191310503</v>
      </c>
      <c r="Y6" s="11">
        <v>23.227900440528632</v>
      </c>
      <c r="Z6" s="11">
        <v>23.137083847102343</v>
      </c>
      <c r="AA6" s="11">
        <v>23.65871632741446</v>
      </c>
      <c r="AB6" s="11">
        <v>24.630729103899458</v>
      </c>
      <c r="AC6" s="11">
        <v>25.761141043239533</v>
      </c>
      <c r="AD6" s="11">
        <v>25.769146050162089</v>
      </c>
      <c r="AE6" s="11">
        <v>26.358144529316089</v>
      </c>
      <c r="AF6" s="11">
        <v>25.172779991063358</v>
      </c>
      <c r="AG6" s="11">
        <v>25.628498523488094</v>
      </c>
      <c r="AH6" s="11">
        <v>25.598999225713833</v>
      </c>
      <c r="AI6" s="11">
        <v>26.460129307042507</v>
      </c>
      <c r="AJ6" s="11">
        <v>26.439800966756412</v>
      </c>
      <c r="AK6" s="11">
        <v>27.353424297381768</v>
      </c>
      <c r="AL6" s="11">
        <v>27.339388316174105</v>
      </c>
      <c r="AM6" s="11">
        <v>27.409748546988485</v>
      </c>
      <c r="AN6" s="11">
        <v>27.371181083304297</v>
      </c>
      <c r="AO6" s="11">
        <v>27.42964113192188</v>
      </c>
      <c r="AP6" s="11">
        <v>27.321774851490257</v>
      </c>
      <c r="AQ6" s="11">
        <v>27.689038201625802</v>
      </c>
      <c r="AR6" s="11">
        <v>27.64098511992934</v>
      </c>
      <c r="AS6" s="11">
        <v>28.034394824710084</v>
      </c>
      <c r="AT6" s="11">
        <v>28.018811247476197</v>
      </c>
      <c r="AU6" s="11">
        <v>27.7448139501547</v>
      </c>
      <c r="AV6" s="11">
        <v>27.683676979186618</v>
      </c>
      <c r="AW6" s="11">
        <v>27.582605092868807</v>
      </c>
      <c r="AX6" s="11">
        <v>27.559791713492206</v>
      </c>
      <c r="AY6" s="11">
        <v>27.683698929069674</v>
      </c>
      <c r="AZ6" s="11">
        <v>27.766271911226784</v>
      </c>
      <c r="BA6" s="11">
        <v>27.946202380721537</v>
      </c>
      <c r="BB6" s="11">
        <v>28.083250076652678</v>
      </c>
      <c r="BC6" s="11">
        <v>27.984318713209277</v>
      </c>
      <c r="BD6" s="11">
        <v>27.966614108214248</v>
      </c>
      <c r="BE6" s="11">
        <v>28.306547154316196</v>
      </c>
      <c r="BF6" s="11">
        <v>28.429212460485822</v>
      </c>
      <c r="BG6" s="11">
        <v>28.261848556978713</v>
      </c>
      <c r="BH6" s="11">
        <v>28.235147057683342</v>
      </c>
      <c r="BI6" s="11">
        <v>28.134744040821996</v>
      </c>
      <c r="BJ6" s="11">
        <v>28.419282831883621</v>
      </c>
      <c r="BK6" s="11">
        <v>28.50388923987655</v>
      </c>
      <c r="BL6" s="11">
        <v>28.48593634159273</v>
      </c>
      <c r="BM6" s="11">
        <v>29.009703907524347</v>
      </c>
      <c r="BN6" s="11">
        <v>29.117576247197057</v>
      </c>
      <c r="BO6" s="11">
        <v>29.161892508888897</v>
      </c>
      <c r="BP6" s="11">
        <v>29.13184401165072</v>
      </c>
      <c r="BQ6" s="11">
        <v>28.269345323638991</v>
      </c>
      <c r="BR6" s="11">
        <v>28.280843429245813</v>
      </c>
      <c r="BS6" s="11">
        <v>28.725660415611955</v>
      </c>
      <c r="BT6" s="11">
        <v>29.296535157134752</v>
      </c>
      <c r="BU6" s="11">
        <v>29.744809478564708</v>
      </c>
      <c r="BV6" s="11">
        <v>29.989096696335594</v>
      </c>
      <c r="BW6" s="11">
        <v>30.818500736129391</v>
      </c>
      <c r="BX6" s="11">
        <v>31.867118977132566</v>
      </c>
      <c r="BY6" s="11">
        <v>31.729451709912833</v>
      </c>
      <c r="BZ6" s="11">
        <v>32.094753284846064</v>
      </c>
      <c r="CA6" s="11">
        <v>33.014874443046402</v>
      </c>
      <c r="CB6" s="11">
        <v>33.483382252653897</v>
      </c>
      <c r="CC6" s="11">
        <v>33.689212054032303</v>
      </c>
      <c r="CD6" s="11">
        <v>33.874226997932901</v>
      </c>
      <c r="CE6" s="11">
        <v>35.386656533054101</v>
      </c>
      <c r="CF6" s="11">
        <v>35.950391499732497</v>
      </c>
      <c r="CG6" s="11">
        <v>36.7517797839499</v>
      </c>
      <c r="CH6" s="11">
        <v>36.885641729978403</v>
      </c>
      <c r="CI6" s="11">
        <v>39.356389454233302</v>
      </c>
      <c r="CJ6" s="11">
        <v>39.408770622159103</v>
      </c>
      <c r="CK6" s="11">
        <v>39.402954466757997</v>
      </c>
      <c r="CL6" s="11">
        <v>40.385385280994797</v>
      </c>
      <c r="CM6" s="11">
        <v>42.2716722342834</v>
      </c>
      <c r="CN6" s="11">
        <v>42.383896351440399</v>
      </c>
    </row>
    <row r="7" spans="1:92" x14ac:dyDescent="0.35">
      <c r="A7" t="s">
        <v>26</v>
      </c>
      <c r="B7" s="11">
        <v>21.197143883169737</v>
      </c>
      <c r="C7" s="11">
        <v>22.0921163514484</v>
      </c>
      <c r="D7" s="11">
        <v>22.136322891566266</v>
      </c>
      <c r="E7" s="11">
        <v>23.713053490045571</v>
      </c>
      <c r="F7" s="11">
        <v>23.707817137386307</v>
      </c>
      <c r="G7" s="11">
        <v>23.697273161413563</v>
      </c>
      <c r="H7" s="11">
        <v>23.798848354792561</v>
      </c>
      <c r="I7" s="11">
        <v>25.378779443254817</v>
      </c>
      <c r="J7" s="11">
        <v>25.372580261593338</v>
      </c>
      <c r="K7" s="11">
        <v>25.366692763938314</v>
      </c>
      <c r="L7" s="11">
        <v>27.551822706802565</v>
      </c>
      <c r="M7" s="11">
        <v>27.6240264337975</v>
      </c>
      <c r="N7" s="11">
        <v>28.024538389072067</v>
      </c>
      <c r="O7" s="11">
        <v>28.012293233082705</v>
      </c>
      <c r="P7" s="11">
        <v>27.999540527803958</v>
      </c>
      <c r="Q7" s="11">
        <v>28.368246189917937</v>
      </c>
      <c r="R7" s="11">
        <v>28.955355140186917</v>
      </c>
      <c r="S7" s="11">
        <v>28.938874912648497</v>
      </c>
      <c r="T7" s="11">
        <v>30.312930243230841</v>
      </c>
      <c r="U7" s="11">
        <v>31.064296160877518</v>
      </c>
      <c r="V7" s="11">
        <v>31.045661881977665</v>
      </c>
      <c r="W7" s="11">
        <v>31.393499544626593</v>
      </c>
      <c r="X7" s="11">
        <v>32.555560364464696</v>
      </c>
      <c r="Y7" s="11">
        <v>32.51973499433749</v>
      </c>
      <c r="Z7" s="11">
        <v>32.379744054360138</v>
      </c>
      <c r="AA7" s="11">
        <v>33.611941747572814</v>
      </c>
      <c r="AB7" s="11">
        <v>33.355842569554405</v>
      </c>
      <c r="AC7" s="11">
        <v>33.988945233265717</v>
      </c>
      <c r="AD7" s="11">
        <v>33.880148015250057</v>
      </c>
      <c r="AE7" s="11">
        <v>34.798760382608151</v>
      </c>
      <c r="AF7" s="11">
        <v>34.512211537377461</v>
      </c>
      <c r="AG7" s="11">
        <v>34.435687820943322</v>
      </c>
      <c r="AH7" s="11">
        <v>34.396590899651706</v>
      </c>
      <c r="AI7" s="11">
        <v>36.022852288029661</v>
      </c>
      <c r="AJ7" s="11">
        <v>35.9986055340351</v>
      </c>
      <c r="AK7" s="11">
        <v>35.900663443758205</v>
      </c>
      <c r="AL7" s="11">
        <v>35.871905989246244</v>
      </c>
      <c r="AM7" s="11">
        <v>36.327447127925296</v>
      </c>
      <c r="AN7" s="11">
        <v>37.015016844805032</v>
      </c>
      <c r="AO7" s="11">
        <v>36.98539445350027</v>
      </c>
      <c r="AP7" s="11">
        <v>36.966397481461186</v>
      </c>
      <c r="AQ7" s="11">
        <v>36.458428037439901</v>
      </c>
      <c r="AR7" s="11">
        <v>36.397645900549485</v>
      </c>
      <c r="AS7" s="11">
        <v>36.352914098593168</v>
      </c>
      <c r="AT7" s="11">
        <v>36.34454537012769</v>
      </c>
      <c r="AU7" s="11">
        <v>36.352776682345272</v>
      </c>
      <c r="AV7" s="11">
        <v>36.29371000826157</v>
      </c>
      <c r="AW7" s="11">
        <v>36.142503857157038</v>
      </c>
      <c r="AX7" s="11">
        <v>36.017445778944115</v>
      </c>
      <c r="AY7" s="11">
        <v>36.501231879766465</v>
      </c>
      <c r="AZ7" s="11">
        <v>37.175326093630439</v>
      </c>
      <c r="BA7" s="11">
        <v>37.310073357462009</v>
      </c>
      <c r="BB7" s="11">
        <v>37.481191022666998</v>
      </c>
      <c r="BC7" s="11">
        <v>37.581853659419863</v>
      </c>
      <c r="BD7" s="11">
        <v>37.548141777373395</v>
      </c>
      <c r="BE7" s="11">
        <v>38.069536800007221</v>
      </c>
      <c r="BF7" s="11">
        <v>38.124684610759218</v>
      </c>
      <c r="BG7" s="11">
        <v>38.09488383423647</v>
      </c>
      <c r="BH7" s="11">
        <v>38.049315219718125</v>
      </c>
      <c r="BI7" s="11">
        <v>37.971803030228386</v>
      </c>
      <c r="BJ7" s="11">
        <v>37.986250518064146</v>
      </c>
      <c r="BK7" s="11">
        <v>38.055932368268529</v>
      </c>
      <c r="BL7" s="11">
        <v>38.312473466450953</v>
      </c>
      <c r="BM7" s="11">
        <v>38.641725644524492</v>
      </c>
      <c r="BN7" s="11">
        <v>38.970547939943586</v>
      </c>
      <c r="BO7" s="11">
        <v>39.625169750154932</v>
      </c>
      <c r="BP7" s="11">
        <v>39.586964125303332</v>
      </c>
      <c r="BQ7" s="11">
        <v>39.532064703915481</v>
      </c>
      <c r="BR7" s="11">
        <v>39.518778330482284</v>
      </c>
      <c r="BS7" s="11">
        <v>39.664517688695312</v>
      </c>
      <c r="BT7" s="11">
        <v>39.878206835732215</v>
      </c>
      <c r="BU7" s="11">
        <v>39.871664305090725</v>
      </c>
      <c r="BV7" s="11">
        <v>39.857739888845671</v>
      </c>
      <c r="BW7" s="11">
        <v>40.178032620919119</v>
      </c>
      <c r="BX7" s="11">
        <v>40.381492507441699</v>
      </c>
      <c r="BY7" s="11">
        <v>40.357216736940885</v>
      </c>
      <c r="BZ7" s="11">
        <v>39.761561056711272</v>
      </c>
      <c r="CA7" s="11">
        <v>40.752343432503203</v>
      </c>
      <c r="CB7" s="11">
        <v>41.045667852091199</v>
      </c>
      <c r="CC7" s="11">
        <v>41.2723906084262</v>
      </c>
      <c r="CD7" s="11">
        <v>41.2108375684859</v>
      </c>
      <c r="CE7" s="11">
        <v>44.0450295976635</v>
      </c>
      <c r="CF7" s="11">
        <v>44.760111442027799</v>
      </c>
      <c r="CG7" s="11">
        <v>45.327724673868801</v>
      </c>
      <c r="CH7" s="11">
        <v>45.449394739687499</v>
      </c>
      <c r="CI7" s="11">
        <v>45.649092212615798</v>
      </c>
      <c r="CJ7" s="11">
        <v>45.693688212745599</v>
      </c>
      <c r="CK7" s="11">
        <v>45.724699385280502</v>
      </c>
      <c r="CL7" s="11">
        <v>46.397519916721201</v>
      </c>
      <c r="CM7" s="11">
        <v>47.240440635156901</v>
      </c>
      <c r="CN7" s="11">
        <v>46.951554043378103</v>
      </c>
    </row>
    <row r="8" spans="1:92" x14ac:dyDescent="0.35">
      <c r="A8" t="s">
        <v>33</v>
      </c>
      <c r="B8" s="11">
        <v>19.760000000000002</v>
      </c>
      <c r="C8" s="11">
        <v>19.760000000000002</v>
      </c>
      <c r="D8" s="11">
        <v>19.765446210268951</v>
      </c>
      <c r="E8" s="11">
        <v>21.177794455506199</v>
      </c>
      <c r="F8" s="11">
        <v>21.176619761394921</v>
      </c>
      <c r="G8" s="11">
        <v>21.175591151792524</v>
      </c>
      <c r="H8" s="11">
        <v>21.208722594397077</v>
      </c>
      <c r="I8" s="11">
        <v>21.767577601947661</v>
      </c>
      <c r="J8" s="11">
        <v>21.767175757575757</v>
      </c>
      <c r="K8" s="11">
        <v>21.859856673241289</v>
      </c>
      <c r="L8" s="11">
        <v>21.862737312647909</v>
      </c>
      <c r="M8" s="11">
        <v>22.014152697747512</v>
      </c>
      <c r="N8" s="11">
        <v>22.703555497587057</v>
      </c>
      <c r="O8" s="11">
        <v>22.701885416666663</v>
      </c>
      <c r="P8" s="11">
        <v>22.750660438562342</v>
      </c>
      <c r="Q8" s="11">
        <v>22.966823590274181</v>
      </c>
      <c r="R8" s="11">
        <v>22.965079181151022</v>
      </c>
      <c r="S8" s="11">
        <v>22.961491733948481</v>
      </c>
      <c r="T8" s="11">
        <v>23.203396176664469</v>
      </c>
      <c r="U8" s="11">
        <v>24.72078641644325</v>
      </c>
      <c r="V8" s="11">
        <v>24.875389511201625</v>
      </c>
      <c r="W8" s="11">
        <v>25.699786062003586</v>
      </c>
      <c r="X8" s="11">
        <v>25.548002054442737</v>
      </c>
      <c r="Y8" s="11">
        <v>25.529130993700992</v>
      </c>
      <c r="Z8" s="11">
        <v>25.509828271177753</v>
      </c>
      <c r="AA8" s="11">
        <v>26.089741960086435</v>
      </c>
      <c r="AB8" s="11">
        <v>26.189532245730305</v>
      </c>
      <c r="AC8" s="11">
        <v>27.029338263419607</v>
      </c>
      <c r="AD8" s="11">
        <v>27.029973302822274</v>
      </c>
      <c r="AE8" s="11">
        <v>27.303946462764184</v>
      </c>
      <c r="AF8" s="11">
        <v>28.151653459258142</v>
      </c>
      <c r="AG8" s="11">
        <v>28.11849140433155</v>
      </c>
      <c r="AH8" s="11">
        <v>28.105264302991124</v>
      </c>
      <c r="AI8" s="11">
        <v>28.457638913187512</v>
      </c>
      <c r="AJ8" s="11">
        <v>29.259438791065779</v>
      </c>
      <c r="AK8" s="11">
        <v>29.229603713992873</v>
      </c>
      <c r="AL8" s="11">
        <v>29.233485310593959</v>
      </c>
      <c r="AM8" s="11">
        <v>29.2209171711912</v>
      </c>
      <c r="AN8" s="11">
        <v>29.205809404692523</v>
      </c>
      <c r="AO8" s="11">
        <v>29.195579285153549</v>
      </c>
      <c r="AP8" s="11">
        <v>29.189491469112777</v>
      </c>
      <c r="AQ8" s="11">
        <v>31.011302059214032</v>
      </c>
      <c r="AR8" s="11">
        <v>31.314070911049299</v>
      </c>
      <c r="AS8" s="11">
        <v>31.299276770585408</v>
      </c>
      <c r="AT8" s="11">
        <v>31.291559191284307</v>
      </c>
      <c r="AU8" s="11">
        <v>32.004279446153937</v>
      </c>
      <c r="AV8" s="11">
        <v>32.662320758920202</v>
      </c>
      <c r="AW8" s="11">
        <v>32.643840956038858</v>
      </c>
      <c r="AX8" s="11">
        <v>32.692108248129493</v>
      </c>
      <c r="AY8" s="11">
        <v>33.993192857506799</v>
      </c>
      <c r="AZ8" s="11">
        <v>34.315541538212493</v>
      </c>
      <c r="BA8" s="11">
        <v>34.366116880270376</v>
      </c>
      <c r="BB8" s="11">
        <v>34.544566313462219</v>
      </c>
      <c r="BC8" s="11">
        <v>35.301503678809041</v>
      </c>
      <c r="BD8" s="11">
        <v>35.280280383791769</v>
      </c>
      <c r="BE8" s="11">
        <v>35.722235911607783</v>
      </c>
      <c r="BF8" s="11">
        <v>36.024604593135521</v>
      </c>
      <c r="BG8" s="11">
        <v>36.040054605316513</v>
      </c>
      <c r="BH8" s="11">
        <v>36.043009553899395</v>
      </c>
      <c r="BI8" s="11">
        <v>36.044011216516374</v>
      </c>
      <c r="BJ8" s="11">
        <v>36.770108583991984</v>
      </c>
      <c r="BK8" s="11">
        <v>36.906772828077273</v>
      </c>
      <c r="BL8" s="11">
        <v>36.967361965564777</v>
      </c>
      <c r="BM8" s="11">
        <v>37.514309394276722</v>
      </c>
      <c r="BN8" s="11">
        <v>37.58320290178591</v>
      </c>
      <c r="BO8" s="11">
        <v>38.071658253556691</v>
      </c>
      <c r="BP8" s="11">
        <v>38.044052252260478</v>
      </c>
      <c r="BQ8" s="11">
        <v>38.033146430104573</v>
      </c>
      <c r="BR8" s="11">
        <v>38.090208022277679</v>
      </c>
      <c r="BS8" s="11">
        <v>37.623301575402394</v>
      </c>
      <c r="BT8" s="11">
        <v>37.753755232773905</v>
      </c>
      <c r="BU8" s="11">
        <v>38.069505219754092</v>
      </c>
      <c r="BV8" s="11">
        <v>38.815273826948058</v>
      </c>
      <c r="BW8" s="11">
        <v>39.322451121340961</v>
      </c>
      <c r="BX8" s="11">
        <v>39.020613836662775</v>
      </c>
      <c r="BY8" s="11">
        <v>38.995688808997876</v>
      </c>
      <c r="BZ8" s="11">
        <v>39.487843570262875</v>
      </c>
      <c r="CA8" s="11">
        <v>40.244301314680499</v>
      </c>
      <c r="CB8" s="11">
        <v>40.404403570520401</v>
      </c>
      <c r="CC8" s="11">
        <v>40.488755241314998</v>
      </c>
      <c r="CD8" s="11">
        <v>40.6211411666388</v>
      </c>
      <c r="CE8" s="11">
        <v>41.417543743149203</v>
      </c>
      <c r="CF8" s="11">
        <v>41.848872356380497</v>
      </c>
      <c r="CG8" s="11">
        <v>42.355440558440101</v>
      </c>
      <c r="CH8" s="11">
        <v>43.248352593233903</v>
      </c>
      <c r="CI8" s="11">
        <v>46.775899846922201</v>
      </c>
      <c r="CJ8" s="11">
        <v>46.928347458012098</v>
      </c>
      <c r="CK8" s="11">
        <v>47.0192544583333</v>
      </c>
      <c r="CL8" s="11">
        <v>48.0367173993764</v>
      </c>
      <c r="CM8" s="11">
        <v>48.374801692440997</v>
      </c>
      <c r="CN8" s="11">
        <v>48.646675279035499</v>
      </c>
    </row>
    <row r="9" spans="1:92" x14ac:dyDescent="0.35">
      <c r="A9" t="s">
        <v>34</v>
      </c>
      <c r="B9" s="11">
        <v>16.66661885436352</v>
      </c>
      <c r="C9" s="11">
        <v>16.689484850351029</v>
      </c>
      <c r="D9" s="11">
        <v>18.974189889328308</v>
      </c>
      <c r="E9" s="11">
        <v>19.057123799683968</v>
      </c>
      <c r="F9" s="11">
        <v>19.055941204935884</v>
      </c>
      <c r="G9" s="11">
        <v>19.066498035948101</v>
      </c>
      <c r="H9" s="11">
        <v>19.203862626621643</v>
      </c>
      <c r="I9" s="11">
        <v>20.049992340099578</v>
      </c>
      <c r="J9" s="11">
        <v>20.045438323599331</v>
      </c>
      <c r="K9" s="11">
        <v>20.234647434961602</v>
      </c>
      <c r="L9" s="11">
        <v>21.170926615107284</v>
      </c>
      <c r="M9" s="11">
        <v>21.151083444709162</v>
      </c>
      <c r="N9" s="11">
        <v>21.137188484550677</v>
      </c>
      <c r="O9" s="11">
        <v>21.16208389638021</v>
      </c>
      <c r="P9" s="11">
        <v>21.149643755718206</v>
      </c>
      <c r="Q9" s="11">
        <v>22.580413683373109</v>
      </c>
      <c r="R9" s="11">
        <v>22.560084815244128</v>
      </c>
      <c r="S9" s="11">
        <v>22.815031884709384</v>
      </c>
      <c r="T9" s="11">
        <v>22.835546039742514</v>
      </c>
      <c r="U9" s="11">
        <v>23.935211094678682</v>
      </c>
      <c r="V9" s="11">
        <v>23.9710875611927</v>
      </c>
      <c r="W9" s="11">
        <v>24.024637082235476</v>
      </c>
      <c r="X9" s="11">
        <v>24.003572317305832</v>
      </c>
      <c r="Y9" s="11">
        <v>24.012775157883127</v>
      </c>
      <c r="Z9" s="11">
        <v>24.003005138633181</v>
      </c>
      <c r="AA9" s="11">
        <v>25.05278107804758</v>
      </c>
      <c r="AB9" s="11">
        <v>25.648690918022051</v>
      </c>
      <c r="AC9" s="11">
        <v>26.206564787850745</v>
      </c>
      <c r="AD9" s="11">
        <v>26.192617677398335</v>
      </c>
      <c r="AE9" s="11">
        <v>27.276399118946042</v>
      </c>
      <c r="AF9" s="11">
        <v>25.518271881761653</v>
      </c>
      <c r="AG9" s="11">
        <v>25.510646452552741</v>
      </c>
      <c r="AH9" s="11">
        <v>25.53738713484957</v>
      </c>
      <c r="AI9" s="11">
        <v>26.929483233891098</v>
      </c>
      <c r="AJ9" s="11">
        <v>26.989355096915034</v>
      </c>
      <c r="AK9" s="11">
        <v>27.031927922968492</v>
      </c>
      <c r="AL9" s="11">
        <v>27.272512774103159</v>
      </c>
      <c r="AM9" s="11">
        <v>27.786393511673229</v>
      </c>
      <c r="AN9" s="11">
        <v>27.926501646803136</v>
      </c>
      <c r="AO9" s="11">
        <v>28.05054985728345</v>
      </c>
      <c r="AP9" s="11">
        <v>28.433225276500949</v>
      </c>
      <c r="AQ9" s="11">
        <v>28.440709563017872</v>
      </c>
      <c r="AR9" s="11">
        <v>28.622560319838563</v>
      </c>
      <c r="AS9" s="11">
        <v>28.370285952505242</v>
      </c>
      <c r="AT9" s="11">
        <v>28.378322430324964</v>
      </c>
      <c r="AU9" s="11">
        <v>28.397632567503528</v>
      </c>
      <c r="AV9" s="11">
        <v>28.481352800608683</v>
      </c>
      <c r="AW9" s="11">
        <v>28.580566637277652</v>
      </c>
      <c r="AX9" s="11">
        <v>28.584182789645485</v>
      </c>
      <c r="AY9" s="11">
        <v>29.107469854274076</v>
      </c>
      <c r="AZ9" s="11">
        <v>29.446704964870452</v>
      </c>
      <c r="BA9" s="11">
        <v>29.487639223007815</v>
      </c>
      <c r="BB9" s="11">
        <v>29.488689035163457</v>
      </c>
      <c r="BC9" s="11">
        <v>29.586424917393735</v>
      </c>
      <c r="BD9" s="11">
        <v>29.593417416443376</v>
      </c>
      <c r="BE9" s="11">
        <v>29.6889988876868</v>
      </c>
      <c r="BF9" s="11">
        <v>29.711920343677761</v>
      </c>
      <c r="BG9" s="11">
        <v>29.708946499893699</v>
      </c>
      <c r="BH9" s="11">
        <v>29.762591979797623</v>
      </c>
      <c r="BI9" s="11">
        <v>29.744724104867725</v>
      </c>
      <c r="BJ9" s="11">
        <v>30.001844429367583</v>
      </c>
      <c r="BK9" s="11">
        <v>30.186616977256151</v>
      </c>
      <c r="BL9" s="11">
        <v>30.228562870994502</v>
      </c>
      <c r="BM9" s="11">
        <v>30.677696894355364</v>
      </c>
      <c r="BN9" s="11">
        <v>30.925595125915738</v>
      </c>
      <c r="BO9" s="11">
        <v>31.378534615500467</v>
      </c>
      <c r="BP9" s="11">
        <v>31.386375074508106</v>
      </c>
      <c r="BQ9" s="11">
        <v>31.192061753244456</v>
      </c>
      <c r="BR9" s="11">
        <v>31.319775564283599</v>
      </c>
      <c r="BS9" s="11">
        <v>31.465797886429289</v>
      </c>
      <c r="BT9" s="11">
        <v>32.274658466854824</v>
      </c>
      <c r="BU9" s="11">
        <v>32.499204901464523</v>
      </c>
      <c r="BV9" s="11">
        <v>33.291959299305731</v>
      </c>
      <c r="BW9" s="11">
        <v>33.933209726066643</v>
      </c>
      <c r="BX9" s="11">
        <v>33.808867380926962</v>
      </c>
      <c r="BY9" s="11">
        <v>33.879805401989806</v>
      </c>
      <c r="BZ9" s="11">
        <v>34.388015247151522</v>
      </c>
      <c r="CA9" s="11">
        <v>34.927109889155503</v>
      </c>
      <c r="CB9" s="11">
        <v>35.2349758797682</v>
      </c>
      <c r="CC9" s="11">
        <v>35.448915663996203</v>
      </c>
      <c r="CD9" s="11">
        <v>35.563787833808597</v>
      </c>
      <c r="CE9" s="11">
        <v>36.844923186998997</v>
      </c>
      <c r="CF9" s="11">
        <v>38.8564063991968</v>
      </c>
      <c r="CG9" s="11">
        <v>39.233445514733901</v>
      </c>
      <c r="CH9" s="11">
        <v>39.940472941309501</v>
      </c>
      <c r="CI9" s="11">
        <v>42.650867297181399</v>
      </c>
      <c r="CJ9" s="11">
        <v>42.785559223616602</v>
      </c>
      <c r="CK9" s="11">
        <v>42.851602831420898</v>
      </c>
      <c r="CL9" s="11">
        <v>44.403546346386399</v>
      </c>
      <c r="CM9" s="11">
        <v>45.554292718028201</v>
      </c>
      <c r="CN9" s="11">
        <v>45.700240284755097</v>
      </c>
    </row>
    <row r="10" spans="1:92" x14ac:dyDescent="0.35">
      <c r="A10" t="s">
        <v>29</v>
      </c>
      <c r="B10" s="11">
        <v>19.137945748247489</v>
      </c>
      <c r="C10" s="11">
        <v>21.484272190553746</v>
      </c>
      <c r="D10" s="11">
        <v>21.482550068796822</v>
      </c>
      <c r="E10" s="11">
        <v>21.614468562111483</v>
      </c>
      <c r="F10" s="11">
        <v>21.613863509324659</v>
      </c>
      <c r="G10" s="11">
        <v>22.447979674796748</v>
      </c>
      <c r="H10" s="11">
        <v>22.593410852713177</v>
      </c>
      <c r="I10" s="11">
        <v>22.610592243455095</v>
      </c>
      <c r="J10" s="11">
        <v>22.611045442875479</v>
      </c>
      <c r="K10" s="11">
        <v>23.903628780487807</v>
      </c>
      <c r="L10" s="11">
        <v>24.079548769814256</v>
      </c>
      <c r="M10" s="11">
        <v>24.091800543267365</v>
      </c>
      <c r="N10" s="11">
        <v>24.128365899551309</v>
      </c>
      <c r="O10" s="11">
        <v>25.766353740185927</v>
      </c>
      <c r="P10" s="11">
        <v>25.758381405634072</v>
      </c>
      <c r="Q10" s="11">
        <v>25.823913667001293</v>
      </c>
      <c r="R10" s="11">
        <v>25.80889566460219</v>
      </c>
      <c r="S10" s="11">
        <v>27.578843460155216</v>
      </c>
      <c r="T10" s="11">
        <v>27.574014684426036</v>
      </c>
      <c r="U10" s="11">
        <v>27.726756566604127</v>
      </c>
      <c r="V10" s="11">
        <v>27.581846341006923</v>
      </c>
      <c r="W10" s="11">
        <v>27.642188989397916</v>
      </c>
      <c r="X10" s="11">
        <v>27.360069587416621</v>
      </c>
      <c r="Y10" s="11">
        <v>27.385911056207533</v>
      </c>
      <c r="Z10" s="11">
        <v>27.38315529789071</v>
      </c>
      <c r="AA10" s="11">
        <v>27.357057066498978</v>
      </c>
      <c r="AB10" s="11">
        <v>27.497206816299158</v>
      </c>
      <c r="AC10" s="11">
        <v>29.688634302165081</v>
      </c>
      <c r="AD10" s="11">
        <v>30.043826295698718</v>
      </c>
      <c r="AE10" s="11">
        <v>31.469957661962884</v>
      </c>
      <c r="AF10" s="11">
        <v>29.038065759475224</v>
      </c>
      <c r="AG10" s="11">
        <v>29.04358148722395</v>
      </c>
      <c r="AH10" s="11">
        <v>29.037118690839993</v>
      </c>
      <c r="AI10" s="11">
        <v>29.555197807010686</v>
      </c>
      <c r="AJ10" s="11">
        <v>29.983420764453275</v>
      </c>
      <c r="AK10" s="11">
        <v>30.312223099424759</v>
      </c>
      <c r="AL10" s="11">
        <v>30.32636068656246</v>
      </c>
      <c r="AM10" s="11">
        <v>31.685446718747659</v>
      </c>
      <c r="AN10" s="11">
        <v>31.689926426409883</v>
      </c>
      <c r="AO10" s="11">
        <v>31.885024094012351</v>
      </c>
      <c r="AP10" s="11">
        <v>31.93542924975393</v>
      </c>
      <c r="AQ10" s="11">
        <v>32.143012718659648</v>
      </c>
      <c r="AR10" s="11">
        <v>32.456802267698109</v>
      </c>
      <c r="AS10" s="11">
        <v>32.443506548806631</v>
      </c>
      <c r="AT10" s="11">
        <v>32.386136329305572</v>
      </c>
      <c r="AU10" s="11">
        <v>32.293597921781213</v>
      </c>
      <c r="AV10" s="11">
        <v>32.231798849507506</v>
      </c>
      <c r="AW10" s="11">
        <v>32.255986839741773</v>
      </c>
      <c r="AX10" s="11">
        <v>32.232361554108095</v>
      </c>
      <c r="AY10" s="11">
        <v>33.234588033466636</v>
      </c>
      <c r="AZ10" s="11">
        <v>33.487482433242867</v>
      </c>
      <c r="BA10" s="11">
        <v>33.497418987924604</v>
      </c>
      <c r="BB10" s="11">
        <v>33.772857916501884</v>
      </c>
      <c r="BC10" s="11">
        <v>33.901215497763182</v>
      </c>
      <c r="BD10" s="11">
        <v>33.869067132470789</v>
      </c>
      <c r="BE10" s="11">
        <v>34.397930920396711</v>
      </c>
      <c r="BF10" s="11">
        <v>34.602353014739698</v>
      </c>
      <c r="BG10" s="11">
        <v>34.508564208320273</v>
      </c>
      <c r="BH10" s="11">
        <v>34.549564990230209</v>
      </c>
      <c r="BI10" s="11">
        <v>34.5702226426517</v>
      </c>
      <c r="BJ10" s="11">
        <v>34.793062682113387</v>
      </c>
      <c r="BK10" s="11">
        <v>34.98527394076924</v>
      </c>
      <c r="BL10" s="11">
        <v>34.804965112473909</v>
      </c>
      <c r="BM10" s="11">
        <v>35.479230987545407</v>
      </c>
      <c r="BN10" s="11">
        <v>35.726375890819654</v>
      </c>
      <c r="BO10" s="11">
        <v>35.203923526184255</v>
      </c>
      <c r="BP10" s="11">
        <v>35.204921942412199</v>
      </c>
      <c r="BQ10" s="11">
        <v>35.19541250755649</v>
      </c>
      <c r="BR10" s="11">
        <v>34.034722740565286</v>
      </c>
      <c r="BS10" s="11">
        <v>34.958020996295957</v>
      </c>
      <c r="BT10" s="11">
        <v>35.370618812164842</v>
      </c>
      <c r="BU10" s="11">
        <v>35.882013421038955</v>
      </c>
      <c r="BV10" s="11">
        <v>36.138785099018577</v>
      </c>
      <c r="BW10" s="11">
        <v>36.564950754109439</v>
      </c>
      <c r="BX10" s="11">
        <v>36.950682403372163</v>
      </c>
      <c r="BY10" s="11">
        <v>37.133127998053872</v>
      </c>
      <c r="BZ10" s="11">
        <v>37.157336685169284</v>
      </c>
      <c r="CA10" s="11">
        <v>37.182065655327499</v>
      </c>
      <c r="CB10" s="11">
        <v>37.1391756176168</v>
      </c>
      <c r="CC10" s="11">
        <v>37.608724074803</v>
      </c>
      <c r="CD10" s="11">
        <v>37.596528486894002</v>
      </c>
      <c r="CE10" s="11">
        <v>39.268472652549498</v>
      </c>
      <c r="CF10" s="11">
        <v>39.619805850480297</v>
      </c>
      <c r="CG10" s="11">
        <v>40.370059454135401</v>
      </c>
      <c r="CH10" s="11">
        <v>40.648140846773103</v>
      </c>
      <c r="CI10" s="11">
        <v>45.021346357695201</v>
      </c>
      <c r="CJ10" s="11">
        <v>45.295283283655301</v>
      </c>
      <c r="CK10" s="11">
        <v>45.273601086270098</v>
      </c>
      <c r="CL10" s="11">
        <v>46.013048819595603</v>
      </c>
      <c r="CM10" s="11">
        <v>48.250593682947198</v>
      </c>
      <c r="CN10" s="11">
        <v>48.3696624320296</v>
      </c>
    </row>
    <row r="11" spans="1:92" x14ac:dyDescent="0.35">
      <c r="A11" t="s">
        <v>36</v>
      </c>
      <c r="B11" s="11">
        <v>16.810182721260002</v>
      </c>
      <c r="C11" s="11">
        <v>16.985750610618332</v>
      </c>
      <c r="D11" s="11">
        <v>16.972528272855495</v>
      </c>
      <c r="E11" s="11">
        <v>17.60033531126912</v>
      </c>
      <c r="F11" s="11">
        <v>17.595208625749649</v>
      </c>
      <c r="G11" s="11">
        <v>17.922324976408476</v>
      </c>
      <c r="H11" s="11">
        <v>18.008341639193439</v>
      </c>
      <c r="I11" s="11">
        <v>18.344910228788343</v>
      </c>
      <c r="J11" s="11">
        <v>18.333603740142308</v>
      </c>
      <c r="K11" s="11">
        <v>18.268519133126937</v>
      </c>
      <c r="L11" s="11">
        <v>19.502816035172657</v>
      </c>
      <c r="M11" s="11">
        <v>19.501720334591752</v>
      </c>
      <c r="N11" s="11">
        <v>19.454339446383795</v>
      </c>
      <c r="O11" s="11">
        <v>20.205797797994165</v>
      </c>
      <c r="P11" s="11">
        <v>20.71615262282247</v>
      </c>
      <c r="Q11" s="11">
        <v>20.7177794834308</v>
      </c>
      <c r="R11" s="11">
        <v>20.721452454322666</v>
      </c>
      <c r="S11" s="11">
        <v>21.002715566185884</v>
      </c>
      <c r="T11" s="11">
        <v>21.878285404101327</v>
      </c>
      <c r="U11" s="11">
        <v>21.953747446343161</v>
      </c>
      <c r="V11" s="11">
        <v>21.944414814459222</v>
      </c>
      <c r="W11" s="11">
        <v>22.049623654625215</v>
      </c>
      <c r="X11" s="11">
        <v>22.043180587826669</v>
      </c>
      <c r="Y11" s="11">
        <v>22.081625403915606</v>
      </c>
      <c r="Z11" s="11">
        <v>22.084771460423635</v>
      </c>
      <c r="AA11" s="11">
        <v>22.705953125000001</v>
      </c>
      <c r="AB11" s="11">
        <v>23.078845099707021</v>
      </c>
      <c r="AC11" s="11">
        <v>23.725932011331444</v>
      </c>
      <c r="AD11" s="11">
        <v>23.730024492487402</v>
      </c>
      <c r="AE11" s="11">
        <v>24.497230116723419</v>
      </c>
      <c r="AF11" s="11">
        <v>23.027525882449723</v>
      </c>
      <c r="AG11" s="11">
        <v>23.039408179229802</v>
      </c>
      <c r="AH11" s="11">
        <v>23.048230360036083</v>
      </c>
      <c r="AI11" s="11">
        <v>24.148447326472148</v>
      </c>
      <c r="AJ11" s="11">
        <v>24.379911060484361</v>
      </c>
      <c r="AK11" s="11">
        <v>24.393504839578839</v>
      </c>
      <c r="AL11" s="11">
        <v>24.394255581488618</v>
      </c>
      <c r="AM11" s="11">
        <v>24.965568669482412</v>
      </c>
      <c r="AN11" s="11">
        <v>25.356073801777441</v>
      </c>
      <c r="AO11" s="11">
        <v>25.604578421097088</v>
      </c>
      <c r="AP11" s="11">
        <v>25.634000650319908</v>
      </c>
      <c r="AQ11" s="11">
        <v>26.247444446219262</v>
      </c>
      <c r="AR11" s="11">
        <v>26.250287327864598</v>
      </c>
      <c r="AS11" s="11">
        <v>26.260149190155349</v>
      </c>
      <c r="AT11" s="11">
        <v>26.269458159466819</v>
      </c>
      <c r="AU11" s="11">
        <v>26.050619520723636</v>
      </c>
      <c r="AV11" s="11">
        <v>26.658101447957005</v>
      </c>
      <c r="AW11" s="11">
        <v>26.6341190490317</v>
      </c>
      <c r="AX11" s="11">
        <v>26.639822922895174</v>
      </c>
      <c r="AY11" s="11">
        <v>27.416758408292139</v>
      </c>
      <c r="AZ11" s="11">
        <v>27.405990909030002</v>
      </c>
      <c r="BA11" s="11">
        <v>27.409636682846191</v>
      </c>
      <c r="BB11" s="11">
        <v>27.554802484714518</v>
      </c>
      <c r="BC11" s="11">
        <v>27.568368944863373</v>
      </c>
      <c r="BD11" s="11">
        <v>27.604721846031708</v>
      </c>
      <c r="BE11" s="11">
        <v>27.861648171236336</v>
      </c>
      <c r="BF11" s="11">
        <v>27.914442845264752</v>
      </c>
      <c r="BG11" s="11">
        <v>27.927797264292924</v>
      </c>
      <c r="BH11" s="11">
        <v>27.34482827981655</v>
      </c>
      <c r="BI11" s="11">
        <v>28.073496056724945</v>
      </c>
      <c r="BJ11" s="11">
        <v>28.289629384460145</v>
      </c>
      <c r="BK11" s="11">
        <v>28.518597686931194</v>
      </c>
      <c r="BL11" s="11">
        <v>28.734064706176504</v>
      </c>
      <c r="BM11" s="11">
        <v>29.265244581328933</v>
      </c>
      <c r="BN11" s="11">
        <v>29.458346852576323</v>
      </c>
      <c r="BO11" s="11">
        <v>29.697133002469684</v>
      </c>
      <c r="BP11" s="11">
        <v>29.703804920763378</v>
      </c>
      <c r="BQ11" s="11">
        <v>29.466911754761171</v>
      </c>
      <c r="BR11" s="11">
        <v>29.765294533229408</v>
      </c>
      <c r="BS11" s="11">
        <v>29.983193908490367</v>
      </c>
      <c r="BT11" s="11">
        <v>30.534694027315808</v>
      </c>
      <c r="BU11" s="11">
        <v>30.928150533638991</v>
      </c>
      <c r="BV11" s="11">
        <v>31.561180346389722</v>
      </c>
      <c r="BW11" s="11">
        <v>32.379883959825925</v>
      </c>
      <c r="BX11" s="11">
        <v>32.684633931866919</v>
      </c>
      <c r="BY11" s="11">
        <v>32.684724470944367</v>
      </c>
      <c r="BZ11" s="11">
        <v>33.431353923408381</v>
      </c>
      <c r="CA11" s="11">
        <v>34.625148209294402</v>
      </c>
      <c r="CB11" s="11">
        <v>34.669651164624597</v>
      </c>
      <c r="CC11" s="11">
        <v>34.963013850266101</v>
      </c>
      <c r="CD11" s="11">
        <v>35.167937604024999</v>
      </c>
      <c r="CE11" s="11">
        <v>36.129396345186997</v>
      </c>
      <c r="CF11" s="11">
        <v>36.1401934904017</v>
      </c>
      <c r="CG11" s="11">
        <v>36.9474001112685</v>
      </c>
      <c r="CH11" s="11">
        <v>37.601445522087197</v>
      </c>
      <c r="CI11" s="11">
        <v>40.908080064994202</v>
      </c>
      <c r="CJ11" s="11">
        <v>41.371886984403197</v>
      </c>
      <c r="CK11" s="11">
        <v>41.373606010882497</v>
      </c>
      <c r="CL11" s="11">
        <v>42.259787961678903</v>
      </c>
      <c r="CM11" s="11">
        <v>44.433220719369302</v>
      </c>
      <c r="CN11" s="11">
        <v>44.682690392549901</v>
      </c>
    </row>
    <row r="12" spans="1:92" x14ac:dyDescent="0.35">
      <c r="A12" t="s">
        <v>30</v>
      </c>
      <c r="B12" s="11">
        <v>15.9165646981842</v>
      </c>
      <c r="C12" s="11">
        <v>16.106005594214764</v>
      </c>
      <c r="D12" s="11">
        <v>16.13123810818157</v>
      </c>
      <c r="E12" s="11">
        <v>16.115741455160741</v>
      </c>
      <c r="F12" s="11">
        <v>16.117098728043612</v>
      </c>
      <c r="G12" s="11">
        <v>16.117760434112682</v>
      </c>
      <c r="H12" s="11">
        <v>16.253888406861112</v>
      </c>
      <c r="I12" s="11">
        <v>18.759771837898786</v>
      </c>
      <c r="J12" s="11">
        <v>18.747242356352135</v>
      </c>
      <c r="K12" s="11">
        <v>18.738848023118351</v>
      </c>
      <c r="L12" s="11">
        <v>20.060726202158985</v>
      </c>
      <c r="M12" s="11">
        <v>20.299438553119511</v>
      </c>
      <c r="N12" s="11">
        <v>20.261742840519751</v>
      </c>
      <c r="O12" s="11">
        <v>20.239618271636619</v>
      </c>
      <c r="P12" s="11">
        <v>20.220443499777932</v>
      </c>
      <c r="Q12" s="11">
        <v>21.039808055380743</v>
      </c>
      <c r="R12" s="11">
        <v>21.023778277715287</v>
      </c>
      <c r="S12" s="11">
        <v>21.012770823004459</v>
      </c>
      <c r="T12" s="11">
        <v>21.147635268076733</v>
      </c>
      <c r="U12" s="11">
        <v>21.666356868249228</v>
      </c>
      <c r="V12" s="11">
        <v>22.399161763813911</v>
      </c>
      <c r="W12" s="11">
        <v>22.684165765116003</v>
      </c>
      <c r="X12" s="11">
        <v>22.672736306495061</v>
      </c>
      <c r="Y12" s="11">
        <v>23.17412630324695</v>
      </c>
      <c r="Z12" s="11">
        <v>23.057969389571102</v>
      </c>
      <c r="AA12" s="11">
        <v>23.165608572105135</v>
      </c>
      <c r="AB12" s="11">
        <v>23.257561291843473</v>
      </c>
      <c r="AC12" s="11">
        <v>24.380722538267548</v>
      </c>
      <c r="AD12" s="11">
        <v>24.347811695906429</v>
      </c>
      <c r="AE12" s="11">
        <v>24.455120114348389</v>
      </c>
      <c r="AF12" s="11">
        <v>24.587483650525112</v>
      </c>
      <c r="AG12" s="11">
        <v>25.032085703758707</v>
      </c>
      <c r="AH12" s="11">
        <v>25.069763468810759</v>
      </c>
      <c r="AI12" s="11">
        <v>25.630873586386574</v>
      </c>
      <c r="AJ12" s="11">
        <v>25.604444480868672</v>
      </c>
      <c r="AK12" s="11">
        <v>26.226598344164032</v>
      </c>
      <c r="AL12" s="11">
        <v>26.203444023391544</v>
      </c>
      <c r="AM12" s="11">
        <v>26.21420007310001</v>
      </c>
      <c r="AN12" s="11">
        <v>26.187164747491916</v>
      </c>
      <c r="AO12" s="11">
        <v>26.324530438882292</v>
      </c>
      <c r="AP12" s="11">
        <v>26.286822368531585</v>
      </c>
      <c r="AQ12" s="11">
        <v>26.370045878230052</v>
      </c>
      <c r="AR12" s="11">
        <v>26.343366169920905</v>
      </c>
      <c r="AS12" s="11">
        <v>26.518645714615268</v>
      </c>
      <c r="AT12" s="11">
        <v>26.495187805121873</v>
      </c>
      <c r="AU12" s="11">
        <v>26.476941485594303</v>
      </c>
      <c r="AV12" s="11">
        <v>26.441403460659203</v>
      </c>
      <c r="AW12" s="11">
        <v>26.835519826083242</v>
      </c>
      <c r="AX12" s="11">
        <v>26.785875105605044</v>
      </c>
      <c r="AY12" s="11">
        <v>26.813865912537388</v>
      </c>
      <c r="AZ12" s="11">
        <v>26.994181971862353</v>
      </c>
      <c r="BA12" s="11">
        <v>27.218592955015207</v>
      </c>
      <c r="BB12" s="11">
        <v>27.205288412174113</v>
      </c>
      <c r="BC12" s="11">
        <v>27.162301718061258</v>
      </c>
      <c r="BD12" s="11">
        <v>27.116216145343294</v>
      </c>
      <c r="BE12" s="11">
        <v>27.244807121439589</v>
      </c>
      <c r="BF12" s="11">
        <v>27.26169466929603</v>
      </c>
      <c r="BG12" s="11">
        <v>27.237294007228222</v>
      </c>
      <c r="BH12" s="11">
        <v>27.330620470970945</v>
      </c>
      <c r="BI12" s="11">
        <v>27.274419032278427</v>
      </c>
      <c r="BJ12" s="11">
        <v>27.663913238415866</v>
      </c>
      <c r="BK12" s="11">
        <v>28.071544402982443</v>
      </c>
      <c r="BL12" s="11">
        <v>28.25336824744209</v>
      </c>
      <c r="BM12" s="11">
        <v>28.437718844278368</v>
      </c>
      <c r="BN12" s="11">
        <v>28.579555014559428</v>
      </c>
      <c r="BO12" s="11">
        <v>28.12149043274847</v>
      </c>
      <c r="BP12" s="11">
        <v>28.101768075946303</v>
      </c>
      <c r="BQ12" s="11">
        <v>28.069359775201939</v>
      </c>
      <c r="BR12" s="11">
        <v>28.089813065984142</v>
      </c>
      <c r="BS12" s="11">
        <v>28.110954814690491</v>
      </c>
      <c r="BT12" s="11">
        <v>28.137088308518287</v>
      </c>
      <c r="BU12" s="11">
        <v>28.075792918068032</v>
      </c>
      <c r="BV12" s="11">
        <v>28.199987703711649</v>
      </c>
      <c r="BW12" s="11">
        <v>28.752154512545729</v>
      </c>
      <c r="BX12" s="11">
        <v>28.77087626761492</v>
      </c>
      <c r="BY12" s="11">
        <v>28.752161242186428</v>
      </c>
      <c r="BZ12" s="11">
        <v>28.790682323640869</v>
      </c>
      <c r="CA12" s="11">
        <v>30.1873000223693</v>
      </c>
      <c r="CB12" s="11">
        <v>30.388359899654699</v>
      </c>
      <c r="CC12" s="11">
        <v>30.471232889804</v>
      </c>
      <c r="CD12" s="11">
        <v>30.541775232580299</v>
      </c>
      <c r="CE12" s="11">
        <v>32.080364717824203</v>
      </c>
      <c r="CF12" s="11">
        <v>32.252094990488203</v>
      </c>
      <c r="CG12" s="11">
        <v>32.4873299915552</v>
      </c>
      <c r="CH12" s="11">
        <v>32.667139695210899</v>
      </c>
      <c r="CI12" s="11">
        <v>35.065994177381498</v>
      </c>
      <c r="CJ12" s="11">
        <v>35.135101205404403</v>
      </c>
      <c r="CK12" s="11">
        <v>35.138735630389498</v>
      </c>
      <c r="CL12" s="11">
        <v>35.697015077033697</v>
      </c>
      <c r="CM12" s="11">
        <v>38.056037941968199</v>
      </c>
      <c r="CN12" s="11">
        <v>38.1567024445648</v>
      </c>
    </row>
    <row r="13" spans="1:92" x14ac:dyDescent="0.35">
      <c r="A13" t="s">
        <v>32</v>
      </c>
      <c r="B13" s="11">
        <v>17.026050425236747</v>
      </c>
      <c r="C13" s="11">
        <v>17.379299601497404</v>
      </c>
      <c r="D13" s="11">
        <v>17.38063250648802</v>
      </c>
      <c r="E13" s="11">
        <v>17.758074320241693</v>
      </c>
      <c r="F13" s="11">
        <v>17.75741314610822</v>
      </c>
      <c r="G13" s="11">
        <v>17.786396332023344</v>
      </c>
      <c r="H13" s="11">
        <v>17.914022701610506</v>
      </c>
      <c r="I13" s="11">
        <v>18.587219019316496</v>
      </c>
      <c r="J13" s="11">
        <v>18.587266877197166</v>
      </c>
      <c r="K13" s="11">
        <v>18.58917458432304</v>
      </c>
      <c r="L13" s="11">
        <v>19.740471462544587</v>
      </c>
      <c r="M13" s="11">
        <v>19.74959388750149</v>
      </c>
      <c r="N13" s="11">
        <v>19.791237959329294</v>
      </c>
      <c r="O13" s="11">
        <v>20.985344244796298</v>
      </c>
      <c r="P13" s="11">
        <v>20.698059054182512</v>
      </c>
      <c r="Q13" s="11">
        <v>20.757182443960698</v>
      </c>
      <c r="R13" s="11">
        <v>20.75519891713747</v>
      </c>
      <c r="S13" s="11">
        <v>21.829845011112408</v>
      </c>
      <c r="T13" s="11">
        <v>21.814638796571629</v>
      </c>
      <c r="U13" s="11">
        <v>21.960812306975114</v>
      </c>
      <c r="V13" s="11">
        <v>22.177282412528381</v>
      </c>
      <c r="W13" s="11">
        <v>21.711161695447416</v>
      </c>
      <c r="X13" s="11">
        <v>21.685920227589413</v>
      </c>
      <c r="Y13" s="11">
        <v>21.718555607097301</v>
      </c>
      <c r="Z13" s="11">
        <v>21.694151643382995</v>
      </c>
      <c r="AA13" s="11">
        <v>22.586052524784044</v>
      </c>
      <c r="AB13" s="11">
        <v>23.183068483658623</v>
      </c>
      <c r="AC13" s="11">
        <v>23.976113390741485</v>
      </c>
      <c r="AD13" s="11">
        <v>23.962938162970108</v>
      </c>
      <c r="AE13" s="11">
        <v>25.063157106732596</v>
      </c>
      <c r="AF13" s="11">
        <v>22.691877862993405</v>
      </c>
      <c r="AG13" s="11">
        <v>22.691965366091591</v>
      </c>
      <c r="AH13" s="11">
        <v>22.675054883089008</v>
      </c>
      <c r="AI13" s="11">
        <v>23.438672521850496</v>
      </c>
      <c r="AJ13" s="11">
        <v>23.809350768833031</v>
      </c>
      <c r="AK13" s="11">
        <v>24.193921317102649</v>
      </c>
      <c r="AL13" s="11">
        <v>24.19189697672001</v>
      </c>
      <c r="AM13" s="11">
        <v>24.534631367786723</v>
      </c>
      <c r="AN13" s="11">
        <v>24.535231981309479</v>
      </c>
      <c r="AO13" s="11">
        <v>24.534401411468892</v>
      </c>
      <c r="AP13" s="11">
        <v>24.536446640057147</v>
      </c>
      <c r="AQ13" s="11">
        <v>25.495241550005655</v>
      </c>
      <c r="AR13" s="11">
        <v>25.489714588514406</v>
      </c>
      <c r="AS13" s="11">
        <v>25.50027589360419</v>
      </c>
      <c r="AT13" s="11">
        <v>25.502557997266806</v>
      </c>
      <c r="AU13" s="11">
        <v>25.839337368599782</v>
      </c>
      <c r="AV13" s="11">
        <v>25.790057596717709</v>
      </c>
      <c r="AW13" s="11">
        <v>25.837056032725982</v>
      </c>
      <c r="AX13" s="11">
        <v>25.832382073279817</v>
      </c>
      <c r="AY13" s="11">
        <v>26.576046694184967</v>
      </c>
      <c r="AZ13" s="11">
        <v>26.943333911947956</v>
      </c>
      <c r="BA13" s="11">
        <v>27.334645940645789</v>
      </c>
      <c r="BB13" s="11">
        <v>27.405301264390211</v>
      </c>
      <c r="BC13" s="11">
        <v>27.427883485379184</v>
      </c>
      <c r="BD13" s="11">
        <v>27.537172933496773</v>
      </c>
      <c r="BE13" s="11">
        <v>27.466656523330041</v>
      </c>
      <c r="BF13" s="11">
        <v>27.501893304264605</v>
      </c>
      <c r="BG13" s="11">
        <v>27.468035767286135</v>
      </c>
      <c r="BH13" s="11">
        <v>27.597964604434097</v>
      </c>
      <c r="BI13" s="11">
        <v>27.531231572916301</v>
      </c>
      <c r="BJ13" s="11">
        <v>27.71933023042633</v>
      </c>
      <c r="BK13" s="11">
        <v>27.831906048010133</v>
      </c>
      <c r="BL13" s="11">
        <v>28.161472140039844</v>
      </c>
      <c r="BM13" s="11">
        <v>28.60581329672511</v>
      </c>
      <c r="BN13" s="11">
        <v>28.75932288631974</v>
      </c>
      <c r="BO13" s="11">
        <v>28.760418995048052</v>
      </c>
      <c r="BP13" s="11">
        <v>28.755142545169171</v>
      </c>
      <c r="BQ13" s="11">
        <v>27.842364260003972</v>
      </c>
      <c r="BR13" s="11">
        <v>27.93792620279109</v>
      </c>
      <c r="BS13" s="11">
        <v>27.77993659398555</v>
      </c>
      <c r="BT13" s="11">
        <v>27.974869752312546</v>
      </c>
      <c r="BU13" s="11">
        <v>28.646788109636404</v>
      </c>
      <c r="BV13" s="11">
        <v>28.808130131873046</v>
      </c>
      <c r="BW13" s="11">
        <v>29.072872194704992</v>
      </c>
      <c r="BX13" s="11">
        <v>28.376072031854068</v>
      </c>
      <c r="BY13" s="11">
        <v>29.86113449405547</v>
      </c>
      <c r="BZ13" s="11">
        <v>29.792593789065094</v>
      </c>
      <c r="CA13" s="11">
        <v>30.287572483002499</v>
      </c>
      <c r="CB13" s="11">
        <v>30.387908341728298</v>
      </c>
      <c r="CC13" s="11">
        <v>30.822838182112498</v>
      </c>
      <c r="CD13" s="11">
        <v>30.807618484489598</v>
      </c>
      <c r="CE13" s="11">
        <v>31.798313094195599</v>
      </c>
      <c r="CF13" s="11">
        <v>32.253475595316402</v>
      </c>
      <c r="CG13" s="11">
        <v>33.1051847844275</v>
      </c>
      <c r="CH13" s="11">
        <v>33.244004167643297</v>
      </c>
      <c r="CI13" s="11">
        <v>36.458914540033398</v>
      </c>
      <c r="CJ13" s="11">
        <v>36.641323695508902</v>
      </c>
      <c r="CK13" s="11">
        <v>36.609604727732602</v>
      </c>
      <c r="CL13" s="11">
        <v>37.324004257829102</v>
      </c>
      <c r="CM13" s="11">
        <v>38.815369620591198</v>
      </c>
      <c r="CN13" s="11">
        <v>39.019170387541301</v>
      </c>
    </row>
    <row r="14" spans="1:92" x14ac:dyDescent="0.35">
      <c r="A14" t="s">
        <v>38</v>
      </c>
      <c r="B14" s="11">
        <v>20.109874551971327</v>
      </c>
      <c r="C14" s="11">
        <v>20.926199651264167</v>
      </c>
      <c r="D14" s="11">
        <v>20.924680656934306</v>
      </c>
      <c r="E14" s="11">
        <v>20.929423827278242</v>
      </c>
      <c r="F14" s="11">
        <v>20.931347692573855</v>
      </c>
      <c r="G14" s="11">
        <v>22.148417461893864</v>
      </c>
      <c r="H14" s="11">
        <v>22.147906776003452</v>
      </c>
      <c r="I14" s="11">
        <v>22.154714593198452</v>
      </c>
      <c r="J14" s="11">
        <v>22.156157120743032</v>
      </c>
      <c r="K14" s="11">
        <v>23.438571428571429</v>
      </c>
      <c r="L14" s="11">
        <v>23.480549128030628</v>
      </c>
      <c r="M14" s="11">
        <v>23.48019550466497</v>
      </c>
      <c r="N14" s="11">
        <v>23.492402608401086</v>
      </c>
      <c r="O14" s="11">
        <v>23.491905164398613</v>
      </c>
      <c r="P14" s="11">
        <v>23.890636528639565</v>
      </c>
      <c r="Q14" s="11">
        <v>23.921210720887242</v>
      </c>
      <c r="R14" s="11">
        <v>23.931379888502327</v>
      </c>
      <c r="S14" s="11">
        <v>25.19186231429169</v>
      </c>
      <c r="T14" s="11">
        <v>25.191852347309897</v>
      </c>
      <c r="U14" s="11">
        <v>25.227210594477167</v>
      </c>
      <c r="V14" s="11">
        <v>25.235665802892253</v>
      </c>
      <c r="W14" s="11">
        <v>25.771619774081941</v>
      </c>
      <c r="X14" s="11">
        <v>25.770589436825208</v>
      </c>
      <c r="Y14" s="11">
        <v>25.808038758074595</v>
      </c>
      <c r="Z14" s="11">
        <v>25.804287496880466</v>
      </c>
      <c r="AA14" s="11">
        <v>26.992532961776817</v>
      </c>
      <c r="AB14" s="11">
        <v>27.019106838848987</v>
      </c>
      <c r="AC14" s="11">
        <v>27.687796089501436</v>
      </c>
      <c r="AD14" s="11">
        <v>27.692115456392816</v>
      </c>
      <c r="AE14" s="11">
        <v>28.493287902377084</v>
      </c>
      <c r="AF14" s="11">
        <v>28.449831554519257</v>
      </c>
      <c r="AG14" s="11">
        <v>28.426320890291294</v>
      </c>
      <c r="AH14" s="11">
        <v>28.414959703593929</v>
      </c>
      <c r="AI14" s="11">
        <v>28.8332946893062</v>
      </c>
      <c r="AJ14" s="11">
        <v>28.737529180084742</v>
      </c>
      <c r="AK14" s="11">
        <v>28.620706376470707</v>
      </c>
      <c r="AL14" s="11">
        <v>28.561102146455219</v>
      </c>
      <c r="AM14" s="11">
        <v>28.843840116145504</v>
      </c>
      <c r="AN14" s="11">
        <v>28.899195373053608</v>
      </c>
      <c r="AO14" s="11">
        <v>28.852907682479287</v>
      </c>
      <c r="AP14" s="11">
        <v>28.823331310543168</v>
      </c>
      <c r="AQ14" s="11">
        <v>29.219000469618987</v>
      </c>
      <c r="AR14" s="11">
        <v>29.199580393816756</v>
      </c>
      <c r="AS14" s="11">
        <v>29.173437710169249</v>
      </c>
      <c r="AT14" s="11">
        <v>29.162106557894671</v>
      </c>
      <c r="AU14" s="11">
        <v>28.72369636168963</v>
      </c>
      <c r="AV14" s="11">
        <v>28.72080178182858</v>
      </c>
      <c r="AW14" s="11">
        <v>28.835602962886217</v>
      </c>
      <c r="AX14" s="11">
        <v>28.832664484486443</v>
      </c>
      <c r="AY14" s="11">
        <v>29.379698362927702</v>
      </c>
      <c r="AZ14" s="11">
        <v>29.459966576724266</v>
      </c>
      <c r="BA14" s="11">
        <v>29.951451206991027</v>
      </c>
      <c r="BB14" s="11">
        <v>30.089189934949875</v>
      </c>
      <c r="BC14" s="11">
        <v>30.489618395761109</v>
      </c>
      <c r="BD14" s="11">
        <v>30.468491814641432</v>
      </c>
      <c r="BE14" s="11">
        <v>30.501353610055013</v>
      </c>
      <c r="BF14" s="11">
        <v>29.622476534526974</v>
      </c>
      <c r="BG14" s="11">
        <v>29.07725932135812</v>
      </c>
      <c r="BH14" s="11">
        <v>29.095700667014636</v>
      </c>
      <c r="BI14" s="11">
        <v>29.176802338163718</v>
      </c>
      <c r="BJ14" s="11">
        <v>29.772777961511572</v>
      </c>
      <c r="BK14" s="11">
        <v>29.208012752126756</v>
      </c>
      <c r="BL14" s="11">
        <v>29.222898744356797</v>
      </c>
      <c r="BM14" s="11">
        <v>29.806973794682978</v>
      </c>
      <c r="BN14" s="11">
        <v>30.464746437853012</v>
      </c>
      <c r="BO14" s="11">
        <v>30.058522720991885</v>
      </c>
      <c r="BP14" s="11">
        <v>30.060930639016977</v>
      </c>
      <c r="BQ14" s="11">
        <v>30.064312803163752</v>
      </c>
      <c r="BR14" s="11">
        <v>30.751408851480651</v>
      </c>
      <c r="BS14" s="11">
        <v>31.343681477581921</v>
      </c>
      <c r="BT14" s="11">
        <v>31.627206624567737</v>
      </c>
      <c r="BU14" s="11">
        <v>32.144418414589339</v>
      </c>
      <c r="BV14" s="11">
        <v>32.48608530641927</v>
      </c>
      <c r="BW14" s="11">
        <v>32.593791689221135</v>
      </c>
      <c r="BX14" s="11">
        <v>31.5677901042408</v>
      </c>
      <c r="BY14" s="11">
        <v>32.676776393767945</v>
      </c>
      <c r="BZ14" s="11">
        <v>32.98256398194362</v>
      </c>
      <c r="CA14" s="11">
        <v>33.577997431162103</v>
      </c>
      <c r="CB14" s="11">
        <v>34.241500038830097</v>
      </c>
      <c r="CC14" s="11">
        <v>34.162317314420498</v>
      </c>
      <c r="CD14" s="11">
        <v>35.119810404390897</v>
      </c>
      <c r="CE14" s="11">
        <v>36.442936754703602</v>
      </c>
      <c r="CF14" s="11">
        <v>35.8703002650008</v>
      </c>
      <c r="CG14" s="11">
        <v>35.997694375737197</v>
      </c>
      <c r="CH14" s="11">
        <v>36.1619486460418</v>
      </c>
      <c r="CI14" s="11">
        <v>41.175691601043397</v>
      </c>
      <c r="CJ14" s="11">
        <v>41.396136979275298</v>
      </c>
      <c r="CK14" s="11">
        <v>40.777764877562397</v>
      </c>
      <c r="CL14" s="11">
        <v>42.339229528605799</v>
      </c>
      <c r="CM14" s="11">
        <v>43.236409891222898</v>
      </c>
      <c r="CN14" s="11">
        <v>44.040596813274803</v>
      </c>
    </row>
    <row r="15" spans="1:92" x14ac:dyDescent="0.35">
      <c r="A15" t="s">
        <v>39</v>
      </c>
      <c r="B15" s="11">
        <v>16.476613551536033</v>
      </c>
      <c r="C15" s="11">
        <v>16.478653722835766</v>
      </c>
      <c r="D15" s="11">
        <v>16.47996179425499</v>
      </c>
      <c r="E15" s="11">
        <v>18.652859851810234</v>
      </c>
      <c r="F15" s="11">
        <v>18.649483353669165</v>
      </c>
      <c r="G15" s="11">
        <v>18.634171024300215</v>
      </c>
      <c r="H15" s="11">
        <v>18.777764601950324</v>
      </c>
      <c r="I15" s="11">
        <v>19.396717541786259</v>
      </c>
      <c r="J15" s="11">
        <v>19.3977847082495</v>
      </c>
      <c r="K15" s="11">
        <v>19.419259950041631</v>
      </c>
      <c r="L15" s="11">
        <v>19.4193102188569</v>
      </c>
      <c r="M15" s="11">
        <v>21.247595012563647</v>
      </c>
      <c r="N15" s="11">
        <v>21.270982881136952</v>
      </c>
      <c r="O15" s="11">
        <v>21.275395902258055</v>
      </c>
      <c r="P15" s="11">
        <v>23.859792411640754</v>
      </c>
      <c r="Q15" s="11">
        <v>21.869012915714649</v>
      </c>
      <c r="R15" s="11">
        <v>21.868590490072485</v>
      </c>
      <c r="S15" s="11">
        <v>21.883150321204162</v>
      </c>
      <c r="T15" s="11">
        <v>23.587149431941814</v>
      </c>
      <c r="U15" s="11">
        <v>23.772328126931161</v>
      </c>
      <c r="V15" s="11">
        <v>23.636672504075296</v>
      </c>
      <c r="W15" s="11">
        <v>23.716020380850413</v>
      </c>
      <c r="X15" s="11">
        <v>23.714466961023142</v>
      </c>
      <c r="Y15" s="11">
        <v>23.748702989995454</v>
      </c>
      <c r="Z15" s="11">
        <v>24.963586236802417</v>
      </c>
      <c r="AA15" s="11">
        <v>24.933715090090089</v>
      </c>
      <c r="AB15" s="11">
        <v>25.537018440172218</v>
      </c>
      <c r="AC15" s="11">
        <v>26.090092852022231</v>
      </c>
      <c r="AD15" s="11">
        <v>27.124242124814263</v>
      </c>
      <c r="AE15" s="11">
        <v>26.97898572066044</v>
      </c>
      <c r="AF15" s="11">
        <v>24.702728255965312</v>
      </c>
      <c r="AG15" s="11">
        <v>24.694691081825926</v>
      </c>
      <c r="AH15" s="11">
        <v>24.759631463684126</v>
      </c>
      <c r="AI15" s="11">
        <v>26.023008321811627</v>
      </c>
      <c r="AJ15" s="11">
        <v>26.360590888248414</v>
      </c>
      <c r="AK15" s="11">
        <v>26.336118707508788</v>
      </c>
      <c r="AL15" s="11">
        <v>26.3191576261794</v>
      </c>
      <c r="AM15" s="11">
        <v>26.947117084229891</v>
      </c>
      <c r="AN15" s="11">
        <v>27.047074520065642</v>
      </c>
      <c r="AO15" s="11">
        <v>27.275085499999822</v>
      </c>
      <c r="AP15" s="11">
        <v>27.515738674091178</v>
      </c>
      <c r="AQ15" s="11">
        <v>27.726818148487787</v>
      </c>
      <c r="AR15" s="11">
        <v>27.9611268350315</v>
      </c>
      <c r="AS15" s="11">
        <v>27.957233788745491</v>
      </c>
      <c r="AT15" s="11">
        <v>27.957665501522559</v>
      </c>
      <c r="AU15" s="11">
        <v>28.16752502361485</v>
      </c>
      <c r="AV15" s="11">
        <v>28.2008102110434</v>
      </c>
      <c r="AW15" s="11">
        <v>28.409788144668784</v>
      </c>
      <c r="AX15" s="11">
        <v>28.413649989127549</v>
      </c>
      <c r="AY15" s="11">
        <v>28.42278428386917</v>
      </c>
      <c r="AZ15" s="11">
        <v>29.336146903144133</v>
      </c>
      <c r="BA15" s="11">
        <v>29.544489509008255</v>
      </c>
      <c r="BB15" s="11">
        <v>29.535962891117823</v>
      </c>
      <c r="BC15" s="11">
        <v>29.794961552957915</v>
      </c>
      <c r="BD15" s="11">
        <v>29.91160062556656</v>
      </c>
      <c r="BE15" s="11">
        <v>31.609310069683314</v>
      </c>
      <c r="BF15" s="11">
        <v>31.722154763471199</v>
      </c>
      <c r="BG15" s="11">
        <v>30.063758310537626</v>
      </c>
      <c r="BH15" s="11">
        <v>30.12652735236329</v>
      </c>
      <c r="BI15" s="11">
        <v>30.110919625875155</v>
      </c>
      <c r="BJ15" s="11">
        <v>30.444210966715055</v>
      </c>
      <c r="BK15" s="11">
        <v>30.650225924657011</v>
      </c>
      <c r="BL15" s="11">
        <v>30.920139997719524</v>
      </c>
      <c r="BM15" s="11">
        <v>31.501997105502294</v>
      </c>
      <c r="BN15" s="11">
        <v>31.611193868143555</v>
      </c>
      <c r="BO15" s="11">
        <v>30.121569639247422</v>
      </c>
      <c r="BP15" s="11">
        <v>30.113043173942685</v>
      </c>
      <c r="BQ15" s="11">
        <v>30.123250070581058</v>
      </c>
      <c r="BR15" s="11">
        <v>29.516406153147209</v>
      </c>
      <c r="BS15" s="11">
        <v>30.010868638956094</v>
      </c>
      <c r="BT15" s="11">
        <v>30.366288075307448</v>
      </c>
      <c r="BU15" s="11">
        <v>31.293530734147858</v>
      </c>
      <c r="BV15" s="11">
        <v>31.409485170444583</v>
      </c>
      <c r="BW15" s="11">
        <v>32.179460941262711</v>
      </c>
      <c r="BX15" s="11">
        <v>32.996862144871379</v>
      </c>
      <c r="BY15" s="11">
        <v>33.210509658235878</v>
      </c>
      <c r="BZ15" s="11">
        <v>33.493403291125155</v>
      </c>
      <c r="CA15" s="11">
        <v>34.687261018133</v>
      </c>
      <c r="CB15" s="11">
        <v>34.849745481380801</v>
      </c>
      <c r="CC15" s="11">
        <v>35.224550155881701</v>
      </c>
      <c r="CD15" s="11">
        <v>35.453725574787498</v>
      </c>
      <c r="CE15" s="11">
        <v>36.714519298960802</v>
      </c>
      <c r="CF15" s="11">
        <v>38.614570801902502</v>
      </c>
      <c r="CG15" s="11">
        <v>39.194003393744502</v>
      </c>
      <c r="CH15" s="11">
        <v>39.385334520199699</v>
      </c>
      <c r="CI15" s="11">
        <v>44.047418501596198</v>
      </c>
      <c r="CJ15" s="11">
        <v>44.187373582081399</v>
      </c>
      <c r="CK15" s="11">
        <v>44.095196595836804</v>
      </c>
      <c r="CL15" s="11">
        <v>45.061296283596398</v>
      </c>
      <c r="CM15" s="11">
        <v>45.3927691179099</v>
      </c>
      <c r="CN15" s="11">
        <v>45.477932491814201</v>
      </c>
    </row>
    <row r="16" spans="1:92" x14ac:dyDescent="0.35">
      <c r="A16" t="s">
        <v>42</v>
      </c>
      <c r="B16" s="11">
        <v>14.294088429514785</v>
      </c>
      <c r="C16" s="11">
        <v>14.295677235482721</v>
      </c>
      <c r="D16" s="11">
        <v>14.296695910570255</v>
      </c>
      <c r="E16" s="11">
        <v>16.233392562418796</v>
      </c>
      <c r="F16" s="11">
        <v>16.229987449886703</v>
      </c>
      <c r="G16" s="11">
        <v>16.236019686250387</v>
      </c>
      <c r="H16" s="11">
        <v>16.38090856579797</v>
      </c>
      <c r="I16" s="11">
        <v>17.262563903427317</v>
      </c>
      <c r="J16" s="11">
        <v>17.263311871227366</v>
      </c>
      <c r="K16" s="11">
        <v>17.284914571190676</v>
      </c>
      <c r="L16" s="11">
        <v>17.285486035003821</v>
      </c>
      <c r="M16" s="11">
        <v>18.977892613899357</v>
      </c>
      <c r="N16" s="11">
        <v>18.996607881136949</v>
      </c>
      <c r="O16" s="11">
        <v>18.995258728680177</v>
      </c>
      <c r="P16" s="11">
        <v>21.579173398039654</v>
      </c>
      <c r="Q16" s="11">
        <v>19.725887915714647</v>
      </c>
      <c r="R16" s="11">
        <v>19.725465490072484</v>
      </c>
      <c r="S16" s="11">
        <v>19.740025321204165</v>
      </c>
      <c r="T16" s="11">
        <v>21.444024431941806</v>
      </c>
      <c r="U16" s="11">
        <v>21.629203126931156</v>
      </c>
      <c r="V16" s="11">
        <v>21.493547504075291</v>
      </c>
      <c r="W16" s="11">
        <v>21.572895380850415</v>
      </c>
      <c r="X16" s="11">
        <v>21.571341961023144</v>
      </c>
      <c r="Y16" s="11">
        <v>21.605577989995453</v>
      </c>
      <c r="Z16" s="11">
        <v>22.820461236802416</v>
      </c>
      <c r="AA16" s="11">
        <v>22.798973873873869</v>
      </c>
      <c r="AB16" s="11">
        <v>23.402967469951562</v>
      </c>
      <c r="AC16" s="11">
        <v>23.90925742278511</v>
      </c>
      <c r="AD16" s="11">
        <v>24.94335601783061</v>
      </c>
      <c r="AE16" s="11">
        <v>24.801761091672613</v>
      </c>
      <c r="AF16" s="11">
        <v>22.528770250988124</v>
      </c>
      <c r="AG16" s="11">
        <v>22.520535280875823</v>
      </c>
      <c r="AH16" s="11">
        <v>22.585165563622319</v>
      </c>
      <c r="AI16" s="11">
        <v>23.848341664913253</v>
      </c>
      <c r="AJ16" s="11">
        <v>24.169945651263621</v>
      </c>
      <c r="AK16" s="11">
        <v>24.145462912504886</v>
      </c>
      <c r="AL16" s="11">
        <v>24.128613765145612</v>
      </c>
      <c r="AM16" s="11">
        <v>24.756587203382704</v>
      </c>
      <c r="AN16" s="11">
        <v>24.871955318943414</v>
      </c>
      <c r="AO16" s="11">
        <v>25.099681811417334</v>
      </c>
      <c r="AP16" s="11">
        <v>25.114318259474171</v>
      </c>
      <c r="AQ16" s="11">
        <v>25.589022932045392</v>
      </c>
      <c r="AR16" s="11">
        <v>25.824988653074946</v>
      </c>
      <c r="AS16" s="11">
        <v>25.822277441395812</v>
      </c>
      <c r="AT16" s="11">
        <v>25.824542221924897</v>
      </c>
      <c r="AU16" s="11">
        <v>26.009367983297942</v>
      </c>
      <c r="AV16" s="11">
        <v>26.038579414691721</v>
      </c>
      <c r="AW16" s="11">
        <v>26.232715933844634</v>
      </c>
      <c r="AX16" s="11">
        <v>26.233608733426479</v>
      </c>
      <c r="AY16" s="11">
        <v>26.243273248432331</v>
      </c>
      <c r="AZ16" s="11">
        <v>27.151193375726052</v>
      </c>
      <c r="BA16" s="11">
        <v>27.354784005392215</v>
      </c>
      <c r="BB16" s="11">
        <v>27.347515592500539</v>
      </c>
      <c r="BC16" s="11">
        <v>27.483672608585962</v>
      </c>
      <c r="BD16" s="11">
        <v>27.613840432685478</v>
      </c>
      <c r="BE16" s="11">
        <v>28.15473001534421</v>
      </c>
      <c r="BF16" s="11">
        <v>28.305517885748696</v>
      </c>
      <c r="BG16" s="11">
        <v>27.794209099747011</v>
      </c>
      <c r="BH16" s="11">
        <v>27.864164725391142</v>
      </c>
      <c r="BI16" s="11">
        <v>27.856743389260853</v>
      </c>
      <c r="BJ16" s="11">
        <v>28.13531249366801</v>
      </c>
      <c r="BK16" s="11">
        <v>28.314543908503513</v>
      </c>
      <c r="BL16" s="11">
        <v>28.589258664289748</v>
      </c>
      <c r="BM16" s="11">
        <v>29.206932276036486</v>
      </c>
      <c r="BN16" s="11">
        <v>29.27900959684311</v>
      </c>
      <c r="BO16" s="11">
        <v>29.782914404872418</v>
      </c>
      <c r="BP16" s="11">
        <v>29.774387939567685</v>
      </c>
      <c r="BQ16" s="11">
        <v>29.785072232165312</v>
      </c>
      <c r="BR16" s="11">
        <v>29.178221138484986</v>
      </c>
      <c r="BS16" s="11">
        <v>29.472012104303435</v>
      </c>
      <c r="BT16" s="11">
        <v>29.832409440194414</v>
      </c>
      <c r="BU16" s="11">
        <v>30.76232292497809</v>
      </c>
      <c r="BV16" s="11">
        <v>30.864787265572225</v>
      </c>
      <c r="BW16" s="11">
        <v>31.554304099480355</v>
      </c>
      <c r="BX16" s="11">
        <v>32.615678113621392</v>
      </c>
      <c r="BY16" s="11">
        <v>32.82932562698587</v>
      </c>
      <c r="BZ16" s="11">
        <v>33.112219259875147</v>
      </c>
      <c r="CA16" s="11">
        <v>34.307261018132898</v>
      </c>
      <c r="CB16" s="11">
        <v>34.469745481380798</v>
      </c>
      <c r="CC16" s="11">
        <v>34.844550155881699</v>
      </c>
      <c r="CD16" s="11">
        <v>35.073725574787503</v>
      </c>
      <c r="CE16" s="11">
        <v>36.334519298960799</v>
      </c>
      <c r="CF16" s="11">
        <v>38.2345708019025</v>
      </c>
      <c r="CG16" s="11">
        <v>38.8140033937445</v>
      </c>
      <c r="CH16" s="11">
        <v>39.005334520199703</v>
      </c>
      <c r="CI16" s="11">
        <v>43.667418501596202</v>
      </c>
      <c r="CJ16" s="11">
        <v>43.807373582081397</v>
      </c>
      <c r="CK16" s="11">
        <v>43.715196595836801</v>
      </c>
      <c r="CL16" s="11">
        <v>44.681296283596403</v>
      </c>
      <c r="CM16" s="11">
        <v>45.012769117909897</v>
      </c>
      <c r="CN16" s="11">
        <v>45.097932491814198</v>
      </c>
    </row>
    <row r="17" spans="1:92" x14ac:dyDescent="0.35">
      <c r="A17" t="s">
        <v>43</v>
      </c>
      <c r="B17" s="11">
        <v>15.571247015610652</v>
      </c>
      <c r="C17" s="11">
        <v>15.570880428316478</v>
      </c>
      <c r="D17" s="11">
        <v>18.076433477370934</v>
      </c>
      <c r="E17" s="11">
        <v>18.59625135722041</v>
      </c>
      <c r="F17" s="11">
        <v>18.594571660210793</v>
      </c>
      <c r="G17" s="11">
        <v>20.252478229643597</v>
      </c>
      <c r="H17" s="11">
        <v>20.366886632068717</v>
      </c>
      <c r="I17" s="11">
        <v>20.567146416336701</v>
      </c>
      <c r="J17" s="11">
        <v>20.564985649313375</v>
      </c>
      <c r="K17" s="11">
        <v>20.56094933639049</v>
      </c>
      <c r="L17" s="11">
        <v>22.467378670652366</v>
      </c>
      <c r="M17" s="11">
        <v>22.54652202469568</v>
      </c>
      <c r="N17" s="11">
        <v>22.534602151474239</v>
      </c>
      <c r="O17" s="11">
        <v>22.532726169318131</v>
      </c>
      <c r="P17" s="11">
        <v>24.065945302695923</v>
      </c>
      <c r="Q17" s="11">
        <v>24.275325257576409</v>
      </c>
      <c r="R17" s="11">
        <v>24.263320762802657</v>
      </c>
      <c r="S17" s="11">
        <v>26.148857801887999</v>
      </c>
      <c r="T17" s="11">
        <v>26.587410368732193</v>
      </c>
      <c r="U17" s="11">
        <v>26.847481618419394</v>
      </c>
      <c r="V17" s="11">
        <v>26.83022621200017</v>
      </c>
      <c r="W17" s="11">
        <v>28.207721599323037</v>
      </c>
      <c r="X17" s="11">
        <v>28.163804412137601</v>
      </c>
      <c r="Y17" s="11">
        <v>28.127835112442515</v>
      </c>
      <c r="Z17" s="11">
        <v>28.143125131440591</v>
      </c>
      <c r="AA17" s="11">
        <v>29.001931549471067</v>
      </c>
      <c r="AB17" s="11">
        <v>29.00483631327122</v>
      </c>
      <c r="AC17" s="11">
        <v>29.564697820620282</v>
      </c>
      <c r="AD17" s="11">
        <v>29.641707785431016</v>
      </c>
      <c r="AE17" s="11">
        <v>29.503643398301392</v>
      </c>
      <c r="AF17" s="11">
        <v>30.002086859313064</v>
      </c>
      <c r="AG17" s="11">
        <v>29.913926337960344</v>
      </c>
      <c r="AH17" s="11">
        <v>29.866405591369499</v>
      </c>
      <c r="AI17" s="11">
        <v>30.548264451886489</v>
      </c>
      <c r="AJ17" s="11">
        <v>31.208842833451484</v>
      </c>
      <c r="AK17" s="11">
        <v>31.137685371072852</v>
      </c>
      <c r="AL17" s="11">
        <v>31.430141934180156</v>
      </c>
      <c r="AM17" s="11">
        <v>31.839727575188338</v>
      </c>
      <c r="AN17" s="11">
        <v>31.812688766061591</v>
      </c>
      <c r="AO17" s="11">
        <v>32.131344577698066</v>
      </c>
      <c r="AP17" s="11">
        <v>32.673889972296287</v>
      </c>
      <c r="AQ17" s="11">
        <v>32.700767422744647</v>
      </c>
      <c r="AR17" s="11">
        <v>32.675709497718458</v>
      </c>
      <c r="AS17" s="11">
        <v>32.92643656828195</v>
      </c>
      <c r="AT17" s="11">
        <v>32.905285447802186</v>
      </c>
      <c r="AU17" s="11">
        <v>32.907109985010038</v>
      </c>
      <c r="AV17" s="11">
        <v>32.889915106176069</v>
      </c>
      <c r="AW17" s="11">
        <v>33.046181363508154</v>
      </c>
      <c r="AX17" s="11">
        <v>33.006395933427861</v>
      </c>
      <c r="AY17" s="11">
        <v>33.009326689621375</v>
      </c>
      <c r="AZ17" s="11">
        <v>33.496388230829382</v>
      </c>
      <c r="BA17" s="11">
        <v>34.07398423948775</v>
      </c>
      <c r="BB17" s="11">
        <v>34.036690628503081</v>
      </c>
      <c r="BC17" s="11">
        <v>34.104865738180933</v>
      </c>
      <c r="BD17" s="11">
        <v>34.068610739341025</v>
      </c>
      <c r="BE17" s="11">
        <v>34.330552210726758</v>
      </c>
      <c r="BF17" s="11">
        <v>34.443641303080774</v>
      </c>
      <c r="BG17" s="11">
        <v>34.49571073549226</v>
      </c>
      <c r="BH17" s="11">
        <v>34.750856424497329</v>
      </c>
      <c r="BI17" s="11">
        <v>34.675156420935224</v>
      </c>
      <c r="BJ17" s="11">
        <v>34.903582981577941</v>
      </c>
      <c r="BK17" s="11">
        <v>34.900604170561103</v>
      </c>
      <c r="BL17" s="11">
        <v>35.268134123212292</v>
      </c>
      <c r="BM17" s="11">
        <v>35.54031170169025</v>
      </c>
      <c r="BN17" s="11">
        <v>35.685541027273075</v>
      </c>
      <c r="BO17" s="11">
        <v>36.396936854269882</v>
      </c>
      <c r="BP17" s="11">
        <v>36.365263222221294</v>
      </c>
      <c r="BQ17" s="11">
        <v>36.305385953319742</v>
      </c>
      <c r="BR17" s="11">
        <v>36.332247052645478</v>
      </c>
      <c r="BS17" s="11">
        <v>36.914614177837535</v>
      </c>
      <c r="BT17" s="11">
        <v>37.22308998667485</v>
      </c>
      <c r="BU17" s="11">
        <v>37.273308929742917</v>
      </c>
      <c r="BV17" s="11">
        <v>37.571499879008371</v>
      </c>
      <c r="BW17" s="11">
        <v>37.98277730856217</v>
      </c>
      <c r="BX17" s="11">
        <v>37.913094567899357</v>
      </c>
      <c r="BY17" s="11">
        <v>37.86083049859193</v>
      </c>
      <c r="BZ17" s="11">
        <v>37.848035052002722</v>
      </c>
      <c r="CA17" s="11">
        <v>38.623351144907801</v>
      </c>
      <c r="CB17" s="11">
        <v>39.040630901607798</v>
      </c>
      <c r="CC17" s="11">
        <v>39.019492552808899</v>
      </c>
      <c r="CD17" s="11">
        <v>39.080403535210699</v>
      </c>
      <c r="CE17" s="11">
        <v>40.950015110076102</v>
      </c>
      <c r="CF17" s="11">
        <v>41.268200728944301</v>
      </c>
      <c r="CG17" s="11">
        <v>41.616801576554302</v>
      </c>
      <c r="CH17" s="11">
        <v>41.853319906019699</v>
      </c>
      <c r="CI17" s="11">
        <v>44.437812276045698</v>
      </c>
      <c r="CJ17" s="11">
        <v>44.609127782699098</v>
      </c>
      <c r="CK17" s="11">
        <v>44.607937108980998</v>
      </c>
      <c r="CL17" s="11">
        <v>45.649975518329803</v>
      </c>
      <c r="CM17" s="11">
        <v>46.996834278895903</v>
      </c>
      <c r="CN17" s="11">
        <v>47.121214617800298</v>
      </c>
    </row>
    <row r="18" spans="1:92" x14ac:dyDescent="0.35">
      <c r="A18" t="s">
        <v>46</v>
      </c>
      <c r="B18" s="11">
        <v>16.610149637596447</v>
      </c>
      <c r="C18" s="11">
        <v>16.844868559411147</v>
      </c>
      <c r="D18" s="11">
        <v>18.125150879645808</v>
      </c>
      <c r="E18" s="11">
        <v>18.280944881889763</v>
      </c>
      <c r="F18" s="11">
        <v>18.271066435586366</v>
      </c>
      <c r="G18" s="11">
        <v>18.445162930436794</v>
      </c>
      <c r="H18" s="11">
        <v>19.277647601476016</v>
      </c>
      <c r="I18" s="11">
        <v>19.401700138504157</v>
      </c>
      <c r="J18" s="11">
        <v>19.389862618332948</v>
      </c>
      <c r="K18" s="11">
        <v>19.581985954409394</v>
      </c>
      <c r="L18" s="11">
        <v>20.721500518612419</v>
      </c>
      <c r="M18" s="11">
        <v>20.772258918296892</v>
      </c>
      <c r="N18" s="11">
        <v>20.734832816270252</v>
      </c>
      <c r="O18" s="11">
        <v>21.23578669118492</v>
      </c>
      <c r="P18" s="11">
        <v>21.77963179628355</v>
      </c>
      <c r="Q18" s="11">
        <v>21.841062585969738</v>
      </c>
      <c r="R18" s="11">
        <v>21.8296690713386</v>
      </c>
      <c r="S18" s="11">
        <v>22.29611054131054</v>
      </c>
      <c r="T18" s="11">
        <v>23.717768473463842</v>
      </c>
      <c r="U18" s="11">
        <v>24.805238471971066</v>
      </c>
      <c r="V18" s="11">
        <v>24.733291582035658</v>
      </c>
      <c r="W18" s="11">
        <v>25.636793263253075</v>
      </c>
      <c r="X18" s="11">
        <v>25.617359791949344</v>
      </c>
      <c r="Y18" s="11">
        <v>25.631293481931781</v>
      </c>
      <c r="Z18" s="11">
        <v>25.536294336223399</v>
      </c>
      <c r="AA18" s="11">
        <v>26.107317128066622</v>
      </c>
      <c r="AB18" s="11">
        <v>26.83684133915575</v>
      </c>
      <c r="AC18" s="11">
        <v>27.197696604110813</v>
      </c>
      <c r="AD18" s="11">
        <v>27.067298414116593</v>
      </c>
      <c r="AE18" s="11">
        <v>28.209367267907385</v>
      </c>
      <c r="AF18" s="11">
        <v>27.444914561345847</v>
      </c>
      <c r="AG18" s="11">
        <v>27.429428886567404</v>
      </c>
      <c r="AH18" s="11">
        <v>27.402923580084039</v>
      </c>
      <c r="AI18" s="11">
        <v>27.613347351343762</v>
      </c>
      <c r="AJ18" s="11">
        <v>28.324890162369719</v>
      </c>
      <c r="AK18" s="11">
        <v>28.367672089052423</v>
      </c>
      <c r="AL18" s="11">
        <v>28.438885305471619</v>
      </c>
      <c r="AM18" s="11">
        <v>29.507016862359077</v>
      </c>
      <c r="AN18" s="11">
        <v>29.691657912224976</v>
      </c>
      <c r="AO18" s="11">
        <v>29.804852755985884</v>
      </c>
      <c r="AP18" s="11">
        <v>29.7909616205928</v>
      </c>
      <c r="AQ18" s="11">
        <v>29.910923490738199</v>
      </c>
      <c r="AR18" s="11">
        <v>29.982478207055777</v>
      </c>
      <c r="AS18" s="11">
        <v>29.943334971995533</v>
      </c>
      <c r="AT18" s="11">
        <v>29.880882624684507</v>
      </c>
      <c r="AU18" s="11">
        <v>29.701244992122596</v>
      </c>
      <c r="AV18" s="11">
        <v>29.561348956888079</v>
      </c>
      <c r="AW18" s="11">
        <v>29.797041367202397</v>
      </c>
      <c r="AX18" s="11">
        <v>29.753269681124127</v>
      </c>
      <c r="AY18" s="11">
        <v>30.089094104699853</v>
      </c>
      <c r="AZ18" s="11">
        <v>30.018139270096039</v>
      </c>
      <c r="BA18" s="11">
        <v>30.111915886441984</v>
      </c>
      <c r="BB18" s="11">
        <v>30.140160391326308</v>
      </c>
      <c r="BC18" s="11">
        <v>30.091299714927025</v>
      </c>
      <c r="BD18" s="11">
        <v>30.025833576238398</v>
      </c>
      <c r="BE18" s="11">
        <v>30.012481452885353</v>
      </c>
      <c r="BF18" s="11">
        <v>30.068358564567511</v>
      </c>
      <c r="BG18" s="11">
        <v>29.756345165450416</v>
      </c>
      <c r="BH18" s="11">
        <v>29.654611983911877</v>
      </c>
      <c r="BI18" s="11">
        <v>29.700083619110742</v>
      </c>
      <c r="BJ18" s="11">
        <v>29.792355114682856</v>
      </c>
      <c r="BK18" s="11">
        <v>29.446424763177603</v>
      </c>
      <c r="BL18" s="11">
        <v>30.016114120313613</v>
      </c>
      <c r="BM18" s="11">
        <v>30.239897624736219</v>
      </c>
      <c r="BN18" s="11">
        <v>30.21096198007314</v>
      </c>
      <c r="BO18" s="11">
        <v>30.425805823705996</v>
      </c>
      <c r="BP18" s="11">
        <v>30.42260394029028</v>
      </c>
      <c r="BQ18" s="11">
        <v>30.351052005326704</v>
      </c>
      <c r="BR18" s="11">
        <v>30.403701599234395</v>
      </c>
      <c r="BS18" s="11">
        <v>30.438424603624995</v>
      </c>
      <c r="BT18" s="11">
        <v>30.849319436133037</v>
      </c>
      <c r="BU18" s="11">
        <v>31.128104769470397</v>
      </c>
      <c r="BV18" s="11">
        <v>31.323172883699169</v>
      </c>
      <c r="BW18" s="11">
        <v>31.539646388111635</v>
      </c>
      <c r="BX18" s="11">
        <v>31.472909369257348</v>
      </c>
      <c r="BY18" s="11">
        <v>31.379720426001093</v>
      </c>
      <c r="BZ18" s="11">
        <v>30.89165268434818</v>
      </c>
      <c r="CA18" s="11">
        <v>31.236247905990702</v>
      </c>
      <c r="CB18" s="11">
        <v>31.668622486376599</v>
      </c>
      <c r="CC18" s="11">
        <v>31.724771094336301</v>
      </c>
      <c r="CD18" s="11">
        <v>31.4348554263963</v>
      </c>
      <c r="CE18" s="11">
        <v>33.082695806956401</v>
      </c>
      <c r="CF18" s="11">
        <v>33.167320596809198</v>
      </c>
      <c r="CG18" s="11">
        <v>33.7181524863378</v>
      </c>
      <c r="CH18" s="11">
        <v>34.352788852420197</v>
      </c>
      <c r="CI18" s="11">
        <v>36.157350011920499</v>
      </c>
      <c r="CJ18" s="11">
        <v>36.433952556388299</v>
      </c>
      <c r="CK18" s="11">
        <v>36.402399076161799</v>
      </c>
      <c r="CL18" s="11">
        <v>37.108338830571903</v>
      </c>
      <c r="CM18" s="11">
        <v>38.7784539933036</v>
      </c>
      <c r="CN18" s="11">
        <v>38.431640933593698</v>
      </c>
    </row>
    <row r="19" spans="1:92" x14ac:dyDescent="0.35">
      <c r="A19" t="s">
        <v>47</v>
      </c>
      <c r="B19" s="11">
        <v>15.218288867592049</v>
      </c>
      <c r="C19" s="11">
        <v>17.245082027877142</v>
      </c>
      <c r="D19" s="11">
        <v>17.245827871626819</v>
      </c>
      <c r="E19" s="11">
        <v>17.309868845409589</v>
      </c>
      <c r="F19" s="11">
        <v>17.309948320413437</v>
      </c>
      <c r="G19" s="11">
        <v>17.381413153658102</v>
      </c>
      <c r="H19" s="11">
        <v>17.524634654290136</v>
      </c>
      <c r="I19" s="11">
        <v>18.463415038484307</v>
      </c>
      <c r="J19" s="11">
        <v>18.463355631520006</v>
      </c>
      <c r="K19" s="11">
        <v>18.517620656228885</v>
      </c>
      <c r="L19" s="11">
        <v>20.054699296600234</v>
      </c>
      <c r="M19" s="11">
        <v>20.102120893561107</v>
      </c>
      <c r="N19" s="11">
        <v>20.095763460867541</v>
      </c>
      <c r="O19" s="11">
        <v>20.0672597658514</v>
      </c>
      <c r="P19" s="11">
        <v>20.92832716869907</v>
      </c>
      <c r="Q19" s="11">
        <v>20.965731791508457</v>
      </c>
      <c r="R19" s="11">
        <v>20.962392493912045</v>
      </c>
      <c r="S19" s="11">
        <v>21.037701273903501</v>
      </c>
      <c r="T19" s="11">
        <v>22.643904890997405</v>
      </c>
      <c r="U19" s="11">
        <v>22.800890133393366</v>
      </c>
      <c r="V19" s="11">
        <v>22.672159764144322</v>
      </c>
      <c r="W19" s="11">
        <v>22.90005292486909</v>
      </c>
      <c r="X19" s="11">
        <v>22.899127593621714</v>
      </c>
      <c r="Y19" s="11">
        <v>22.9333849495906</v>
      </c>
      <c r="Z19" s="11">
        <v>22.922080741892493</v>
      </c>
      <c r="AA19" s="11">
        <v>23.952597976894587</v>
      </c>
      <c r="AB19" s="11">
        <v>24.476549305498025</v>
      </c>
      <c r="AC19" s="11">
        <v>24.922277317630225</v>
      </c>
      <c r="AD19" s="11">
        <v>24.907596618357488</v>
      </c>
      <c r="AE19" s="11">
        <v>26.210221533383447</v>
      </c>
      <c r="AF19" s="11">
        <v>24.209129757163403</v>
      </c>
      <c r="AG19" s="11">
        <v>24.231665546125353</v>
      </c>
      <c r="AH19" s="11">
        <v>24.229263895118052</v>
      </c>
      <c r="AI19" s="11">
        <v>24.601351093624682</v>
      </c>
      <c r="AJ19" s="11">
        <v>24.881112518728678</v>
      </c>
      <c r="AK19" s="11">
        <v>24.988269910453777</v>
      </c>
      <c r="AL19" s="11">
        <v>25.071048211099484</v>
      </c>
      <c r="AM19" s="11">
        <v>26.596453940120711</v>
      </c>
      <c r="AN19" s="11">
        <v>26.612560156724697</v>
      </c>
      <c r="AO19" s="11">
        <v>26.671897996777076</v>
      </c>
      <c r="AP19" s="11">
        <v>27.083970408870648</v>
      </c>
      <c r="AQ19" s="11">
        <v>26.988282065654012</v>
      </c>
      <c r="AR19" s="11">
        <v>26.953548200148418</v>
      </c>
      <c r="AS19" s="11">
        <v>26.956675050614816</v>
      </c>
      <c r="AT19" s="11">
        <v>27.0056932437151</v>
      </c>
      <c r="AU19" s="11">
        <v>26.815969729503035</v>
      </c>
      <c r="AV19" s="11">
        <v>26.812541620311315</v>
      </c>
      <c r="AW19" s="11">
        <v>26.871190651786346</v>
      </c>
      <c r="AX19" s="11">
        <v>26.870396283524439</v>
      </c>
      <c r="AY19" s="11">
        <v>27.030567519772653</v>
      </c>
      <c r="AZ19" s="11">
        <v>27.451214238978878</v>
      </c>
      <c r="BA19" s="11">
        <v>27.549387517294576</v>
      </c>
      <c r="BB19" s="11">
        <v>27.562065415442234</v>
      </c>
      <c r="BC19" s="11">
        <v>27.541813040102969</v>
      </c>
      <c r="BD19" s="11">
        <v>27.591328077784301</v>
      </c>
      <c r="BE19" s="11">
        <v>27.645397246465404</v>
      </c>
      <c r="BF19" s="11">
        <v>27.574585007471661</v>
      </c>
      <c r="BG19" s="11">
        <v>27.693401123786526</v>
      </c>
      <c r="BH19" s="11">
        <v>27.650600480112871</v>
      </c>
      <c r="BI19" s="11">
        <v>27.755254990684509</v>
      </c>
      <c r="BJ19" s="11">
        <v>27.92991382844005</v>
      </c>
      <c r="BK19" s="11">
        <v>27.522652255300674</v>
      </c>
      <c r="BL19" s="11">
        <v>28.056490768053472</v>
      </c>
      <c r="BM19" s="11">
        <v>28.524590995867726</v>
      </c>
      <c r="BN19" s="11">
        <v>28.657711149524083</v>
      </c>
      <c r="BO19" s="11">
        <v>29.38155813523181</v>
      </c>
      <c r="BP19" s="11">
        <v>29.399903175179386</v>
      </c>
      <c r="BQ19" s="11">
        <v>29.398546439622859</v>
      </c>
      <c r="BR19" s="11">
        <v>28.837872103612973</v>
      </c>
      <c r="BS19" s="11">
        <v>29.16018164205294</v>
      </c>
      <c r="BT19" s="11">
        <v>30.534684787572164</v>
      </c>
      <c r="BU19" s="11">
        <v>31.014070219058169</v>
      </c>
      <c r="BV19" s="11">
        <v>31.325529681070513</v>
      </c>
      <c r="BW19" s="11">
        <v>31.532104749635131</v>
      </c>
      <c r="BX19" s="11">
        <v>31.775622086455396</v>
      </c>
      <c r="BY19" s="11">
        <v>31.811994017882522</v>
      </c>
      <c r="BZ19" s="11">
        <v>31.887159855079855</v>
      </c>
      <c r="CA19" s="11">
        <v>32.255319585942502</v>
      </c>
      <c r="CB19" s="11">
        <v>32.568904467037797</v>
      </c>
      <c r="CC19" s="11">
        <v>32.287569384083497</v>
      </c>
      <c r="CD19" s="11">
        <v>32.779430057664698</v>
      </c>
      <c r="CE19" s="11">
        <v>33.884644675963301</v>
      </c>
      <c r="CF19" s="11">
        <v>33.460206856720397</v>
      </c>
      <c r="CG19" s="11">
        <v>34.352011849811703</v>
      </c>
      <c r="CH19" s="11">
        <v>34.687734258601999</v>
      </c>
      <c r="CI19" s="11">
        <v>36.846041753104799</v>
      </c>
      <c r="CJ19" s="11">
        <v>37.029587843273298</v>
      </c>
      <c r="CK19" s="11">
        <v>37.035957556515903</v>
      </c>
      <c r="CL19" s="11">
        <v>37.6958526531728</v>
      </c>
      <c r="CM19" s="11">
        <v>39.441958405569501</v>
      </c>
      <c r="CN19" s="11">
        <v>38.784951930837501</v>
      </c>
    </row>
    <row r="20" spans="1:92" x14ac:dyDescent="0.35">
      <c r="A20" t="s">
        <v>48</v>
      </c>
      <c r="B20" s="11">
        <v>15.070003629105424</v>
      </c>
      <c r="C20" s="11">
        <v>15.073282878636819</v>
      </c>
      <c r="D20" s="11">
        <v>15.07806992120279</v>
      </c>
      <c r="E20" s="11">
        <v>16.680263895164934</v>
      </c>
      <c r="F20" s="11">
        <v>16.677995660428532</v>
      </c>
      <c r="G20" s="11">
        <v>16.721923919712509</v>
      </c>
      <c r="H20" s="11">
        <v>16.732731339356199</v>
      </c>
      <c r="I20" s="11">
        <v>17.363259065093928</v>
      </c>
      <c r="J20" s="11">
        <v>17.444998256016742</v>
      </c>
      <c r="K20" s="11">
        <v>17.444229063396818</v>
      </c>
      <c r="L20" s="11">
        <v>17.44432084817937</v>
      </c>
      <c r="M20" s="11">
        <v>18.467542262678808</v>
      </c>
      <c r="N20" s="11">
        <v>18.516871595330738</v>
      </c>
      <c r="O20" s="11">
        <v>18.518038776389485</v>
      </c>
      <c r="P20" s="11">
        <v>18.540131914893617</v>
      </c>
      <c r="Q20" s="11">
        <v>19.007709198813057</v>
      </c>
      <c r="R20" s="11">
        <v>19.135502533783786</v>
      </c>
      <c r="S20" s="11">
        <v>19.13871805648958</v>
      </c>
      <c r="T20" s="11">
        <v>19.158193909988292</v>
      </c>
      <c r="U20" s="11">
        <v>20.454488142952574</v>
      </c>
      <c r="V20" s="11">
        <v>20.436322929671242</v>
      </c>
      <c r="W20" s="11">
        <v>21.313162875643371</v>
      </c>
      <c r="X20" s="11">
        <v>21.31360560577162</v>
      </c>
      <c r="Y20" s="11">
        <v>21.34245445511759</v>
      </c>
      <c r="Z20" s="11">
        <v>21.339619614653106</v>
      </c>
      <c r="AA20" s="11">
        <v>21.342630792227208</v>
      </c>
      <c r="AB20" s="11">
        <v>21.463229736449527</v>
      </c>
      <c r="AC20" s="11">
        <v>22.000646980756475</v>
      </c>
      <c r="AD20" s="11">
        <v>22.003526981241219</v>
      </c>
      <c r="AE20" s="11">
        <v>22.323315716554664</v>
      </c>
      <c r="AF20" s="11">
        <v>22.983951697603825</v>
      </c>
      <c r="AG20" s="11">
        <v>22.978160286378252</v>
      </c>
      <c r="AH20" s="11">
        <v>22.97642565262877</v>
      </c>
      <c r="AI20" s="11">
        <v>23.668356217356429</v>
      </c>
      <c r="AJ20" s="11">
        <v>23.663743323259876</v>
      </c>
      <c r="AK20" s="11">
        <v>24.638517221195496</v>
      </c>
      <c r="AL20" s="11">
        <v>24.671350582669742</v>
      </c>
      <c r="AM20" s="11">
        <v>24.890917593251089</v>
      </c>
      <c r="AN20" s="11">
        <v>24.87792790132799</v>
      </c>
      <c r="AO20" s="11">
        <v>24.854180396945843</v>
      </c>
      <c r="AP20" s="11">
        <v>24.836425097141174</v>
      </c>
      <c r="AQ20" s="11">
        <v>25.319180491429698</v>
      </c>
      <c r="AR20" s="11">
        <v>25.317438089800074</v>
      </c>
      <c r="AS20" s="11">
        <v>25.431242891187487</v>
      </c>
      <c r="AT20" s="11">
        <v>25.423337322340544</v>
      </c>
      <c r="AU20" s="11">
        <v>25.604584364553244</v>
      </c>
      <c r="AV20" s="11">
        <v>25.591853396020742</v>
      </c>
      <c r="AW20" s="11">
        <v>25.957369127303096</v>
      </c>
      <c r="AX20" s="11">
        <v>25.924933346581309</v>
      </c>
      <c r="AY20" s="11">
        <v>26.313502733226276</v>
      </c>
      <c r="AZ20" s="11">
        <v>26.320285294425037</v>
      </c>
      <c r="BA20" s="11">
        <v>26.723170680134938</v>
      </c>
      <c r="BB20" s="11">
        <v>26.806697335929272</v>
      </c>
      <c r="BC20" s="11">
        <v>26.970802061159073</v>
      </c>
      <c r="BD20" s="11">
        <v>26.96790296353123</v>
      </c>
      <c r="BE20" s="11">
        <v>27.183085457581868</v>
      </c>
      <c r="BF20" s="11">
        <v>27.266890789846432</v>
      </c>
      <c r="BG20" s="11">
        <v>27.380982339337727</v>
      </c>
      <c r="BH20" s="11">
        <v>27.387319783642305</v>
      </c>
      <c r="BI20" s="11">
        <v>27.447653091017401</v>
      </c>
      <c r="BJ20" s="11">
        <v>27.928683964109847</v>
      </c>
      <c r="BK20" s="11">
        <v>28.165130054336949</v>
      </c>
      <c r="BL20" s="11">
        <v>28.608814737494438</v>
      </c>
      <c r="BM20" s="11">
        <v>28.926539873281357</v>
      </c>
      <c r="BN20" s="11">
        <v>28.980291694874143</v>
      </c>
      <c r="BO20" s="11">
        <v>29.470214963956195</v>
      </c>
      <c r="BP20" s="11">
        <v>29.469455524499782</v>
      </c>
      <c r="BQ20" s="11">
        <v>29.474586915121986</v>
      </c>
      <c r="BR20" s="11">
        <v>29.52611977917093</v>
      </c>
      <c r="BS20" s="11">
        <v>30.225275359191674</v>
      </c>
      <c r="BT20" s="11">
        <v>30.676821004545069</v>
      </c>
      <c r="BU20" s="11">
        <v>30.806138538978065</v>
      </c>
      <c r="BV20" s="11">
        <v>30.949880505837424</v>
      </c>
      <c r="BW20" s="11">
        <v>32.282641958997395</v>
      </c>
      <c r="BX20" s="11">
        <v>32.376119721112914</v>
      </c>
      <c r="BY20" s="11">
        <v>32.510087202913908</v>
      </c>
      <c r="BZ20" s="11">
        <v>32.71407451547357</v>
      </c>
      <c r="CA20" s="11">
        <v>33.7403328051724</v>
      </c>
      <c r="CB20" s="11">
        <v>34.117654223345298</v>
      </c>
      <c r="CC20" s="11">
        <v>34.278916013374698</v>
      </c>
      <c r="CD20" s="11">
        <v>34.396275230047301</v>
      </c>
      <c r="CE20" s="11">
        <v>36.737637930890699</v>
      </c>
      <c r="CF20" s="11">
        <v>37.116167821993898</v>
      </c>
      <c r="CG20" s="11">
        <v>37.395054491535198</v>
      </c>
      <c r="CH20" s="11">
        <v>37.538546225677699</v>
      </c>
      <c r="CI20" s="11">
        <v>41.759283428459298</v>
      </c>
      <c r="CJ20" s="11">
        <v>41.869685349082602</v>
      </c>
      <c r="CK20" s="11">
        <v>41.811661834738601</v>
      </c>
      <c r="CL20" s="11">
        <v>42.636761274192203</v>
      </c>
      <c r="CM20" s="11">
        <v>44.656745723181501</v>
      </c>
      <c r="CN20" s="11">
        <v>44.723172329788099</v>
      </c>
    </row>
    <row r="21" spans="1:92" x14ac:dyDescent="0.35">
      <c r="A21" t="s">
        <v>49</v>
      </c>
      <c r="B21" s="11">
        <v>17.047361441261103</v>
      </c>
      <c r="C21" s="11">
        <v>17.27791341362126</v>
      </c>
      <c r="D21" s="11">
        <v>17.261420451022136</v>
      </c>
      <c r="E21" s="11">
        <v>18.290215627316915</v>
      </c>
      <c r="F21" s="11">
        <v>18.780753788422498</v>
      </c>
      <c r="G21" s="11">
        <v>18.791397632581543</v>
      </c>
      <c r="H21" s="11">
        <v>18.913842153377349</v>
      </c>
      <c r="I21" s="11">
        <v>19.162456671918552</v>
      </c>
      <c r="J21" s="11">
        <v>19.151780345659162</v>
      </c>
      <c r="K21" s="11">
        <v>19.874028883466014</v>
      </c>
      <c r="L21" s="11">
        <v>20.011961135666787</v>
      </c>
      <c r="M21" s="11">
        <v>20.461748019929729</v>
      </c>
      <c r="N21" s="11">
        <v>20.440157464777617</v>
      </c>
      <c r="O21" s="11">
        <v>20.464375490966223</v>
      </c>
      <c r="P21" s="11">
        <v>20.46354851322555</v>
      </c>
      <c r="Q21" s="11">
        <v>22.316655261571963</v>
      </c>
      <c r="R21" s="11">
        <v>22.318314698030719</v>
      </c>
      <c r="S21" s="11">
        <v>22.440528352748625</v>
      </c>
      <c r="T21" s="11">
        <v>21.737436266605236</v>
      </c>
      <c r="U21" s="11">
        <v>22.75203090592268</v>
      </c>
      <c r="V21" s="11">
        <v>22.69125373020124</v>
      </c>
      <c r="W21" s="11">
        <v>23.583607373905075</v>
      </c>
      <c r="X21" s="11">
        <v>23.579376998021008</v>
      </c>
      <c r="Y21" s="11">
        <v>23.581926333776345</v>
      </c>
      <c r="Z21" s="11">
        <v>23.582286991269434</v>
      </c>
      <c r="AA21" s="11">
        <v>23.942129917380427</v>
      </c>
      <c r="AB21" s="11">
        <v>24.177377823990927</v>
      </c>
      <c r="AC21" s="11">
        <v>25.029158216733702</v>
      </c>
      <c r="AD21" s="11">
        <v>25.064714274958593</v>
      </c>
      <c r="AE21" s="11">
        <v>25.500072592995966</v>
      </c>
      <c r="AF21" s="11">
        <v>25.687547749915204</v>
      </c>
      <c r="AG21" s="11">
        <v>25.704025542773209</v>
      </c>
      <c r="AH21" s="11">
        <v>25.675715251069388</v>
      </c>
      <c r="AI21" s="11">
        <v>26.878655647780676</v>
      </c>
      <c r="AJ21" s="11">
        <v>26.857540156839214</v>
      </c>
      <c r="AK21" s="11">
        <v>26.852160823955224</v>
      </c>
      <c r="AL21" s="11">
        <v>26.863410110179284</v>
      </c>
      <c r="AM21" s="11">
        <v>27.453792872942657</v>
      </c>
      <c r="AN21" s="11">
        <v>27.93790333304888</v>
      </c>
      <c r="AO21" s="11">
        <v>27.950346748980955</v>
      </c>
      <c r="AP21" s="11">
        <v>27.966758078778689</v>
      </c>
      <c r="AQ21" s="11">
        <v>28.309481053997036</v>
      </c>
      <c r="AR21" s="11">
        <v>28.301816231152792</v>
      </c>
      <c r="AS21" s="11">
        <v>28.301288214249638</v>
      </c>
      <c r="AT21" s="11">
        <v>28.2823905572236</v>
      </c>
      <c r="AU21" s="11">
        <v>28.263238275055382</v>
      </c>
      <c r="AV21" s="11">
        <v>28.616289371296471</v>
      </c>
      <c r="AW21" s="11">
        <v>28.605104437324037</v>
      </c>
      <c r="AX21" s="11">
        <v>28.598018846158304</v>
      </c>
      <c r="AY21" s="11">
        <v>29.389747751540401</v>
      </c>
      <c r="AZ21" s="11">
        <v>29.488380313922516</v>
      </c>
      <c r="BA21" s="11">
        <v>29.491951154369179</v>
      </c>
      <c r="BB21" s="11">
        <v>29.763906886251451</v>
      </c>
      <c r="BC21" s="11">
        <v>30.135274188889763</v>
      </c>
      <c r="BD21" s="11">
        <v>30.109054360920155</v>
      </c>
      <c r="BE21" s="11">
        <v>30.304065048574053</v>
      </c>
      <c r="BF21" s="11">
        <v>30.665153937306986</v>
      </c>
      <c r="BG21" s="11">
        <v>30.621580970343956</v>
      </c>
      <c r="BH21" s="11">
        <v>30.612628023143841</v>
      </c>
      <c r="BI21" s="11">
        <v>30.586724549233764</v>
      </c>
      <c r="BJ21" s="11">
        <v>31.093446144945666</v>
      </c>
      <c r="BK21" s="11">
        <v>31.098338168618184</v>
      </c>
      <c r="BL21" s="11">
        <v>31.158266467833037</v>
      </c>
      <c r="BM21" s="11">
        <v>31.743091533734813</v>
      </c>
      <c r="BN21" s="11">
        <v>31.925934831418886</v>
      </c>
      <c r="BO21" s="11">
        <v>32.601325206040755</v>
      </c>
      <c r="BP21" s="11">
        <v>32.586122485666756</v>
      </c>
      <c r="BQ21" s="11">
        <v>32.574197555962883</v>
      </c>
      <c r="BR21" s="11">
        <v>32.641700705632886</v>
      </c>
      <c r="BS21" s="11">
        <v>32.580521963565012</v>
      </c>
      <c r="BT21" s="11">
        <v>33.075919855125228</v>
      </c>
      <c r="BU21" s="11">
        <v>33.259375401059543</v>
      </c>
      <c r="BV21" s="11">
        <v>33.879886123095766</v>
      </c>
      <c r="BW21" s="11">
        <v>34.534559797058463</v>
      </c>
      <c r="BX21" s="11">
        <v>34.384752684659944</v>
      </c>
      <c r="BY21" s="11">
        <v>34.372844776961564</v>
      </c>
      <c r="BZ21" s="11">
        <v>34.894573792870986</v>
      </c>
      <c r="CA21" s="11">
        <v>34.499521731319099</v>
      </c>
      <c r="CB21" s="11">
        <v>36.1369612662752</v>
      </c>
      <c r="CC21" s="11">
        <v>35.952458129738503</v>
      </c>
      <c r="CD21" s="11">
        <v>36.214105815425803</v>
      </c>
      <c r="CE21" s="11">
        <v>37.844134645095103</v>
      </c>
      <c r="CF21" s="11">
        <v>38.150629591397198</v>
      </c>
      <c r="CG21" s="11">
        <v>38.549381120022304</v>
      </c>
      <c r="CH21" s="11">
        <v>38.704642936115697</v>
      </c>
      <c r="CI21" s="11">
        <v>42.171886642094499</v>
      </c>
      <c r="CJ21" s="11">
        <v>42.220325044151899</v>
      </c>
      <c r="CK21" s="11">
        <v>42.214989427672101</v>
      </c>
      <c r="CL21" s="11">
        <v>43.136795060445003</v>
      </c>
      <c r="CM21" s="11">
        <v>44.370149817194601</v>
      </c>
      <c r="CN21" s="11">
        <v>44.531777387083501</v>
      </c>
    </row>
    <row r="22" spans="1:92" x14ac:dyDescent="0.35">
      <c r="A22" t="s">
        <v>66</v>
      </c>
      <c r="B22" s="11">
        <v>15.908960140059447</v>
      </c>
      <c r="C22" s="11">
        <v>15.995283235186823</v>
      </c>
      <c r="D22" s="11">
        <v>15.998083010335915</v>
      </c>
      <c r="E22" s="11">
        <v>17.474760958463516</v>
      </c>
      <c r="F22" s="11">
        <v>17.473952559900706</v>
      </c>
      <c r="G22" s="11">
        <v>17.474159820804225</v>
      </c>
      <c r="H22" s="11">
        <v>17.520461933905917</v>
      </c>
      <c r="I22" s="11">
        <v>18.199876938694942</v>
      </c>
      <c r="J22" s="11">
        <v>18.200724085194434</v>
      </c>
      <c r="K22" s="11">
        <v>18.201089653859505</v>
      </c>
      <c r="L22" s="11">
        <v>18.201698183766645</v>
      </c>
      <c r="M22" s="11">
        <v>19.299606222978952</v>
      </c>
      <c r="N22" s="11">
        <v>19.267254124497434</v>
      </c>
      <c r="O22" s="11">
        <v>19.269881366795968</v>
      </c>
      <c r="P22" s="11">
        <v>19.340424910377692</v>
      </c>
      <c r="Q22" s="11">
        <v>19.979184723169716</v>
      </c>
      <c r="R22" s="11">
        <v>19.980929380053908</v>
      </c>
      <c r="S22" s="11">
        <v>19.984093660367243</v>
      </c>
      <c r="T22" s="11">
        <v>19.98914433471878</v>
      </c>
      <c r="U22" s="11">
        <v>21.479831458590528</v>
      </c>
      <c r="V22" s="11">
        <v>21.429249799128851</v>
      </c>
      <c r="W22" s="11">
        <v>22.127486860763629</v>
      </c>
      <c r="X22" s="11">
        <v>22.080442026360959</v>
      </c>
      <c r="Y22" s="11">
        <v>22.08953263590001</v>
      </c>
      <c r="Z22" s="11">
        <v>22.026252556263959</v>
      </c>
      <c r="AA22" s="11">
        <v>21.961974613012789</v>
      </c>
      <c r="AB22" s="11">
        <v>21.961382578223038</v>
      </c>
      <c r="AC22" s="11">
        <v>22.476204292238393</v>
      </c>
      <c r="AD22" s="11">
        <v>22.431453235990524</v>
      </c>
      <c r="AE22" s="11">
        <v>22.759481792753014</v>
      </c>
      <c r="AF22" s="11">
        <v>22.034824553529926</v>
      </c>
      <c r="AG22" s="11">
        <v>22.605483895792158</v>
      </c>
      <c r="AH22" s="11">
        <v>22.817847107633241</v>
      </c>
      <c r="AI22" s="11">
        <v>23.86115372409305</v>
      </c>
      <c r="AJ22" s="11">
        <v>23.830879430468414</v>
      </c>
      <c r="AK22" s="11">
        <v>24.239949145064447</v>
      </c>
      <c r="AL22" s="11">
        <v>24.456415022993607</v>
      </c>
      <c r="AM22" s="11">
        <v>24.720459465363621</v>
      </c>
      <c r="AN22" s="11">
        <v>25.321540078909113</v>
      </c>
      <c r="AO22" s="11">
        <v>25.326435561759173</v>
      </c>
      <c r="AP22" s="11">
        <v>25.311915299954254</v>
      </c>
      <c r="AQ22" s="11">
        <v>26.474113048126746</v>
      </c>
      <c r="AR22" s="11">
        <v>26.456339969366905</v>
      </c>
      <c r="AS22" s="11">
        <v>26.464185841154951</v>
      </c>
      <c r="AT22" s="11">
        <v>26.448944690773931</v>
      </c>
      <c r="AU22" s="11">
        <v>26.518825038697724</v>
      </c>
      <c r="AV22" s="11">
        <v>26.555210294630538</v>
      </c>
      <c r="AW22" s="11">
        <v>27.031134281083709</v>
      </c>
      <c r="AX22" s="11">
        <v>27.009750330263525</v>
      </c>
      <c r="AY22" s="11">
        <v>27.312893722505358</v>
      </c>
      <c r="AZ22" s="11">
        <v>27.4015175077358</v>
      </c>
      <c r="BA22" s="11">
        <v>27.557253296376338</v>
      </c>
      <c r="BB22" s="11">
        <v>27.625558486899347</v>
      </c>
      <c r="BC22" s="11">
        <v>27.793545341912825</v>
      </c>
      <c r="BD22" s="11">
        <v>27.810681323083248</v>
      </c>
      <c r="BE22" s="11">
        <v>27.908436319841787</v>
      </c>
      <c r="BF22" s="11">
        <v>28.210483590041328</v>
      </c>
      <c r="BG22" s="11">
        <v>28.357192706902264</v>
      </c>
      <c r="BH22" s="11">
        <v>28.388941510024839</v>
      </c>
      <c r="BI22" s="11">
        <v>28.567420568315029</v>
      </c>
      <c r="BJ22" s="11">
        <v>28.980311854778851</v>
      </c>
      <c r="BK22" s="11">
        <v>28.516869890683928</v>
      </c>
      <c r="BL22" s="11">
        <v>28.508283954312407</v>
      </c>
      <c r="BM22" s="11">
        <v>28.936520576177283</v>
      </c>
      <c r="BN22" s="11">
        <v>29.082897485909687</v>
      </c>
      <c r="BO22" s="11">
        <v>29.130405891172348</v>
      </c>
      <c r="BP22" s="11">
        <v>28.980945869506051</v>
      </c>
      <c r="BQ22" s="11">
        <v>29.006757239477334</v>
      </c>
      <c r="BR22" s="11">
        <v>28.821115795629726</v>
      </c>
      <c r="BS22" s="11">
        <v>28.743548724149168</v>
      </c>
      <c r="BT22" s="11">
        <v>29.222815016349141</v>
      </c>
      <c r="BU22" s="11">
        <v>29.597657661426275</v>
      </c>
      <c r="BV22" s="11">
        <v>29.977330470184995</v>
      </c>
      <c r="BW22" s="11">
        <v>30.359362857593521</v>
      </c>
      <c r="BX22" s="11">
        <v>30.376180762790721</v>
      </c>
      <c r="BY22" s="11">
        <v>30.358372470295897</v>
      </c>
      <c r="BZ22" s="11">
        <v>30.493883138992317</v>
      </c>
      <c r="CA22" s="11">
        <v>29.7502248555965</v>
      </c>
      <c r="CB22" s="11">
        <v>30.753952602777701</v>
      </c>
      <c r="CC22" s="11">
        <v>31.135768036118598</v>
      </c>
      <c r="CD22" s="11">
        <v>30.329745773895699</v>
      </c>
      <c r="CE22" s="11">
        <v>31.266701715890299</v>
      </c>
      <c r="CF22" s="11">
        <v>31.5795518082009</v>
      </c>
      <c r="CG22" s="11">
        <v>31.141779305441599</v>
      </c>
      <c r="CH22" s="11">
        <v>31.934729573050401</v>
      </c>
      <c r="CI22" s="11">
        <v>35.702924235615001</v>
      </c>
      <c r="CJ22" s="11">
        <v>35.687732447227397</v>
      </c>
      <c r="CK22" s="11">
        <v>35.538329115048597</v>
      </c>
      <c r="CL22" s="11">
        <v>36.641311739793501</v>
      </c>
      <c r="CM22" s="11">
        <v>38.526067511174404</v>
      </c>
      <c r="CN22" s="11">
        <v>38.608311998429997</v>
      </c>
    </row>
    <row r="23" spans="1:92" x14ac:dyDescent="0.35">
      <c r="A23" t="s">
        <v>50</v>
      </c>
      <c r="B23" s="11">
        <v>17.112754459601256</v>
      </c>
      <c r="C23" s="11">
        <v>17.788154746310365</v>
      </c>
      <c r="D23" s="11">
        <v>17.846793492521648</v>
      </c>
      <c r="E23" s="11">
        <v>18.083317572892039</v>
      </c>
      <c r="F23" s="11">
        <v>18.080709033613445</v>
      </c>
      <c r="G23" s="11">
        <v>19.486396743412413</v>
      </c>
      <c r="H23" s="11">
        <v>21.654668186201455</v>
      </c>
      <c r="I23" s="11">
        <v>21.867670175438597</v>
      </c>
      <c r="J23" s="11">
        <v>21.896430634573306</v>
      </c>
      <c r="K23" s="11">
        <v>23.408524446776877</v>
      </c>
      <c r="L23" s="11">
        <v>23.567349460951881</v>
      </c>
      <c r="M23" s="11">
        <v>23.563750657548656</v>
      </c>
      <c r="N23" s="11">
        <v>23.83508505787443</v>
      </c>
      <c r="O23" s="11">
        <v>26.93228199072859</v>
      </c>
      <c r="P23" s="11">
        <v>26.915174960436083</v>
      </c>
      <c r="Q23" s="11">
        <v>27.473125435540069</v>
      </c>
      <c r="R23" s="11">
        <v>27.568816418819029</v>
      </c>
      <c r="S23" s="11">
        <v>27.566681707740372</v>
      </c>
      <c r="T23" s="11">
        <v>29.654639694391392</v>
      </c>
      <c r="U23" s="11">
        <v>30.078460672210667</v>
      </c>
      <c r="V23" s="11">
        <v>30.053363360762237</v>
      </c>
      <c r="W23" s="11">
        <v>30.921522470456313</v>
      </c>
      <c r="X23" s="11">
        <v>30.918195488721803</v>
      </c>
      <c r="Y23" s="11">
        <v>30.895783153347729</v>
      </c>
      <c r="Z23" s="11">
        <v>30.757818933586009</v>
      </c>
      <c r="AA23" s="11">
        <v>32.981316655124644</v>
      </c>
      <c r="AB23" s="11">
        <v>33.01477846180525</v>
      </c>
      <c r="AC23" s="11">
        <v>33.734903829492303</v>
      </c>
      <c r="AD23" s="11">
        <v>33.706155444002079</v>
      </c>
      <c r="AE23" s="11">
        <v>34.90185432847727</v>
      </c>
      <c r="AF23" s="11">
        <v>34.745394362259027</v>
      </c>
      <c r="AG23" s="11">
        <v>34.635926153994397</v>
      </c>
      <c r="AH23" s="11">
        <v>34.588950773645792</v>
      </c>
      <c r="AI23" s="11">
        <v>36.136491626165785</v>
      </c>
      <c r="AJ23" s="11">
        <v>36.078279925965624</v>
      </c>
      <c r="AK23" s="11">
        <v>36.528379003068203</v>
      </c>
      <c r="AL23" s="11">
        <v>36.50754783800236</v>
      </c>
      <c r="AM23" s="11">
        <v>36.661285592139429</v>
      </c>
      <c r="AN23" s="11">
        <v>37.381692755912901</v>
      </c>
      <c r="AO23" s="11">
        <v>37.348429117130507</v>
      </c>
      <c r="AP23" s="11">
        <v>37.316761645537866</v>
      </c>
      <c r="AQ23" s="11">
        <v>38.188200168428715</v>
      </c>
      <c r="AR23" s="11">
        <v>38.940069817722346</v>
      </c>
      <c r="AS23" s="11">
        <v>38.915160623129438</v>
      </c>
      <c r="AT23" s="11">
        <v>38.880870320599392</v>
      </c>
      <c r="AU23" s="11">
        <v>38.929874737223976</v>
      </c>
      <c r="AV23" s="11">
        <v>38.882321414213571</v>
      </c>
      <c r="AW23" s="11">
        <v>39.091461647986776</v>
      </c>
      <c r="AX23" s="11">
        <v>38.899755549910481</v>
      </c>
      <c r="AY23" s="11">
        <v>39.383901162749098</v>
      </c>
      <c r="AZ23" s="11">
        <v>39.901385271558524</v>
      </c>
      <c r="BA23" s="11">
        <v>39.987552142519988</v>
      </c>
      <c r="BB23" s="11">
        <v>40.115810993688491</v>
      </c>
      <c r="BC23" s="11">
        <v>40.330366237412086</v>
      </c>
      <c r="BD23" s="11">
        <v>40.818413700237798</v>
      </c>
      <c r="BE23" s="11">
        <v>40.771820485308325</v>
      </c>
      <c r="BF23" s="11">
        <v>40.979236199714457</v>
      </c>
      <c r="BG23" s="11">
        <v>41.819000949629704</v>
      </c>
      <c r="BH23" s="11">
        <v>41.795416082332849</v>
      </c>
      <c r="BI23" s="11">
        <v>41.673766867163899</v>
      </c>
      <c r="BJ23" s="11">
        <v>41.897782078219812</v>
      </c>
      <c r="BK23" s="11">
        <v>42.075474702856226</v>
      </c>
      <c r="BL23" s="11">
        <v>42.119913453322418</v>
      </c>
      <c r="BM23" s="11">
        <v>42.579799989714857</v>
      </c>
      <c r="BN23" s="11">
        <v>42.679508705965901</v>
      </c>
      <c r="BO23" s="11">
        <v>41.553790709250571</v>
      </c>
      <c r="BP23" s="11">
        <v>41.521367924449905</v>
      </c>
      <c r="BQ23" s="11">
        <v>41.058448615748993</v>
      </c>
      <c r="BR23" s="11">
        <v>41.080888832822247</v>
      </c>
      <c r="BS23" s="11">
        <v>40.8032057780255</v>
      </c>
      <c r="BT23" s="11">
        <v>40.935801407212232</v>
      </c>
      <c r="BU23" s="11">
        <v>40.949153530829136</v>
      </c>
      <c r="BV23" s="11">
        <v>41.123110574190562</v>
      </c>
      <c r="BW23" s="11">
        <v>40.553070992562972</v>
      </c>
      <c r="BX23" s="11">
        <v>40.632045623033356</v>
      </c>
      <c r="BY23" s="11">
        <v>40.324865002266009</v>
      </c>
      <c r="BZ23" s="11">
        <v>40.274645556014285</v>
      </c>
      <c r="CA23" s="11">
        <v>41.272612069793702</v>
      </c>
      <c r="CB23" s="11">
        <v>41.5447817621247</v>
      </c>
      <c r="CC23" s="11">
        <v>41.7264911695843</v>
      </c>
      <c r="CD23" s="11">
        <v>41.831673550535299</v>
      </c>
      <c r="CE23" s="11">
        <v>43.597205929288897</v>
      </c>
      <c r="CF23" s="11">
        <v>43.661921069852198</v>
      </c>
      <c r="CG23" s="11">
        <v>44.334864738417103</v>
      </c>
      <c r="CH23" s="11">
        <v>44.503009468593703</v>
      </c>
      <c r="CI23" s="11">
        <v>48.880733293397697</v>
      </c>
      <c r="CJ23" s="11">
        <v>48.961359741142601</v>
      </c>
      <c r="CK23" s="11">
        <v>48.925463664708602</v>
      </c>
      <c r="CL23" s="11">
        <v>50.330216000844601</v>
      </c>
      <c r="CM23" s="11">
        <v>52.524352877454099</v>
      </c>
      <c r="CN23" s="11">
        <v>50.996952161728402</v>
      </c>
    </row>
    <row r="24" spans="1:92" x14ac:dyDescent="0.35">
      <c r="A24" t="s">
        <v>61</v>
      </c>
      <c r="B24" s="11">
        <v>19.406540073840475</v>
      </c>
      <c r="C24" s="11">
        <v>19.414729688160879</v>
      </c>
      <c r="D24" s="11">
        <v>22.652242658983798</v>
      </c>
      <c r="E24" s="11">
        <v>22.842463322967738</v>
      </c>
      <c r="F24" s="11">
        <v>22.842240800762628</v>
      </c>
      <c r="G24" s="11">
        <v>22.837778580527406</v>
      </c>
      <c r="H24" s="11">
        <v>22.895869053047576</v>
      </c>
      <c r="I24" s="11">
        <v>23.033844505952832</v>
      </c>
      <c r="J24" s="11">
        <v>23.033184761473262</v>
      </c>
      <c r="K24" s="11">
        <v>23.050622462024368</v>
      </c>
      <c r="L24" s="11">
        <v>24.237881195184698</v>
      </c>
      <c r="M24" s="11">
        <v>24.333792683155508</v>
      </c>
      <c r="N24" s="11">
        <v>24.480657552692115</v>
      </c>
      <c r="O24" s="11">
        <v>24.314793101517441</v>
      </c>
      <c r="P24" s="11">
        <v>25.689152655979449</v>
      </c>
      <c r="Q24" s="11">
        <v>25.835902894975984</v>
      </c>
      <c r="R24" s="11">
        <v>25.811645679628704</v>
      </c>
      <c r="S24" s="11">
        <v>25.789340942562596</v>
      </c>
      <c r="T24" s="11">
        <v>25.741923700103104</v>
      </c>
      <c r="U24" s="11">
        <v>26.101315441662383</v>
      </c>
      <c r="V24" s="11">
        <v>26.056576797684897</v>
      </c>
      <c r="W24" s="11">
        <v>26.102653404827702</v>
      </c>
      <c r="X24" s="11">
        <v>26.578139824532478</v>
      </c>
      <c r="Y24" s="11">
        <v>26.563715767446091</v>
      </c>
      <c r="Z24" s="11">
        <v>26.557357037790329</v>
      </c>
      <c r="AA24" s="11">
        <v>26.837885643842572</v>
      </c>
      <c r="AB24" s="11">
        <v>27.64747053293803</v>
      </c>
      <c r="AC24" s="11">
        <v>28.303292766602876</v>
      </c>
      <c r="AD24" s="11">
        <v>28.284318914150965</v>
      </c>
      <c r="AE24" s="11">
        <v>28.443475469175691</v>
      </c>
      <c r="AF24" s="11">
        <v>28.3063711892292</v>
      </c>
      <c r="AG24" s="11">
        <v>28.265260840759268</v>
      </c>
      <c r="AH24" s="11">
        <v>28.225732988255444</v>
      </c>
      <c r="AI24" s="11">
        <v>29.551963475984607</v>
      </c>
      <c r="AJ24" s="11">
        <v>29.541386206884876</v>
      </c>
      <c r="AK24" s="11">
        <v>29.527786706060663</v>
      </c>
      <c r="AL24" s="11">
        <v>29.57380202071662</v>
      </c>
      <c r="AM24" s="11">
        <v>30.763274126628616</v>
      </c>
      <c r="AN24" s="11">
        <v>30.744228873327724</v>
      </c>
      <c r="AO24" s="11">
        <v>30.719048812504941</v>
      </c>
      <c r="AP24" s="11">
        <v>30.679871843436132</v>
      </c>
      <c r="AQ24" s="11">
        <v>31.752962407394723</v>
      </c>
      <c r="AR24" s="11">
        <v>31.722221633617149</v>
      </c>
      <c r="AS24" s="11">
        <v>31.701684367103301</v>
      </c>
      <c r="AT24" s="11">
        <v>31.685660830015912</v>
      </c>
      <c r="AU24" s="11">
        <v>31.74150973351848</v>
      </c>
      <c r="AV24" s="11">
        <v>31.90460666712633</v>
      </c>
      <c r="AW24" s="11">
        <v>31.870517334412867</v>
      </c>
      <c r="AX24" s="11">
        <v>31.857916054700191</v>
      </c>
      <c r="AY24" s="11">
        <v>32.252949054789184</v>
      </c>
      <c r="AZ24" s="11">
        <v>32.315249176104174</v>
      </c>
      <c r="BA24" s="11">
        <v>32.249093549665211</v>
      </c>
      <c r="BB24" s="11">
        <v>32.269390811603671</v>
      </c>
      <c r="BC24" s="11">
        <v>32.826011735169288</v>
      </c>
      <c r="BD24" s="11">
        <v>32.832774602590142</v>
      </c>
      <c r="BE24" s="11">
        <v>32.92393856369025</v>
      </c>
      <c r="BF24" s="11">
        <v>32.781252648463912</v>
      </c>
      <c r="BG24" s="11">
        <v>32.728533850089633</v>
      </c>
      <c r="BH24" s="11">
        <v>32.712649847344174</v>
      </c>
      <c r="BI24" s="11">
        <v>32.817837108592911</v>
      </c>
      <c r="BJ24" s="11">
        <v>33.533967146645757</v>
      </c>
      <c r="BK24" s="11">
        <v>33.476495975416029</v>
      </c>
      <c r="BL24" s="11">
        <v>33.487454866059117</v>
      </c>
      <c r="BM24" s="11">
        <v>34.316358679098791</v>
      </c>
      <c r="BN24" s="11">
        <v>34.566166288956595</v>
      </c>
      <c r="BO24" s="11">
        <v>33.529611257612025</v>
      </c>
      <c r="BP24" s="11">
        <v>33.502227215063606</v>
      </c>
      <c r="BQ24" s="11">
        <v>33.469200231913987</v>
      </c>
      <c r="BR24" s="11">
        <v>33.669577296562295</v>
      </c>
      <c r="BS24" s="11">
        <v>33.931376540691296</v>
      </c>
      <c r="BT24" s="11">
        <v>34.042799571063327</v>
      </c>
      <c r="BU24" s="11">
        <v>34.326180422953144</v>
      </c>
      <c r="BV24" s="11">
        <v>34.56551489047051</v>
      </c>
      <c r="BW24" s="11">
        <v>35.369557345948074</v>
      </c>
      <c r="BX24" s="11">
        <v>35.6268115309609</v>
      </c>
      <c r="BY24" s="11">
        <v>35.645583173184313</v>
      </c>
      <c r="BZ24" s="11">
        <v>36.347206778930484</v>
      </c>
      <c r="CA24" s="11">
        <v>37.2208041050962</v>
      </c>
      <c r="CB24" s="11">
        <v>37.277874971245197</v>
      </c>
      <c r="CC24" s="11">
        <v>37.4710689285291</v>
      </c>
      <c r="CD24" s="11">
        <v>38.072030540734403</v>
      </c>
      <c r="CE24" s="11">
        <v>38.950486914851602</v>
      </c>
      <c r="CF24" s="11">
        <v>38.965477962819499</v>
      </c>
      <c r="CG24" s="11">
        <v>39.255374759338999</v>
      </c>
      <c r="CH24" s="11">
        <v>39.4904845021033</v>
      </c>
      <c r="CI24" s="11">
        <v>44.899893735937503</v>
      </c>
      <c r="CJ24" s="11">
        <v>44.977582534346602</v>
      </c>
      <c r="CK24" s="11">
        <v>44.979585043181402</v>
      </c>
      <c r="CL24" s="11">
        <v>46.545644407170798</v>
      </c>
      <c r="CM24" s="11">
        <v>47.882259145463401</v>
      </c>
      <c r="CN24" s="11">
        <v>48.409349556398801</v>
      </c>
    </row>
    <row r="25" spans="1:92" x14ac:dyDescent="0.35">
      <c r="A25" t="s">
        <v>56</v>
      </c>
      <c r="B25" s="11">
        <v>18.428790704119404</v>
      </c>
      <c r="C25" s="11">
        <v>18.429731878625258</v>
      </c>
      <c r="D25" s="11">
        <v>18.913756526193431</v>
      </c>
      <c r="E25" s="11">
        <v>18.953967242769227</v>
      </c>
      <c r="F25" s="11">
        <v>18.978439112792028</v>
      </c>
      <c r="G25" s="11">
        <v>18.984619065361912</v>
      </c>
      <c r="H25" s="11">
        <v>19.159299549990219</v>
      </c>
      <c r="I25" s="11">
        <v>19.345575860520512</v>
      </c>
      <c r="J25" s="11">
        <v>19.343570371236023</v>
      </c>
      <c r="K25" s="11">
        <v>19.352552482118284</v>
      </c>
      <c r="L25" s="11">
        <v>20.544390135482502</v>
      </c>
      <c r="M25" s="11">
        <v>20.90876441992361</v>
      </c>
      <c r="N25" s="11">
        <v>20.899939457041491</v>
      </c>
      <c r="O25" s="11">
        <v>20.90449377784606</v>
      </c>
      <c r="P25" s="11">
        <v>22.273761598036966</v>
      </c>
      <c r="Q25" s="11">
        <v>22.522345159005187</v>
      </c>
      <c r="R25" s="11">
        <v>22.525727719271419</v>
      </c>
      <c r="S25" s="11">
        <v>22.536242449568817</v>
      </c>
      <c r="T25" s="11">
        <v>22.960977635054252</v>
      </c>
      <c r="U25" s="11">
        <v>23.457105457856695</v>
      </c>
      <c r="V25" s="11">
        <v>23.405022479370199</v>
      </c>
      <c r="W25" s="11">
        <v>23.488101582014988</v>
      </c>
      <c r="X25" s="11">
        <v>23.356026183549325</v>
      </c>
      <c r="Y25" s="11">
        <v>23.358222658091773</v>
      </c>
      <c r="Z25" s="11">
        <v>23.339961524678902</v>
      </c>
      <c r="AA25" s="11">
        <v>23.6810112489629</v>
      </c>
      <c r="AB25" s="11">
        <v>24.3158010385132</v>
      </c>
      <c r="AC25" s="11">
        <v>24.874839157075428</v>
      </c>
      <c r="AD25" s="11">
        <v>24.874623315832753</v>
      </c>
      <c r="AE25" s="11">
        <v>25.475672607282071</v>
      </c>
      <c r="AF25" s="11">
        <v>25.1738050015643</v>
      </c>
      <c r="AG25" s="11">
        <v>25.206604042604596</v>
      </c>
      <c r="AH25" s="11">
        <v>25.215757595298207</v>
      </c>
      <c r="AI25" s="11">
        <v>26.199803528104901</v>
      </c>
      <c r="AJ25" s="11">
        <v>26.213913379054379</v>
      </c>
      <c r="AK25" s="11">
        <v>26.223162249242126</v>
      </c>
      <c r="AL25" s="11">
        <v>26.223017947656732</v>
      </c>
      <c r="AM25" s="11">
        <v>27.238889358552012</v>
      </c>
      <c r="AN25" s="11">
        <v>27.234852915723803</v>
      </c>
      <c r="AO25" s="11">
        <v>27.233067052013734</v>
      </c>
      <c r="AP25" s="11">
        <v>27.164133882040886</v>
      </c>
      <c r="AQ25" s="11">
        <v>28.109427366534604</v>
      </c>
      <c r="AR25" s="11">
        <v>28.093662821567271</v>
      </c>
      <c r="AS25" s="11">
        <v>28.013643925873712</v>
      </c>
      <c r="AT25" s="11">
        <v>28.002175899776844</v>
      </c>
      <c r="AU25" s="11">
        <v>27.887217271295057</v>
      </c>
      <c r="AV25" s="11">
        <v>28.431675062394817</v>
      </c>
      <c r="AW25" s="11">
        <v>28.383304643327548</v>
      </c>
      <c r="AX25" s="11">
        <v>28.372917788866744</v>
      </c>
      <c r="AY25" s="11">
        <v>28.882664043246074</v>
      </c>
      <c r="AZ25" s="11">
        <v>28.645948093226753</v>
      </c>
      <c r="BA25" s="11">
        <v>28.579961669727417</v>
      </c>
      <c r="BB25" s="11">
        <v>28.599690549304981</v>
      </c>
      <c r="BC25" s="11">
        <v>29.036957657379894</v>
      </c>
      <c r="BD25" s="11">
        <v>29.006681287025174</v>
      </c>
      <c r="BE25" s="11">
        <v>29.179821310488368</v>
      </c>
      <c r="BF25" s="11">
        <v>29.313810114239772</v>
      </c>
      <c r="BG25" s="11">
        <v>29.292062497888324</v>
      </c>
      <c r="BH25" s="11">
        <v>29.285544090480155</v>
      </c>
      <c r="BI25" s="11">
        <v>29.368638372820598</v>
      </c>
      <c r="BJ25" s="11">
        <v>29.929248651458401</v>
      </c>
      <c r="BK25" s="11">
        <v>30.262638338707898</v>
      </c>
      <c r="BL25" s="11">
        <v>30.246394906273512</v>
      </c>
      <c r="BM25" s="11">
        <v>30.888795606211943</v>
      </c>
      <c r="BN25" s="11">
        <v>31.095360768322585</v>
      </c>
      <c r="BO25" s="11">
        <v>30.356035497481454</v>
      </c>
      <c r="BP25" s="11">
        <v>30.326518245667266</v>
      </c>
      <c r="BQ25" s="11">
        <v>30.038971878045718</v>
      </c>
      <c r="BR25" s="11">
        <v>30.18630073120578</v>
      </c>
      <c r="BS25" s="11">
        <v>30.393571946942807</v>
      </c>
      <c r="BT25" s="11">
        <v>30.636404456868394</v>
      </c>
      <c r="BU25" s="11">
        <v>30.970662569705919</v>
      </c>
      <c r="BV25" s="11">
        <v>31.197795178768633</v>
      </c>
      <c r="BW25" s="11">
        <v>31.914078927160862</v>
      </c>
      <c r="BX25" s="11">
        <v>32.264748034606228</v>
      </c>
      <c r="BY25" s="11">
        <v>32.257375906443301</v>
      </c>
      <c r="BZ25" s="11">
        <v>32.833757742208242</v>
      </c>
      <c r="CA25" s="11">
        <v>33.431983245108</v>
      </c>
      <c r="CB25" s="11">
        <v>33.478420077695397</v>
      </c>
      <c r="CC25" s="11">
        <v>33.7589548866234</v>
      </c>
      <c r="CD25" s="11">
        <v>33.950913187314001</v>
      </c>
      <c r="CE25" s="11">
        <v>34.585264894699598</v>
      </c>
      <c r="CF25" s="11">
        <v>34.717118049198298</v>
      </c>
      <c r="CG25" s="11">
        <v>35.109255244657803</v>
      </c>
      <c r="CH25" s="11">
        <v>35.305946444297803</v>
      </c>
      <c r="CI25" s="11">
        <v>39.817328760479697</v>
      </c>
      <c r="CJ25" s="11">
        <v>39.905101874499202</v>
      </c>
      <c r="CK25" s="11">
        <v>39.8899100010849</v>
      </c>
      <c r="CL25" s="11">
        <v>41.2524490442919</v>
      </c>
      <c r="CM25" s="11">
        <v>42.725040543583198</v>
      </c>
      <c r="CN25" s="11">
        <v>43.084000190120499</v>
      </c>
    </row>
    <row r="26" spans="1:92" x14ac:dyDescent="0.35">
      <c r="A26" t="s">
        <v>52</v>
      </c>
      <c r="B26" s="11">
        <v>16.525562051046922</v>
      </c>
      <c r="C26" s="11">
        <v>16.532539776525642</v>
      </c>
      <c r="D26" s="11">
        <v>18.635243555742115</v>
      </c>
      <c r="E26" s="11">
        <v>18.784194631512676</v>
      </c>
      <c r="F26" s="11">
        <v>18.786621734985701</v>
      </c>
      <c r="G26" s="11">
        <v>18.763960682168186</v>
      </c>
      <c r="H26" s="11">
        <v>18.943987688098495</v>
      </c>
      <c r="I26" s="11">
        <v>19.056044210207023</v>
      </c>
      <c r="J26" s="11">
        <v>19.056852239904853</v>
      </c>
      <c r="K26" s="11">
        <v>19.072010452699658</v>
      </c>
      <c r="L26" s="11">
        <v>20.507165661915227</v>
      </c>
      <c r="M26" s="11">
        <v>20.65258414746198</v>
      </c>
      <c r="N26" s="11">
        <v>20.650258270838396</v>
      </c>
      <c r="O26" s="11">
        <v>20.655310674356535</v>
      </c>
      <c r="P26" s="11">
        <v>22.305631644603327</v>
      </c>
      <c r="Q26" s="11">
        <v>22.362703584874165</v>
      </c>
      <c r="R26" s="11">
        <v>22.363079824707384</v>
      </c>
      <c r="S26" s="11">
        <v>22.3539675994109</v>
      </c>
      <c r="T26" s="11">
        <v>22.946819303284723</v>
      </c>
      <c r="U26" s="11">
        <v>23.261643476026144</v>
      </c>
      <c r="V26" s="11">
        <v>23.220146525513755</v>
      </c>
      <c r="W26" s="11">
        <v>23.261273905166263</v>
      </c>
      <c r="X26" s="11">
        <v>23.264243328876759</v>
      </c>
      <c r="Y26" s="11">
        <v>23.303228012733065</v>
      </c>
      <c r="Z26" s="11">
        <v>23.312745236799127</v>
      </c>
      <c r="AA26" s="11">
        <v>23.597050729623056</v>
      </c>
      <c r="AB26" s="11">
        <v>24.20452961168559</v>
      </c>
      <c r="AC26" s="11">
        <v>24.834851395760356</v>
      </c>
      <c r="AD26" s="11">
        <v>24.82504689384529</v>
      </c>
      <c r="AE26" s="11">
        <v>25.263079528265624</v>
      </c>
      <c r="AF26" s="11">
        <v>25.0976363948383</v>
      </c>
      <c r="AG26" s="11">
        <v>25.10262154296267</v>
      </c>
      <c r="AH26" s="11">
        <v>25.088851203230174</v>
      </c>
      <c r="AI26" s="11">
        <v>26.217421296791372</v>
      </c>
      <c r="AJ26" s="11">
        <v>26.220143241693641</v>
      </c>
      <c r="AK26" s="11">
        <v>26.259246114535724</v>
      </c>
      <c r="AL26" s="11">
        <v>26.255588207992673</v>
      </c>
      <c r="AM26" s="11">
        <v>27.360640387652886</v>
      </c>
      <c r="AN26" s="11">
        <v>27.34221730061623</v>
      </c>
      <c r="AO26" s="11">
        <v>27.327749193421042</v>
      </c>
      <c r="AP26" s="11">
        <v>27.278090015926576</v>
      </c>
      <c r="AQ26" s="11">
        <v>28.173424703016792</v>
      </c>
      <c r="AR26" s="11">
        <v>28.032316102449016</v>
      </c>
      <c r="AS26" s="11">
        <v>28.012079971544345</v>
      </c>
      <c r="AT26" s="11">
        <v>27.996839889360629</v>
      </c>
      <c r="AU26" s="11">
        <v>27.989973027538184</v>
      </c>
      <c r="AV26" s="11">
        <v>28.176953891791175</v>
      </c>
      <c r="AW26" s="11">
        <v>28.147385677676731</v>
      </c>
      <c r="AX26" s="11">
        <v>28.136772548325329</v>
      </c>
      <c r="AY26" s="11">
        <v>28.597577105416871</v>
      </c>
      <c r="AZ26" s="11">
        <v>28.529189103810403</v>
      </c>
      <c r="BA26" s="11">
        <v>28.48502722750592</v>
      </c>
      <c r="BB26" s="11">
        <v>28.50046230735817</v>
      </c>
      <c r="BC26" s="11">
        <v>29.004963934251979</v>
      </c>
      <c r="BD26" s="11">
        <v>29.009812318262533</v>
      </c>
      <c r="BE26" s="11">
        <v>29.073802747522461</v>
      </c>
      <c r="BF26" s="11">
        <v>29.082654650331079</v>
      </c>
      <c r="BG26" s="11">
        <v>29.061497479205663</v>
      </c>
      <c r="BH26" s="11">
        <v>29.089828741158541</v>
      </c>
      <c r="BI26" s="11">
        <v>29.117330275044132</v>
      </c>
      <c r="BJ26" s="11">
        <v>29.799061003507823</v>
      </c>
      <c r="BK26" s="11">
        <v>29.99856644078676</v>
      </c>
      <c r="BL26" s="11">
        <v>30.117105840568506</v>
      </c>
      <c r="BM26" s="11">
        <v>30.735205342032312</v>
      </c>
      <c r="BN26" s="11">
        <v>30.997670842259165</v>
      </c>
      <c r="BO26" s="11">
        <v>30.176184666918161</v>
      </c>
      <c r="BP26" s="11">
        <v>30.150356191153541</v>
      </c>
      <c r="BQ26" s="11">
        <v>30.12524329945299</v>
      </c>
      <c r="BR26" s="11">
        <v>30.324184525241574</v>
      </c>
      <c r="BS26" s="11">
        <v>30.552291827916175</v>
      </c>
      <c r="BT26" s="11">
        <v>30.650535628509154</v>
      </c>
      <c r="BU26" s="11">
        <v>30.925333321892346</v>
      </c>
      <c r="BV26" s="11">
        <v>31.059856162082145</v>
      </c>
      <c r="BW26" s="11">
        <v>31.785638055450356</v>
      </c>
      <c r="BX26" s="11">
        <v>32.038859905284959</v>
      </c>
      <c r="BY26" s="11">
        <v>32.056397735128115</v>
      </c>
      <c r="BZ26" s="11">
        <v>32.678433334342195</v>
      </c>
      <c r="CA26" s="11">
        <v>33.451497672515998</v>
      </c>
      <c r="CB26" s="11">
        <v>33.714744773286696</v>
      </c>
      <c r="CC26" s="11">
        <v>33.917616622614297</v>
      </c>
      <c r="CD26" s="11">
        <v>34.467587670276203</v>
      </c>
      <c r="CE26" s="11">
        <v>35.064012512822799</v>
      </c>
      <c r="CF26" s="11">
        <v>35.1141326470038</v>
      </c>
      <c r="CG26" s="11">
        <v>35.375280257508301</v>
      </c>
      <c r="CH26" s="11">
        <v>35.549660570479404</v>
      </c>
      <c r="CI26" s="11">
        <v>40.159541751689602</v>
      </c>
      <c r="CJ26" s="11">
        <v>40.253135150782697</v>
      </c>
      <c r="CK26" s="11">
        <v>40.237001091418001</v>
      </c>
      <c r="CL26" s="11">
        <v>41.809499485506201</v>
      </c>
      <c r="CM26" s="11">
        <v>43.035514739028301</v>
      </c>
      <c r="CN26" s="11">
        <v>43.467154346691899</v>
      </c>
    </row>
    <row r="27" spans="1:92" x14ac:dyDescent="0.35">
      <c r="A27" t="s">
        <v>69</v>
      </c>
      <c r="B27" s="11">
        <v>17.831281372235662</v>
      </c>
      <c r="C27" s="11">
        <v>19.400583262763128</v>
      </c>
      <c r="D27" s="11">
        <v>19.452721332652388</v>
      </c>
      <c r="E27" s="11">
        <v>19.451142852880622</v>
      </c>
      <c r="F27" s="11">
        <v>19.612668771212185</v>
      </c>
      <c r="G27" s="11">
        <v>19.648804898897595</v>
      </c>
      <c r="H27" s="11">
        <v>20.579819070258853</v>
      </c>
      <c r="I27" s="11">
        <v>20.540704523243431</v>
      </c>
      <c r="J27" s="11">
        <v>20.533329220854622</v>
      </c>
      <c r="K27" s="11">
        <v>21.645971055897032</v>
      </c>
      <c r="L27" s="11">
        <v>21.830988255226284</v>
      </c>
      <c r="M27" s="11">
        <v>21.848136601652236</v>
      </c>
      <c r="N27" s="11">
        <v>21.842825981993244</v>
      </c>
      <c r="O27" s="11">
        <v>23.37942611251643</v>
      </c>
      <c r="P27" s="11">
        <v>23.610515295870044</v>
      </c>
      <c r="Q27" s="11">
        <v>23.644462158618577</v>
      </c>
      <c r="R27" s="11">
        <v>23.645587782020133</v>
      </c>
      <c r="S27" s="11">
        <v>24.913696590657516</v>
      </c>
      <c r="T27" s="11">
        <v>25.269968253091871</v>
      </c>
      <c r="U27" s="11">
        <v>25.290448663234123</v>
      </c>
      <c r="V27" s="11">
        <v>25.27140220136144</v>
      </c>
      <c r="W27" s="11">
        <v>26.327467717614802</v>
      </c>
      <c r="X27" s="11">
        <v>26.3530993848257</v>
      </c>
      <c r="Y27" s="11">
        <v>26.34285105571967</v>
      </c>
      <c r="Z27" s="11">
        <v>26.169324663689302</v>
      </c>
      <c r="AA27" s="11">
        <v>26.804243023303048</v>
      </c>
      <c r="AB27" s="11">
        <v>26.835568326085191</v>
      </c>
      <c r="AC27" s="11">
        <v>27.420545361394616</v>
      </c>
      <c r="AD27" s="11">
        <v>27.40756705084015</v>
      </c>
      <c r="AE27" s="11">
        <v>28.564250730792775</v>
      </c>
      <c r="AF27" s="11">
        <v>28.439085398515154</v>
      </c>
      <c r="AG27" s="11">
        <v>28.410178039912125</v>
      </c>
      <c r="AH27" s="11">
        <v>28.375580802894532</v>
      </c>
      <c r="AI27" s="11">
        <v>30.063689345265217</v>
      </c>
      <c r="AJ27" s="11">
        <v>30.04563514319829</v>
      </c>
      <c r="AK27" s="11">
        <v>30.015261973120342</v>
      </c>
      <c r="AL27" s="11">
        <v>29.986204003220539</v>
      </c>
      <c r="AM27" s="11">
        <v>30.975114837663089</v>
      </c>
      <c r="AN27" s="11">
        <v>30.929836092101873</v>
      </c>
      <c r="AO27" s="11">
        <v>30.898029522796833</v>
      </c>
      <c r="AP27" s="11">
        <v>30.856705852955987</v>
      </c>
      <c r="AQ27" s="11">
        <v>31.688729474229948</v>
      </c>
      <c r="AR27" s="11">
        <v>31.703552234867328</v>
      </c>
      <c r="AS27" s="11">
        <v>31.682662110350115</v>
      </c>
      <c r="AT27" s="11">
        <v>31.649930799319407</v>
      </c>
      <c r="AU27" s="11">
        <v>32.318399776479637</v>
      </c>
      <c r="AV27" s="11">
        <v>32.337913894038522</v>
      </c>
      <c r="AW27" s="11">
        <v>32.310726831627228</v>
      </c>
      <c r="AX27" s="11">
        <v>32.285807754356341</v>
      </c>
      <c r="AY27" s="11">
        <v>32.647900165246227</v>
      </c>
      <c r="AZ27" s="11">
        <v>32.621938256021039</v>
      </c>
      <c r="BA27" s="11">
        <v>32.595363722845022</v>
      </c>
      <c r="BB27" s="11">
        <v>32.711927750414148</v>
      </c>
      <c r="BC27" s="11">
        <v>33.143836490819332</v>
      </c>
      <c r="BD27" s="11">
        <v>33.104966839780673</v>
      </c>
      <c r="BE27" s="11">
        <v>33.078560697282953</v>
      </c>
      <c r="BF27" s="11">
        <v>33.082340474441622</v>
      </c>
      <c r="BG27" s="11">
        <v>33.034688971800847</v>
      </c>
      <c r="BH27" s="11">
        <v>33.003910539260957</v>
      </c>
      <c r="BI27" s="11">
        <v>32.979146560382731</v>
      </c>
      <c r="BJ27" s="11">
        <v>33.078993982152852</v>
      </c>
      <c r="BK27" s="11">
        <v>33.098323584736022</v>
      </c>
      <c r="BL27" s="11">
        <v>33.07382954243765</v>
      </c>
      <c r="BM27" s="11">
        <v>33.821296185902568</v>
      </c>
      <c r="BN27" s="11">
        <v>33.873005302888551</v>
      </c>
      <c r="BO27" s="11">
        <v>33.447977351739048</v>
      </c>
      <c r="BP27" s="11">
        <v>33.416958456047077</v>
      </c>
      <c r="BQ27" s="11">
        <v>33.365747827419519</v>
      </c>
      <c r="BR27" s="11">
        <v>33.323458369579292</v>
      </c>
      <c r="BS27" s="11">
        <v>34.178642139469005</v>
      </c>
      <c r="BT27" s="11">
        <v>34.248489442588024</v>
      </c>
      <c r="BU27" s="11">
        <v>34.282784025205196</v>
      </c>
      <c r="BV27" s="11">
        <v>35.057736764464906</v>
      </c>
      <c r="BW27" s="11">
        <v>35.25427076544922</v>
      </c>
      <c r="BX27" s="11">
        <v>35.434996425929647</v>
      </c>
      <c r="BY27" s="11">
        <v>35.402822827628555</v>
      </c>
      <c r="BZ27" s="11">
        <v>35.633590066139917</v>
      </c>
      <c r="CA27" s="11">
        <v>36.468765540928302</v>
      </c>
      <c r="CB27" s="11">
        <v>36.9883914755221</v>
      </c>
      <c r="CC27" s="11">
        <v>37.003310411679998</v>
      </c>
      <c r="CD27" s="11">
        <v>36.954128849210498</v>
      </c>
      <c r="CE27" s="11">
        <v>38.380664385036901</v>
      </c>
      <c r="CF27" s="11">
        <v>38.662422158800098</v>
      </c>
      <c r="CG27" s="11">
        <v>38.666981964914797</v>
      </c>
      <c r="CH27" s="11">
        <v>38.872788790147602</v>
      </c>
      <c r="CI27" s="11">
        <v>42.161502684647097</v>
      </c>
      <c r="CJ27" s="11">
        <v>42.432135516105902</v>
      </c>
      <c r="CK27" s="11">
        <v>42.270230114971199</v>
      </c>
      <c r="CL27" s="11">
        <v>44.224955694461897</v>
      </c>
      <c r="CM27" s="11">
        <v>45.0311030241471</v>
      </c>
      <c r="CN27" s="11">
        <v>45.014673308823497</v>
      </c>
    </row>
    <row r="28" spans="1:92" x14ac:dyDescent="0.35">
      <c r="A28" t="s">
        <v>70</v>
      </c>
      <c r="B28" s="11">
        <v>17.562905947961472</v>
      </c>
      <c r="C28" s="11">
        <v>19.052772416270678</v>
      </c>
      <c r="D28" s="11">
        <v>19.049792443915869</v>
      </c>
      <c r="E28" s="11">
        <v>18.947336113454924</v>
      </c>
      <c r="F28" s="11">
        <v>20.119621294302412</v>
      </c>
      <c r="G28" s="11">
        <v>20.412968912734733</v>
      </c>
      <c r="H28" s="11">
        <v>20.425595161214112</v>
      </c>
      <c r="I28" s="11">
        <v>20.430211367060004</v>
      </c>
      <c r="J28" s="11">
        <v>20.429675089689596</v>
      </c>
      <c r="K28" s="11">
        <v>20.762607594543368</v>
      </c>
      <c r="L28" s="11">
        <v>22.172264683093132</v>
      </c>
      <c r="M28" s="11">
        <v>22.227869319060733</v>
      </c>
      <c r="N28" s="11">
        <v>22.226556230159954</v>
      </c>
      <c r="O28" s="11">
        <v>22.229062394551978</v>
      </c>
      <c r="P28" s="11">
        <v>23.193864627151051</v>
      </c>
      <c r="Q28" s="11">
        <v>23.45081018871376</v>
      </c>
      <c r="R28" s="11">
        <v>23.451824435925026</v>
      </c>
      <c r="S28" s="11">
        <v>23.45330258080077</v>
      </c>
      <c r="T28" s="11">
        <v>23.739064643024008</v>
      </c>
      <c r="U28" s="11">
        <v>23.904661303661378</v>
      </c>
      <c r="V28" s="11">
        <v>23.897238700776775</v>
      </c>
      <c r="W28" s="11">
        <v>24.006133561079395</v>
      </c>
      <c r="X28" s="11">
        <v>24.807012979245172</v>
      </c>
      <c r="Y28" s="11">
        <v>24.812163452928178</v>
      </c>
      <c r="Z28" s="11">
        <v>24.804909612323957</v>
      </c>
      <c r="AA28" s="11">
        <v>25.210830532171222</v>
      </c>
      <c r="AB28" s="11">
        <v>26.031781263461227</v>
      </c>
      <c r="AC28" s="11">
        <v>26.564113530095007</v>
      </c>
      <c r="AD28" s="11">
        <v>26.548870609953998</v>
      </c>
      <c r="AE28" s="11">
        <v>27.480598551127041</v>
      </c>
      <c r="AF28" s="11">
        <v>27.150736843147968</v>
      </c>
      <c r="AG28" s="11">
        <v>27.14671541100579</v>
      </c>
      <c r="AH28" s="11">
        <v>27.136056770919208</v>
      </c>
      <c r="AI28" s="11">
        <v>28.604784326898727</v>
      </c>
      <c r="AJ28" s="11">
        <v>28.693789226060737</v>
      </c>
      <c r="AK28" s="11">
        <v>28.656522870386645</v>
      </c>
      <c r="AL28" s="11">
        <v>28.656719233722473</v>
      </c>
      <c r="AM28" s="11">
        <v>29.678740314668257</v>
      </c>
      <c r="AN28" s="11">
        <v>29.673946298061349</v>
      </c>
      <c r="AO28" s="11">
        <v>29.694743841354896</v>
      </c>
      <c r="AP28" s="11">
        <v>29.703587010329997</v>
      </c>
      <c r="AQ28" s="11">
        <v>30.050034885943315</v>
      </c>
      <c r="AR28" s="11">
        <v>30.070930926711583</v>
      </c>
      <c r="AS28" s="11">
        <v>30.068751830126036</v>
      </c>
      <c r="AT28" s="11">
        <v>29.917632084201955</v>
      </c>
      <c r="AU28" s="11">
        <v>29.796936752149996</v>
      </c>
      <c r="AV28" s="11">
        <v>29.842933039383968</v>
      </c>
      <c r="AW28" s="11">
        <v>29.847569967955447</v>
      </c>
      <c r="AX28" s="11">
        <v>29.845814698733296</v>
      </c>
      <c r="AY28" s="11">
        <v>30.334251058373699</v>
      </c>
      <c r="AZ28" s="11">
        <v>30.375145255175209</v>
      </c>
      <c r="BA28" s="11">
        <v>30.47623484520097</v>
      </c>
      <c r="BB28" s="11">
        <v>30.523846603230133</v>
      </c>
      <c r="BC28" s="11">
        <v>31.037338314028958</v>
      </c>
      <c r="BD28" s="11">
        <v>31.015300286666648</v>
      </c>
      <c r="BE28" s="11">
        <v>31.076015807870707</v>
      </c>
      <c r="BF28" s="11">
        <v>31.44574193010752</v>
      </c>
      <c r="BG28" s="11">
        <v>31.822420679151168</v>
      </c>
      <c r="BH28" s="11">
        <v>31.842702015847685</v>
      </c>
      <c r="BI28" s="11">
        <v>31.841347090113338</v>
      </c>
      <c r="BJ28" s="11">
        <v>32.317170559708792</v>
      </c>
      <c r="BK28" s="11">
        <v>32.337932197696148</v>
      </c>
      <c r="BL28" s="11">
        <v>32.317120579162271</v>
      </c>
      <c r="BM28" s="11">
        <v>33.145662281897728</v>
      </c>
      <c r="BN28" s="11">
        <v>33.242602654445285</v>
      </c>
      <c r="BO28" s="11">
        <v>32.642434137242887</v>
      </c>
      <c r="BP28" s="11">
        <v>32.646654245556249</v>
      </c>
      <c r="BQ28" s="11">
        <v>32.624763157580688</v>
      </c>
      <c r="BR28" s="11">
        <v>32.693348582048763</v>
      </c>
      <c r="BS28" s="11">
        <v>32.792159907229426</v>
      </c>
      <c r="BT28" s="11">
        <v>32.990620144088012</v>
      </c>
      <c r="BU28" s="11">
        <v>33.027097476603743</v>
      </c>
      <c r="BV28" s="11">
        <v>33.567791443696095</v>
      </c>
      <c r="BW28" s="11">
        <v>34.052783145939273</v>
      </c>
      <c r="BX28" s="11">
        <v>34.214516213123112</v>
      </c>
      <c r="BY28" s="11">
        <v>34.18694618388411</v>
      </c>
      <c r="BZ28" s="11">
        <v>34.94228372122766</v>
      </c>
      <c r="CA28" s="11">
        <v>34.722524658782802</v>
      </c>
      <c r="CB28" s="11">
        <v>35.413110260668901</v>
      </c>
      <c r="CC28" s="11">
        <v>35.588724579109297</v>
      </c>
      <c r="CD28" s="11">
        <v>35.430334803508103</v>
      </c>
      <c r="CE28" s="11">
        <v>36.294098025947697</v>
      </c>
      <c r="CF28" s="11">
        <v>36.717151803326502</v>
      </c>
      <c r="CG28" s="11">
        <v>37.212920236905603</v>
      </c>
      <c r="CH28" s="11">
        <v>37.464479417511903</v>
      </c>
      <c r="CI28" s="11">
        <v>41.084344755945203</v>
      </c>
      <c r="CJ28" s="11">
        <v>41.1737421736984</v>
      </c>
      <c r="CK28" s="11">
        <v>41.172277699031703</v>
      </c>
      <c r="CL28" s="11">
        <v>42.8838673047645</v>
      </c>
      <c r="CM28" s="11">
        <v>44.026430864659801</v>
      </c>
      <c r="CN28" s="11">
        <v>44.194987960432201</v>
      </c>
    </row>
    <row r="29" spans="1:92" x14ac:dyDescent="0.35">
      <c r="A29" t="s">
        <v>58</v>
      </c>
      <c r="B29" s="11">
        <v>19.719864487286952</v>
      </c>
      <c r="C29" s="11">
        <v>19.718277383108138</v>
      </c>
      <c r="D29" s="11">
        <v>22.559296473096357</v>
      </c>
      <c r="E29" s="11">
        <v>22.602936846004258</v>
      </c>
      <c r="F29" s="11">
        <v>22.602333641404805</v>
      </c>
      <c r="G29" s="11">
        <v>22.600588154079801</v>
      </c>
      <c r="H29" s="11">
        <v>22.663473882655879</v>
      </c>
      <c r="I29" s="11">
        <v>22.857127610846465</v>
      </c>
      <c r="J29" s="11">
        <v>22.855376123352038</v>
      </c>
      <c r="K29" s="11">
        <v>22.855129149613461</v>
      </c>
      <c r="L29" s="11">
        <v>23.92312199546485</v>
      </c>
      <c r="M29" s="11">
        <v>24.279195859512726</v>
      </c>
      <c r="N29" s="11">
        <v>24.275507775524002</v>
      </c>
      <c r="O29" s="11">
        <v>24.275076397627181</v>
      </c>
      <c r="P29" s="11">
        <v>25.513392119906662</v>
      </c>
      <c r="Q29" s="11">
        <v>25.653549725605675</v>
      </c>
      <c r="R29" s="11">
        <v>25.644530764449971</v>
      </c>
      <c r="S29" s="11">
        <v>25.634068298285918</v>
      </c>
      <c r="T29" s="11">
        <v>25.648627138877835</v>
      </c>
      <c r="U29" s="11">
        <v>26.159268496893311</v>
      </c>
      <c r="V29" s="11">
        <v>26.128099652884575</v>
      </c>
      <c r="W29" s="11">
        <v>26.213341962091963</v>
      </c>
      <c r="X29" s="11">
        <v>26.710836798109327</v>
      </c>
      <c r="Y29" s="11">
        <v>26.714808238946954</v>
      </c>
      <c r="Z29" s="11">
        <v>26.710586567815088</v>
      </c>
      <c r="AA29" s="11">
        <v>27.065373160248345</v>
      </c>
      <c r="AB29" s="11">
        <v>27.967973657987091</v>
      </c>
      <c r="AC29" s="11">
        <v>28.591315766701282</v>
      </c>
      <c r="AD29" s="11">
        <v>28.561091222773346</v>
      </c>
      <c r="AE29" s="11">
        <v>28.920172860657981</v>
      </c>
      <c r="AF29" s="11">
        <v>28.336945114731236</v>
      </c>
      <c r="AG29" s="11">
        <v>28.350836892414602</v>
      </c>
      <c r="AH29" s="11">
        <v>28.358184498900503</v>
      </c>
      <c r="AI29" s="11">
        <v>29.68202406121549</v>
      </c>
      <c r="AJ29" s="11">
        <v>29.684745445290549</v>
      </c>
      <c r="AK29" s="11">
        <v>29.682617257658769</v>
      </c>
      <c r="AL29" s="11">
        <v>29.730509770979328</v>
      </c>
      <c r="AM29" s="11">
        <v>30.783782325254982</v>
      </c>
      <c r="AN29" s="11">
        <v>30.780013656871361</v>
      </c>
      <c r="AO29" s="11">
        <v>30.769142382490525</v>
      </c>
      <c r="AP29" s="11">
        <v>30.763685401474536</v>
      </c>
      <c r="AQ29" s="11">
        <v>31.711449176074932</v>
      </c>
      <c r="AR29" s="11">
        <v>31.695183291967172</v>
      </c>
      <c r="AS29" s="11">
        <v>31.696589037016199</v>
      </c>
      <c r="AT29" s="11">
        <v>31.685587101827895</v>
      </c>
      <c r="AU29" s="11">
        <v>31.76929353747725</v>
      </c>
      <c r="AV29" s="11">
        <v>31.909808482497581</v>
      </c>
      <c r="AW29" s="11">
        <v>32.019891232079068</v>
      </c>
      <c r="AX29" s="11">
        <v>32.012043294484251</v>
      </c>
      <c r="AY29" s="11">
        <v>32.521831401042675</v>
      </c>
      <c r="AZ29" s="11">
        <v>32.497561145731687</v>
      </c>
      <c r="BA29" s="11">
        <v>32.652644891267791</v>
      </c>
      <c r="BB29" s="11">
        <v>32.647357496211953</v>
      </c>
      <c r="BC29" s="11">
        <v>33.139502478357592</v>
      </c>
      <c r="BD29" s="11">
        <v>33.076472728239253</v>
      </c>
      <c r="BE29" s="11">
        <v>33.080877778832473</v>
      </c>
      <c r="BF29" s="11">
        <v>33.109025550651879</v>
      </c>
      <c r="BG29" s="11">
        <v>32.992267151633726</v>
      </c>
      <c r="BH29" s="11">
        <v>32.930511978572817</v>
      </c>
      <c r="BI29" s="11">
        <v>32.907916553428038</v>
      </c>
      <c r="BJ29" s="11">
        <v>33.500487850530831</v>
      </c>
      <c r="BK29" s="11">
        <v>33.486469258860538</v>
      </c>
      <c r="BL29" s="11">
        <v>33.41106608724062</v>
      </c>
      <c r="BM29" s="11">
        <v>34.137247600153287</v>
      </c>
      <c r="BN29" s="11">
        <v>34.244830062173918</v>
      </c>
      <c r="BO29" s="11">
        <v>33.384219583049045</v>
      </c>
      <c r="BP29" s="11">
        <v>33.347263104961584</v>
      </c>
      <c r="BQ29" s="11">
        <v>33.291605319160247</v>
      </c>
      <c r="BR29" s="11">
        <v>33.392243314700195</v>
      </c>
      <c r="BS29" s="11">
        <v>33.445167875432517</v>
      </c>
      <c r="BT29" s="11">
        <v>33.923090937504298</v>
      </c>
      <c r="BU29" s="11">
        <v>34.040042102405479</v>
      </c>
      <c r="BV29" s="11">
        <v>34.096587309233897</v>
      </c>
      <c r="BW29" s="11">
        <v>34.82313826657186</v>
      </c>
      <c r="BX29" s="11">
        <v>35.140923335640387</v>
      </c>
      <c r="BY29" s="11">
        <v>35.136147374082682</v>
      </c>
      <c r="BZ29" s="11">
        <v>35.801718158541306</v>
      </c>
      <c r="CA29" s="11">
        <v>36.9148107835736</v>
      </c>
      <c r="CB29" s="11">
        <v>37.256843987862297</v>
      </c>
      <c r="CC29" s="11">
        <v>37.385271081680301</v>
      </c>
      <c r="CD29" s="11">
        <v>37.656085781617001</v>
      </c>
      <c r="CE29" s="11">
        <v>38.6604247623143</v>
      </c>
      <c r="CF29" s="11">
        <v>38.8217170367435</v>
      </c>
      <c r="CG29" s="11">
        <v>39.228857075055203</v>
      </c>
      <c r="CH29" s="11">
        <v>39.4751060205108</v>
      </c>
      <c r="CI29" s="11">
        <v>44.602451100388002</v>
      </c>
      <c r="CJ29" s="11">
        <v>44.692562224884597</v>
      </c>
      <c r="CK29" s="11">
        <v>44.703029294438601</v>
      </c>
      <c r="CL29" s="11">
        <v>46.157821990238297</v>
      </c>
      <c r="CM29" s="11">
        <v>47.974705977708602</v>
      </c>
      <c r="CN29" s="11">
        <v>48.2689356089897</v>
      </c>
    </row>
    <row r="30" spans="1:92" x14ac:dyDescent="0.35">
      <c r="A30" t="s">
        <v>55</v>
      </c>
      <c r="B30" s="11">
        <v>16.621518137586992</v>
      </c>
      <c r="C30" s="11">
        <v>16.642956195398057</v>
      </c>
      <c r="D30" s="11">
        <v>18.643567096635167</v>
      </c>
      <c r="E30" s="11">
        <v>18.905700767499923</v>
      </c>
      <c r="F30" s="11">
        <v>18.911997090413841</v>
      </c>
      <c r="G30" s="11">
        <v>18.788032122299931</v>
      </c>
      <c r="H30" s="11">
        <v>18.957890932779105</v>
      </c>
      <c r="I30" s="11">
        <v>19.066854131142456</v>
      </c>
      <c r="J30" s="11">
        <v>19.064212575312833</v>
      </c>
      <c r="K30" s="11">
        <v>19.177628100446775</v>
      </c>
      <c r="L30" s="11">
        <v>20.446481840864987</v>
      </c>
      <c r="M30" s="11">
        <v>20.494083821263484</v>
      </c>
      <c r="N30" s="11">
        <v>20.490522415595592</v>
      </c>
      <c r="O30" s="11">
        <v>20.594579393343977</v>
      </c>
      <c r="P30" s="11">
        <v>21.989965641009906</v>
      </c>
      <c r="Q30" s="11">
        <v>22.428557556821666</v>
      </c>
      <c r="R30" s="11">
        <v>22.427096389957853</v>
      </c>
      <c r="S30" s="11">
        <v>22.430734944894358</v>
      </c>
      <c r="T30" s="11">
        <v>22.926900974075547</v>
      </c>
      <c r="U30" s="11">
        <v>23.218069714913625</v>
      </c>
      <c r="V30" s="11">
        <v>23.177580827354607</v>
      </c>
      <c r="W30" s="11">
        <v>23.212953323558164</v>
      </c>
      <c r="X30" s="11">
        <v>23.211773687258102</v>
      </c>
      <c r="Y30" s="11">
        <v>23.23747965497272</v>
      </c>
      <c r="Z30" s="11">
        <v>23.234924431714305</v>
      </c>
      <c r="AA30" s="11">
        <v>23.539776389946688</v>
      </c>
      <c r="AB30" s="11">
        <v>24.119266311787076</v>
      </c>
      <c r="AC30" s="11">
        <v>24.723287812889691</v>
      </c>
      <c r="AD30" s="11">
        <v>24.738159261396419</v>
      </c>
      <c r="AE30" s="11">
        <v>25.217461340104432</v>
      </c>
      <c r="AF30" s="11">
        <v>25.19423602562367</v>
      </c>
      <c r="AG30" s="11">
        <v>25.226326503002568</v>
      </c>
      <c r="AH30" s="11">
        <v>25.235243556306227</v>
      </c>
      <c r="AI30" s="11">
        <v>26.329921244462227</v>
      </c>
      <c r="AJ30" s="11">
        <v>26.350687490782391</v>
      </c>
      <c r="AK30" s="11">
        <v>26.386021347136218</v>
      </c>
      <c r="AL30" s="11">
        <v>26.390862999246647</v>
      </c>
      <c r="AM30" s="11">
        <v>27.636873848745321</v>
      </c>
      <c r="AN30" s="11">
        <v>27.624466182064069</v>
      </c>
      <c r="AO30" s="11">
        <v>27.619145431598316</v>
      </c>
      <c r="AP30" s="11">
        <v>27.55632300003046</v>
      </c>
      <c r="AQ30" s="11">
        <v>28.563281590629629</v>
      </c>
      <c r="AR30" s="11">
        <v>28.465466847135946</v>
      </c>
      <c r="AS30" s="11">
        <v>28.463855555529658</v>
      </c>
      <c r="AT30" s="11">
        <v>28.442823068238589</v>
      </c>
      <c r="AU30" s="11">
        <v>28.5209847231156</v>
      </c>
      <c r="AV30" s="11">
        <v>28.705725083526673</v>
      </c>
      <c r="AW30" s="11">
        <v>28.659956382119912</v>
      </c>
      <c r="AX30" s="11">
        <v>28.650463361394593</v>
      </c>
      <c r="AY30" s="11">
        <v>29.149468618586198</v>
      </c>
      <c r="AZ30" s="11">
        <v>29.081642678077884</v>
      </c>
      <c r="BA30" s="11">
        <v>29.637061228905381</v>
      </c>
      <c r="BB30" s="11">
        <v>29.635304577237825</v>
      </c>
      <c r="BC30" s="11">
        <v>30.168368519638211</v>
      </c>
      <c r="BD30" s="11">
        <v>30.121801287555336</v>
      </c>
      <c r="BE30" s="11">
        <v>30.14204644804564</v>
      </c>
      <c r="BF30" s="11">
        <v>29.810445812486055</v>
      </c>
      <c r="BG30" s="11">
        <v>29.956543038338371</v>
      </c>
      <c r="BH30" s="11">
        <v>30.679443437588478</v>
      </c>
      <c r="BI30" s="11">
        <v>30.646563677600582</v>
      </c>
      <c r="BJ30" s="11">
        <v>31.114163302817559</v>
      </c>
      <c r="BK30" s="11">
        <v>31.257498537110806</v>
      </c>
      <c r="BL30" s="11">
        <v>31.275240884561541</v>
      </c>
      <c r="BM30" s="11">
        <v>31.868571360321123</v>
      </c>
      <c r="BN30" s="11">
        <v>31.991890935049859</v>
      </c>
      <c r="BO30" s="11">
        <v>31.26303344186179</v>
      </c>
      <c r="BP30" s="11">
        <v>31.241080520678615</v>
      </c>
      <c r="BQ30" s="11">
        <v>31.219994627705297</v>
      </c>
      <c r="BR30" s="11">
        <v>31.283955306732121</v>
      </c>
      <c r="BS30" s="11">
        <v>31.644275501480401</v>
      </c>
      <c r="BT30" s="11">
        <v>31.829787890645889</v>
      </c>
      <c r="BU30" s="11">
        <v>31.845818424923792</v>
      </c>
      <c r="BV30" s="11">
        <v>32.13193749183953</v>
      </c>
      <c r="BW30" s="11">
        <v>32.760472083099621</v>
      </c>
      <c r="BX30" s="11">
        <v>33.030306874116214</v>
      </c>
      <c r="BY30" s="11">
        <v>33.01884004528906</v>
      </c>
      <c r="BZ30" s="11">
        <v>33.627013884683826</v>
      </c>
      <c r="CA30" s="11">
        <v>34.189747614672498</v>
      </c>
      <c r="CB30" s="11">
        <v>34.672974230665098</v>
      </c>
      <c r="CC30" s="11">
        <v>34.902590561562199</v>
      </c>
      <c r="CD30" s="11">
        <v>35.208614857180102</v>
      </c>
      <c r="CE30" s="11">
        <v>35.937455514310699</v>
      </c>
      <c r="CF30" s="11">
        <v>35.887014364915601</v>
      </c>
      <c r="CG30" s="11">
        <v>36.148567265266898</v>
      </c>
      <c r="CH30" s="11">
        <v>36.338151964475898</v>
      </c>
      <c r="CI30" s="11">
        <v>40.725169949731203</v>
      </c>
      <c r="CJ30" s="11">
        <v>40.858865237491202</v>
      </c>
      <c r="CK30" s="11">
        <v>40.816431650665002</v>
      </c>
      <c r="CL30" s="11">
        <v>42.4942170646436</v>
      </c>
      <c r="CM30" s="11">
        <v>43.823893338905499</v>
      </c>
      <c r="CN30" s="11">
        <v>44.046012993144402</v>
      </c>
    </row>
    <row r="31" spans="1:92" x14ac:dyDescent="0.35">
      <c r="A31" t="s">
        <v>62</v>
      </c>
      <c r="B31" s="11">
        <v>17.100000000000001</v>
      </c>
      <c r="C31" s="11">
        <v>17.100000000000001</v>
      </c>
      <c r="D31" s="11">
        <v>17.101072524632531</v>
      </c>
      <c r="E31" s="11">
        <v>19.159115977291158</v>
      </c>
      <c r="F31" s="11">
        <v>19.107818329278182</v>
      </c>
      <c r="G31" s="11">
        <v>19.097045270160635</v>
      </c>
      <c r="H31" s="11">
        <v>19.170946341463413</v>
      </c>
      <c r="I31" s="11">
        <v>19.656459384665474</v>
      </c>
      <c r="J31" s="11">
        <v>19.650803003101029</v>
      </c>
      <c r="K31" s="11">
        <v>19.575331110774361</v>
      </c>
      <c r="L31" s="11">
        <v>19.56735592194827</v>
      </c>
      <c r="M31" s="11">
        <v>19.558442635308307</v>
      </c>
      <c r="N31" s="11">
        <v>19.860819375282933</v>
      </c>
      <c r="O31" s="11">
        <v>20.040544197233917</v>
      </c>
      <c r="P31" s="11">
        <v>20.281288675277864</v>
      </c>
      <c r="Q31" s="11">
        <v>20.834698488702681</v>
      </c>
      <c r="R31" s="11">
        <v>20.834401371701212</v>
      </c>
      <c r="S31" s="11">
        <v>20.834214593550303</v>
      </c>
      <c r="T31" s="11">
        <v>21.064033001337894</v>
      </c>
      <c r="U31" s="11">
        <v>21.071900667160861</v>
      </c>
      <c r="V31" s="11">
        <v>21.127779751332149</v>
      </c>
      <c r="W31" s="11">
        <v>23.220873297809351</v>
      </c>
      <c r="X31" s="11">
        <v>23.152010958092699</v>
      </c>
      <c r="Y31" s="11">
        <v>23.143422689573462</v>
      </c>
      <c r="Z31" s="11">
        <v>23.130264949674366</v>
      </c>
      <c r="AA31" s="11">
        <v>23.425254060497686</v>
      </c>
      <c r="AB31" s="11">
        <v>23.538331590739354</v>
      </c>
      <c r="AC31" s="11">
        <v>24.326370436864153</v>
      </c>
      <c r="AD31" s="11">
        <v>24.32682558660888</v>
      </c>
      <c r="AE31" s="11">
        <v>24.580364851561335</v>
      </c>
      <c r="AF31" s="11">
        <v>25.312625978819288</v>
      </c>
      <c r="AG31" s="11">
        <v>25.301336945330899</v>
      </c>
      <c r="AH31" s="11">
        <v>25.29084357137042</v>
      </c>
      <c r="AI31" s="11">
        <v>26.229173632389962</v>
      </c>
      <c r="AJ31" s="11">
        <v>26.779323835082018</v>
      </c>
      <c r="AK31" s="11">
        <v>26.741905202576152</v>
      </c>
      <c r="AL31" s="11">
        <v>26.73705894127675</v>
      </c>
      <c r="AM31" s="11">
        <v>27.423195686944368</v>
      </c>
      <c r="AN31" s="11">
        <v>27.767266561868222</v>
      </c>
      <c r="AO31" s="11">
        <v>27.835333432680983</v>
      </c>
      <c r="AP31" s="11">
        <v>27.831713229198733</v>
      </c>
      <c r="AQ31" s="11">
        <v>28.217059587341168</v>
      </c>
      <c r="AR31" s="11">
        <v>28.215038612486989</v>
      </c>
      <c r="AS31" s="11">
        <v>28.206113803366318</v>
      </c>
      <c r="AT31" s="11">
        <v>28.191087823903523</v>
      </c>
      <c r="AU31" s="11">
        <v>29.005744377733137</v>
      </c>
      <c r="AV31" s="11">
        <v>28.99717013725223</v>
      </c>
      <c r="AW31" s="11">
        <v>28.985823637148446</v>
      </c>
      <c r="AX31" s="11">
        <v>28.978884938351467</v>
      </c>
      <c r="AY31" s="11">
        <v>30.238842724985023</v>
      </c>
      <c r="AZ31" s="11">
        <v>30.6470704326297</v>
      </c>
      <c r="BA31" s="11">
        <v>30.629545118488778</v>
      </c>
      <c r="BB31" s="11">
        <v>30.83100945357879</v>
      </c>
      <c r="BC31" s="11">
        <v>31.12056977936977</v>
      </c>
      <c r="BD31" s="11">
        <v>31.092188021959828</v>
      </c>
      <c r="BE31" s="11">
        <v>31.406212787504312</v>
      </c>
      <c r="BF31" s="11">
        <v>31.570944524599891</v>
      </c>
      <c r="BG31" s="11">
        <v>31.631651436291818</v>
      </c>
      <c r="BH31" s="11">
        <v>31.636054264951291</v>
      </c>
      <c r="BI31" s="11">
        <v>31.639232616645263</v>
      </c>
      <c r="BJ31" s="11">
        <v>32.348752530930966</v>
      </c>
      <c r="BK31" s="11">
        <v>32.59668555452668</v>
      </c>
      <c r="BL31" s="11">
        <v>32.701375404091912</v>
      </c>
      <c r="BM31" s="11">
        <v>33.250308523468249</v>
      </c>
      <c r="BN31" s="11">
        <v>33.362653522567733</v>
      </c>
      <c r="BO31" s="11">
        <v>33.838043818020495</v>
      </c>
      <c r="BP31" s="11">
        <v>33.851834892740662</v>
      </c>
      <c r="BQ31" s="11">
        <v>33.839661404104753</v>
      </c>
      <c r="BR31" s="11">
        <v>33.931987141016705</v>
      </c>
      <c r="BS31" s="11">
        <v>34.194654624044382</v>
      </c>
      <c r="BT31" s="11">
        <v>34.266170909510592</v>
      </c>
      <c r="BU31" s="11">
        <v>34.565235422093679</v>
      </c>
      <c r="BV31" s="11">
        <v>34.960050136751207</v>
      </c>
      <c r="BW31" s="11">
        <v>35.880366094796649</v>
      </c>
      <c r="BX31" s="11">
        <v>35.73989445993238</v>
      </c>
      <c r="BY31" s="11">
        <v>35.75740408538725</v>
      </c>
      <c r="BZ31" s="11">
        <v>36.200127535760615</v>
      </c>
      <c r="CA31" s="11">
        <v>37.869044592646198</v>
      </c>
      <c r="CB31" s="11">
        <v>38.002556087723299</v>
      </c>
      <c r="CC31" s="11">
        <v>38.234141755681797</v>
      </c>
      <c r="CD31" s="11">
        <v>38.568243863951601</v>
      </c>
      <c r="CE31" s="11">
        <v>39.315926598662998</v>
      </c>
      <c r="CF31" s="11">
        <v>39.574027285721897</v>
      </c>
      <c r="CG31" s="11">
        <v>40.0557999696453</v>
      </c>
      <c r="CH31" s="11">
        <v>40.450790237332498</v>
      </c>
      <c r="CI31" s="11">
        <v>43.5081592816083</v>
      </c>
      <c r="CJ31" s="11">
        <v>43.585881549953399</v>
      </c>
      <c r="CK31" s="11">
        <v>43.617789414466699</v>
      </c>
      <c r="CL31" s="11">
        <v>44.376345796617798</v>
      </c>
      <c r="CM31" s="11">
        <v>46.190783085697603</v>
      </c>
      <c r="CN31" s="11">
        <v>46.379177250528599</v>
      </c>
    </row>
    <row r="32" spans="1:92" x14ac:dyDescent="0.35">
      <c r="A32" t="s">
        <v>64</v>
      </c>
      <c r="B32" s="11">
        <v>19.619095328112341</v>
      </c>
      <c r="C32" s="11">
        <v>19.612479554237439</v>
      </c>
      <c r="D32" s="11">
        <v>19.60736818467619</v>
      </c>
      <c r="E32" s="11">
        <v>20.503076715531972</v>
      </c>
      <c r="F32" s="11">
        <v>20.505974652715139</v>
      </c>
      <c r="G32" s="11">
        <v>20.508250124024716</v>
      </c>
      <c r="H32" s="11">
        <v>20.585824971878516</v>
      </c>
      <c r="I32" s="11">
        <v>21.166509816142099</v>
      </c>
      <c r="J32" s="11">
        <v>21.168870177314446</v>
      </c>
      <c r="K32" s="11">
        <v>21.137969092984459</v>
      </c>
      <c r="L32" s="11">
        <v>21.304772717252327</v>
      </c>
      <c r="M32" s="11">
        <v>21.3001789019124</v>
      </c>
      <c r="N32" s="11">
        <v>21.291855670103093</v>
      </c>
      <c r="O32" s="11">
        <v>21.397409837509361</v>
      </c>
      <c r="P32" s="11">
        <v>21.400647466149163</v>
      </c>
      <c r="Q32" s="11">
        <v>21.417429608641761</v>
      </c>
      <c r="R32" s="11">
        <v>21.419642214320209</v>
      </c>
      <c r="S32" s="11">
        <v>21.42127602565229</v>
      </c>
      <c r="T32" s="11">
        <v>21.41977412280702</v>
      </c>
      <c r="U32" s="11">
        <v>21.945583212608103</v>
      </c>
      <c r="V32" s="11">
        <v>22.110688853810402</v>
      </c>
      <c r="W32" s="11">
        <v>22.839483848314604</v>
      </c>
      <c r="X32" s="11">
        <v>22.907457478520076</v>
      </c>
      <c r="Y32" s="11">
        <v>22.90768845765465</v>
      </c>
      <c r="Z32" s="11">
        <v>22.907624736472243</v>
      </c>
      <c r="AA32" s="11">
        <v>26.105716234051915</v>
      </c>
      <c r="AB32" s="11">
        <v>26.175924317617866</v>
      </c>
      <c r="AC32" s="11">
        <v>26.756607102970737</v>
      </c>
      <c r="AD32" s="11">
        <v>26.756034698622791</v>
      </c>
      <c r="AE32" s="11">
        <v>26.671964982383415</v>
      </c>
      <c r="AF32" s="11">
        <v>26.688821234565854</v>
      </c>
      <c r="AG32" s="11">
        <v>26.959046051481209</v>
      </c>
      <c r="AH32" s="11">
        <v>26.958144420701029</v>
      </c>
      <c r="AI32" s="11">
        <v>27.244177896094509</v>
      </c>
      <c r="AJ32" s="11">
        <v>27.299249609500219</v>
      </c>
      <c r="AK32" s="11">
        <v>27.266851884242524</v>
      </c>
      <c r="AL32" s="11">
        <v>27.256238062281032</v>
      </c>
      <c r="AM32" s="11">
        <v>27.946511283360014</v>
      </c>
      <c r="AN32" s="11">
        <v>28.021270906212397</v>
      </c>
      <c r="AO32" s="11">
        <v>28.02430848397011</v>
      </c>
      <c r="AP32" s="11">
        <v>28.709968265160178</v>
      </c>
      <c r="AQ32" s="11">
        <v>28.757189075480099</v>
      </c>
      <c r="AR32" s="11">
        <v>29.381409416044704</v>
      </c>
      <c r="AS32" s="11">
        <v>29.377065660006824</v>
      </c>
      <c r="AT32" s="11">
        <v>29.764895428174221</v>
      </c>
      <c r="AU32" s="11">
        <v>31.225160594400219</v>
      </c>
      <c r="AV32" s="11">
        <v>31.157404684723382</v>
      </c>
      <c r="AW32" s="11">
        <v>31.178210536160634</v>
      </c>
      <c r="AX32" s="11">
        <v>31.175450659090664</v>
      </c>
      <c r="AY32" s="11">
        <v>32.141100167389915</v>
      </c>
      <c r="AZ32" s="11">
        <v>32.180726299725876</v>
      </c>
      <c r="BA32" s="11">
        <v>32.274330223226272</v>
      </c>
      <c r="BB32" s="11">
        <v>32.270820627866598</v>
      </c>
      <c r="BC32" s="11">
        <v>33.173649713530835</v>
      </c>
      <c r="BD32" s="11">
        <v>33.222139510406464</v>
      </c>
      <c r="BE32" s="11">
        <v>33.592912974257032</v>
      </c>
      <c r="BF32" s="11">
        <v>33.619478109861774</v>
      </c>
      <c r="BG32" s="11">
        <v>34.097428946302003</v>
      </c>
      <c r="BH32" s="11">
        <v>33.432328546203699</v>
      </c>
      <c r="BI32" s="11">
        <v>33.881309562323132</v>
      </c>
      <c r="BJ32" s="11">
        <v>33.958862976292316</v>
      </c>
      <c r="BK32" s="11">
        <v>34.007553717913062</v>
      </c>
      <c r="BL32" s="11">
        <v>33.93543996131659</v>
      </c>
      <c r="BM32" s="11">
        <v>34.076218924919758</v>
      </c>
      <c r="BN32" s="11">
        <v>34.844246146674273</v>
      </c>
      <c r="BO32" s="11">
        <v>33.530879848840982</v>
      </c>
      <c r="BP32" s="11">
        <v>33.57126363580295</v>
      </c>
      <c r="BQ32" s="11">
        <v>33.497421018550305</v>
      </c>
      <c r="BR32" s="11">
        <v>33.512958596158668</v>
      </c>
      <c r="BS32" s="11">
        <v>35.100466605473777</v>
      </c>
      <c r="BT32" s="11">
        <v>35.088089828853889</v>
      </c>
      <c r="BU32" s="11">
        <v>35.346905750281181</v>
      </c>
      <c r="BV32" s="11">
        <v>35.590704376815836</v>
      </c>
      <c r="BW32" s="11">
        <v>35.937187002584942</v>
      </c>
      <c r="BX32" s="11">
        <v>35.989299607768849</v>
      </c>
      <c r="BY32" s="11">
        <v>36.238483250977566</v>
      </c>
      <c r="BZ32" s="11">
        <v>36.449070426238151</v>
      </c>
      <c r="CA32" s="11">
        <v>37.110671970404802</v>
      </c>
      <c r="CB32" s="11">
        <v>37.274673199554798</v>
      </c>
      <c r="CC32" s="11">
        <v>37.309235503444398</v>
      </c>
      <c r="CD32" s="11">
        <v>37.45157013339</v>
      </c>
      <c r="CE32" s="11">
        <v>39.574588051205403</v>
      </c>
      <c r="CF32" s="11">
        <v>39.847877074915303</v>
      </c>
      <c r="CG32" s="11">
        <v>40.133739889625502</v>
      </c>
      <c r="CH32" s="11">
        <v>40.487199438729299</v>
      </c>
      <c r="CI32" s="11">
        <v>42.759677444296599</v>
      </c>
      <c r="CJ32" s="11">
        <v>42.843484682292697</v>
      </c>
      <c r="CK32" s="11">
        <v>42.790527154198102</v>
      </c>
      <c r="CL32" s="11">
        <v>44.851394450572499</v>
      </c>
      <c r="CM32" s="11">
        <v>45.920485790016102</v>
      </c>
      <c r="CN32" s="11">
        <v>45.974674482228401</v>
      </c>
    </row>
    <row r="33" spans="1:92" x14ac:dyDescent="0.35">
      <c r="A33" t="s">
        <v>63</v>
      </c>
      <c r="B33" s="11">
        <v>19.371654964443241</v>
      </c>
      <c r="C33" s="11">
        <v>19.362213984002874</v>
      </c>
      <c r="D33" s="11">
        <v>19.354712566244498</v>
      </c>
      <c r="E33" s="11">
        <v>19.478814641604458</v>
      </c>
      <c r="F33" s="11">
        <v>19.480130344578747</v>
      </c>
      <c r="G33" s="11">
        <v>19.481159518333108</v>
      </c>
      <c r="H33" s="11">
        <v>19.565885714285713</v>
      </c>
      <c r="I33" s="11">
        <v>20.083065485464985</v>
      </c>
      <c r="J33" s="11">
        <v>20.0846805666934</v>
      </c>
      <c r="K33" s="11">
        <v>20.065429800684875</v>
      </c>
      <c r="L33" s="11">
        <v>20.24675058418941</v>
      </c>
      <c r="M33" s="11">
        <v>20.24238961840134</v>
      </c>
      <c r="N33" s="11">
        <v>20.34366375892149</v>
      </c>
      <c r="O33" s="11">
        <v>20.611081949887708</v>
      </c>
      <c r="P33" s="11">
        <v>20.614122524588719</v>
      </c>
      <c r="Q33" s="11">
        <v>20.633136178501857</v>
      </c>
      <c r="R33" s="11">
        <v>20.634254796084111</v>
      </c>
      <c r="S33" s="11">
        <v>20.635890362821751</v>
      </c>
      <c r="T33" s="11">
        <v>20.631456578947368</v>
      </c>
      <c r="U33" s="11">
        <v>21.008871328855527</v>
      </c>
      <c r="V33" s="11">
        <v>21.199248004910991</v>
      </c>
      <c r="W33" s="11">
        <v>22.322487710674157</v>
      </c>
      <c r="X33" s="11">
        <v>22.389980273540242</v>
      </c>
      <c r="Y33" s="11">
        <v>22.390291961188918</v>
      </c>
      <c r="Z33" s="11">
        <v>22.390208186929023</v>
      </c>
      <c r="AA33" s="11">
        <v>25.50571623405191</v>
      </c>
      <c r="AB33" s="11">
        <v>25.574880804679193</v>
      </c>
      <c r="AC33" s="11">
        <v>26.13732320750503</v>
      </c>
      <c r="AD33" s="11">
        <v>26.136778304417817</v>
      </c>
      <c r="AE33" s="11">
        <v>26.057174982383419</v>
      </c>
      <c r="AF33" s="11">
        <v>26.074031234565847</v>
      </c>
      <c r="AG33" s="11">
        <v>26.334009551481206</v>
      </c>
      <c r="AH33" s="11">
        <v>26.333107920701039</v>
      </c>
      <c r="AI33" s="11">
        <v>26.677204896094505</v>
      </c>
      <c r="AJ33" s="11">
        <v>26.732276609500218</v>
      </c>
      <c r="AK33" s="11">
        <v>26.699878884242523</v>
      </c>
      <c r="AL33" s="11">
        <v>26.689265062281027</v>
      </c>
      <c r="AM33" s="11">
        <v>27.393200283360013</v>
      </c>
      <c r="AN33" s="11">
        <v>27.4679599062124</v>
      </c>
      <c r="AO33" s="11">
        <v>27.470997483970109</v>
      </c>
      <c r="AP33" s="11">
        <v>28.156657265160177</v>
      </c>
      <c r="AQ33" s="11">
        <v>28.199329073217324</v>
      </c>
      <c r="AR33" s="11">
        <v>28.700199642237205</v>
      </c>
      <c r="AS33" s="11">
        <v>28.695855886199329</v>
      </c>
      <c r="AT33" s="11">
        <v>29.083685654366718</v>
      </c>
      <c r="AU33" s="11">
        <v>30.45015259440023</v>
      </c>
      <c r="AV33" s="11">
        <v>30.382396684723371</v>
      </c>
      <c r="AW33" s="11">
        <v>30.403202536160631</v>
      </c>
      <c r="AX33" s="11">
        <v>30.400442659090665</v>
      </c>
      <c r="AY33" s="11">
        <v>31.273019792389917</v>
      </c>
      <c r="AZ33" s="11">
        <v>31.312645924725874</v>
      </c>
      <c r="BA33" s="11">
        <v>31.406249848226263</v>
      </c>
      <c r="BB33" s="11">
        <v>31.4027402528666</v>
      </c>
      <c r="BC33" s="11">
        <v>31.717249463530845</v>
      </c>
      <c r="BD33" s="11">
        <v>31.765739260406455</v>
      </c>
      <c r="BE33" s="11">
        <v>32.136512724257031</v>
      </c>
      <c r="BF33" s="11">
        <v>32.163077859861779</v>
      </c>
      <c r="BG33" s="11">
        <v>32.665713446302014</v>
      </c>
      <c r="BH33" s="11">
        <v>32.000613046203704</v>
      </c>
      <c r="BI33" s="11">
        <v>33.881309562323132</v>
      </c>
      <c r="BJ33" s="11">
        <v>33.958862976292316</v>
      </c>
      <c r="BK33" s="11">
        <v>34.007553717913062</v>
      </c>
      <c r="BL33" s="11">
        <v>33.93543996131659</v>
      </c>
      <c r="BM33" s="11">
        <v>34.076218924919758</v>
      </c>
      <c r="BN33" s="11">
        <v>34.844246146674273</v>
      </c>
      <c r="BO33" s="11">
        <v>33.530879848840982</v>
      </c>
      <c r="BP33" s="11">
        <v>33.57126363580295</v>
      </c>
      <c r="BQ33" s="11">
        <v>33.497421018550305</v>
      </c>
      <c r="BR33" s="11">
        <v>33.512958596158668</v>
      </c>
      <c r="BS33" s="11">
        <v>35.100466605473777</v>
      </c>
      <c r="BT33" s="11">
        <v>35.088089828853889</v>
      </c>
      <c r="BU33" s="11">
        <v>35.346905750281181</v>
      </c>
      <c r="BV33" s="11">
        <v>35.590704376815836</v>
      </c>
      <c r="BW33" s="11">
        <v>35.937187002584942</v>
      </c>
      <c r="BX33" s="11">
        <v>35.989299607768849</v>
      </c>
      <c r="BY33" s="11">
        <v>36.238483250977566</v>
      </c>
      <c r="BZ33" s="11">
        <v>36.449070426238151</v>
      </c>
      <c r="CA33" s="11">
        <v>37.110671970404802</v>
      </c>
      <c r="CB33" s="11">
        <v>37.274673199554798</v>
      </c>
      <c r="CC33" s="11">
        <v>37.309235503444398</v>
      </c>
      <c r="CD33" s="11">
        <v>37.45157013339</v>
      </c>
      <c r="CE33" s="11">
        <v>39.574588051205403</v>
      </c>
      <c r="CF33" s="11">
        <v>39.847877074915303</v>
      </c>
      <c r="CG33" s="11">
        <v>40.133739889625502</v>
      </c>
      <c r="CH33" s="11">
        <v>40.487199438729299</v>
      </c>
      <c r="CI33" s="11">
        <v>42.759677444296599</v>
      </c>
      <c r="CJ33" s="11">
        <v>42.843484682292697</v>
      </c>
      <c r="CK33" s="11">
        <v>42.790527154198102</v>
      </c>
      <c r="CL33" s="11">
        <v>44.851394450572499</v>
      </c>
      <c r="CM33" s="11">
        <v>45.920485790016102</v>
      </c>
      <c r="CN33" s="11">
        <v>45.974674482228401</v>
      </c>
    </row>
    <row r="34" spans="1:92" x14ac:dyDescent="0.35">
      <c r="A34" t="s">
        <v>65</v>
      </c>
      <c r="B34" s="11">
        <v>17.733229246509147</v>
      </c>
      <c r="C34" s="11">
        <v>17.849094065024367</v>
      </c>
      <c r="D34" s="11">
        <v>17.848285159909008</v>
      </c>
      <c r="E34" s="11">
        <v>18.467466925030067</v>
      </c>
      <c r="F34" s="11">
        <v>18.46817653153304</v>
      </c>
      <c r="G34" s="11">
        <v>19.291362842358524</v>
      </c>
      <c r="H34" s="11">
        <v>19.470616564619132</v>
      </c>
      <c r="I34" s="11">
        <v>19.97509710335747</v>
      </c>
      <c r="J34" s="11">
        <v>19.975142153644121</v>
      </c>
      <c r="K34" s="11">
        <v>19.975204261716449</v>
      </c>
      <c r="L34" s="11">
        <v>21.11427148520691</v>
      </c>
      <c r="M34" s="11">
        <v>21.12208964006669</v>
      </c>
      <c r="N34" s="11">
        <v>21.198745195126723</v>
      </c>
      <c r="O34" s="11">
        <v>22.943579633956389</v>
      </c>
      <c r="P34" s="11">
        <v>22.941260185034903</v>
      </c>
      <c r="Q34" s="11">
        <v>23.113917703055428</v>
      </c>
      <c r="R34" s="11">
        <v>23.112577511684027</v>
      </c>
      <c r="S34" s="11">
        <v>24.438143047399969</v>
      </c>
      <c r="T34" s="11">
        <v>24.436896105069735</v>
      </c>
      <c r="U34" s="11">
        <v>24.621743454556348</v>
      </c>
      <c r="V34" s="11">
        <v>24.534097319538446</v>
      </c>
      <c r="W34" s="11">
        <v>23.958039705183072</v>
      </c>
      <c r="X34" s="11">
        <v>23.935972925738323</v>
      </c>
      <c r="Y34" s="11">
        <v>23.966752717391305</v>
      </c>
      <c r="Z34" s="11">
        <v>24.934109641499983</v>
      </c>
      <c r="AA34" s="11">
        <v>25.045861947215116</v>
      </c>
      <c r="AB34" s="11">
        <v>25.655960777416237</v>
      </c>
      <c r="AC34" s="11">
        <v>26.218306055886934</v>
      </c>
      <c r="AD34" s="11">
        <v>27.464349538533888</v>
      </c>
      <c r="AE34" s="11">
        <v>27.416740538915082</v>
      </c>
      <c r="AF34" s="11">
        <v>24.83172763470802</v>
      </c>
      <c r="AG34" s="11">
        <v>24.850485227665491</v>
      </c>
      <c r="AH34" s="11">
        <v>24.827396294132466</v>
      </c>
      <c r="AI34" s="11">
        <v>26.500905013068191</v>
      </c>
      <c r="AJ34" s="11">
        <v>26.487515161952903</v>
      </c>
      <c r="AK34" s="11">
        <v>27.424751839900136</v>
      </c>
      <c r="AL34" s="11">
        <v>27.425999213262966</v>
      </c>
      <c r="AM34" s="11">
        <v>28.35227604516411</v>
      </c>
      <c r="AN34" s="11">
        <v>28.354223338656617</v>
      </c>
      <c r="AO34" s="11">
        <v>28.350010578467586</v>
      </c>
      <c r="AP34" s="11">
        <v>28.354496350447878</v>
      </c>
      <c r="AQ34" s="11">
        <v>29.148616246703853</v>
      </c>
      <c r="AR34" s="11">
        <v>29.156124294877394</v>
      </c>
      <c r="AS34" s="11">
        <v>29.168857004065124</v>
      </c>
      <c r="AT34" s="11">
        <v>29.171110114924044</v>
      </c>
      <c r="AU34" s="11">
        <v>29.645628720408777</v>
      </c>
      <c r="AV34" s="11">
        <v>29.643355303389246</v>
      </c>
      <c r="AW34" s="11">
        <v>29.770175872356972</v>
      </c>
      <c r="AX34" s="11">
        <v>29.766430032379105</v>
      </c>
      <c r="AY34" s="11">
        <v>30.645726753747379</v>
      </c>
      <c r="AZ34" s="11">
        <v>30.812700622087664</v>
      </c>
      <c r="BA34" s="11">
        <v>30.925148578429205</v>
      </c>
      <c r="BB34" s="11">
        <v>30.998385642216114</v>
      </c>
      <c r="BC34" s="11">
        <v>31.086997587561914</v>
      </c>
      <c r="BD34" s="11">
        <v>31.197701462196036</v>
      </c>
      <c r="BE34" s="11">
        <v>31.409201560425061</v>
      </c>
      <c r="BF34" s="11">
        <v>31.490421352891218</v>
      </c>
      <c r="BG34" s="11">
        <v>31.633108275272807</v>
      </c>
      <c r="BH34" s="11">
        <v>31.776313576663835</v>
      </c>
      <c r="BI34" s="11">
        <v>31.77293007948521</v>
      </c>
      <c r="BJ34" s="11">
        <v>32.017294130292939</v>
      </c>
      <c r="BK34" s="11">
        <v>32.236441638920837</v>
      </c>
      <c r="BL34" s="11">
        <v>32.458287326161894</v>
      </c>
      <c r="BM34" s="11">
        <v>32.943523463126056</v>
      </c>
      <c r="BN34" s="11">
        <v>33.000129317393011</v>
      </c>
      <c r="BO34" s="11">
        <v>33.527882903718805</v>
      </c>
      <c r="BP34" s="11">
        <v>33.517412470734016</v>
      </c>
      <c r="BQ34" s="11">
        <v>32.653748024077743</v>
      </c>
      <c r="BR34" s="11">
        <v>32.700714836124895</v>
      </c>
      <c r="BS34" s="11">
        <v>32.939169349818911</v>
      </c>
      <c r="BT34" s="11">
        <v>33.433338772933979</v>
      </c>
      <c r="BU34" s="11">
        <v>34.242697327194996</v>
      </c>
      <c r="BV34" s="11">
        <v>34.343938348083668</v>
      </c>
      <c r="BW34" s="11">
        <v>34.451130361932009</v>
      </c>
      <c r="BX34" s="11">
        <v>33.771816165983161</v>
      </c>
      <c r="BY34" s="11">
        <v>35.280183663333844</v>
      </c>
      <c r="BZ34" s="11">
        <v>35.216028482468772</v>
      </c>
      <c r="CA34" s="11">
        <v>36.080646711853802</v>
      </c>
      <c r="CB34" s="11">
        <v>36.177287997994704</v>
      </c>
      <c r="CC34" s="11">
        <v>36.6347548548327</v>
      </c>
      <c r="CD34" s="11">
        <v>36.595699132015099</v>
      </c>
      <c r="CE34" s="11">
        <v>37.7531286316189</v>
      </c>
      <c r="CF34" s="11">
        <v>38.207687500462498</v>
      </c>
      <c r="CG34" s="11">
        <v>39.161660934265399</v>
      </c>
      <c r="CH34" s="11">
        <v>39.347857307396303</v>
      </c>
      <c r="CI34" s="11">
        <v>41.357548174164997</v>
      </c>
      <c r="CJ34" s="11">
        <v>41.3901240783701</v>
      </c>
      <c r="CK34" s="11">
        <v>41.381154431625603</v>
      </c>
      <c r="CL34" s="11">
        <v>42.046302117284803</v>
      </c>
      <c r="CM34" s="11">
        <v>43.980474016404798</v>
      </c>
      <c r="CN34" s="11">
        <v>44.173444547066197</v>
      </c>
    </row>
    <row r="35" spans="1:92" x14ac:dyDescent="0.35">
      <c r="A35" t="s">
        <v>86</v>
      </c>
      <c r="B35" s="11">
        <v>18.010365617525345</v>
      </c>
      <c r="C35" s="11">
        <v>20.535701804152954</v>
      </c>
      <c r="D35" s="11">
        <v>20.533706451734396</v>
      </c>
      <c r="E35" s="11">
        <v>20.567909632014373</v>
      </c>
      <c r="F35" s="11">
        <v>20.566116533679718</v>
      </c>
      <c r="G35" s="11">
        <v>20.574160263041229</v>
      </c>
      <c r="H35" s="11">
        <v>21.981370653532306</v>
      </c>
      <c r="I35" s="11">
        <v>22.018664548641539</v>
      </c>
      <c r="J35" s="11">
        <v>22.016651934502242</v>
      </c>
      <c r="K35" s="11">
        <v>22.930923992969625</v>
      </c>
      <c r="L35" s="11">
        <v>22.948666023441966</v>
      </c>
      <c r="M35" s="11">
        <v>22.937984063178117</v>
      </c>
      <c r="N35" s="11">
        <v>22.957113987444448</v>
      </c>
      <c r="O35" s="11">
        <v>23.054783892051447</v>
      </c>
      <c r="P35" s="11">
        <v>24.695255075207736</v>
      </c>
      <c r="Q35" s="11">
        <v>24.778201255667941</v>
      </c>
      <c r="R35" s="11">
        <v>24.776338985401711</v>
      </c>
      <c r="S35" s="11">
        <v>24.805164657251119</v>
      </c>
      <c r="T35" s="11">
        <v>26.087539087892161</v>
      </c>
      <c r="U35" s="11">
        <v>26.238582808510643</v>
      </c>
      <c r="V35" s="11">
        <v>26.110228903313974</v>
      </c>
      <c r="W35" s="11">
        <v>26.14946529829886</v>
      </c>
      <c r="X35" s="11">
        <v>25.910802627630133</v>
      </c>
      <c r="Y35" s="11">
        <v>25.940876101779477</v>
      </c>
      <c r="Z35" s="11">
        <v>28.1551215225969</v>
      </c>
      <c r="AA35" s="11">
        <v>28.786470724522562</v>
      </c>
      <c r="AB35" s="11">
        <v>29.378643093192331</v>
      </c>
      <c r="AC35" s="11">
        <v>29.955349159248271</v>
      </c>
      <c r="AD35" s="11">
        <v>31.238013815789472</v>
      </c>
      <c r="AE35" s="11">
        <v>31.821420166768782</v>
      </c>
      <c r="AF35" s="11">
        <v>29.137137199498635</v>
      </c>
      <c r="AG35" s="11">
        <v>29.173908973959872</v>
      </c>
      <c r="AH35" s="11">
        <v>29.17856858716225</v>
      </c>
      <c r="AI35" s="11">
        <v>31.740475235054621</v>
      </c>
      <c r="AJ35" s="11">
        <v>32.742938879285333</v>
      </c>
      <c r="AK35" s="11">
        <v>32.716503782469097</v>
      </c>
      <c r="AL35" s="11">
        <v>32.711276814208411</v>
      </c>
      <c r="AM35" s="11">
        <v>33.772650692390215</v>
      </c>
      <c r="AN35" s="11">
        <v>34.193001469600759</v>
      </c>
      <c r="AO35" s="11">
        <v>34.203374023087804</v>
      </c>
      <c r="AP35" s="11">
        <v>34.199111222004433</v>
      </c>
      <c r="AQ35" s="11">
        <v>34.839398402371749</v>
      </c>
      <c r="AR35" s="11">
        <v>35.014499412459166</v>
      </c>
      <c r="AS35" s="11">
        <v>35.007917366801067</v>
      </c>
      <c r="AT35" s="11">
        <v>35.076222712063306</v>
      </c>
      <c r="AU35" s="11">
        <v>36.138636018584165</v>
      </c>
      <c r="AV35" s="11">
        <v>36.388750420124317</v>
      </c>
      <c r="AW35" s="11">
        <v>36.493256259770561</v>
      </c>
      <c r="AX35" s="11">
        <v>36.488028055477862</v>
      </c>
      <c r="AY35" s="11">
        <v>36.946091255174665</v>
      </c>
      <c r="AZ35" s="11">
        <v>38.536652741327458</v>
      </c>
      <c r="BA35" s="11">
        <v>38.595238593038324</v>
      </c>
      <c r="BB35" s="11">
        <v>38.775615801946657</v>
      </c>
      <c r="BC35" s="11">
        <v>38.879493600543157</v>
      </c>
      <c r="BD35" s="11">
        <v>39.016299514561823</v>
      </c>
      <c r="BE35" s="11">
        <v>39.967333420802824</v>
      </c>
      <c r="BF35" s="11">
        <v>40.019806127249588</v>
      </c>
      <c r="BG35" s="11">
        <v>40.598037710902375</v>
      </c>
      <c r="BH35" s="11">
        <v>40.867504533265098</v>
      </c>
      <c r="BI35" s="11">
        <v>40.859519430264939</v>
      </c>
      <c r="BJ35" s="11">
        <v>41.158393647808396</v>
      </c>
      <c r="BK35" s="11">
        <v>42.595568447449963</v>
      </c>
      <c r="BL35" s="11">
        <v>41.917693738380045</v>
      </c>
      <c r="BM35" s="11">
        <v>42.762382472903433</v>
      </c>
      <c r="BN35" s="11">
        <v>42.811393657877566</v>
      </c>
      <c r="BO35" s="11">
        <v>41.674200704367031</v>
      </c>
      <c r="BP35" s="11">
        <v>41.681519478444208</v>
      </c>
      <c r="BQ35" s="11">
        <v>41.648282478204841</v>
      </c>
      <c r="BR35" s="11">
        <v>41.621176321004199</v>
      </c>
      <c r="BS35" s="11">
        <v>41.810972416757181</v>
      </c>
      <c r="BT35" s="11">
        <v>42.972680807540762</v>
      </c>
      <c r="BU35" s="11">
        <v>42.967882909354209</v>
      </c>
      <c r="BV35" s="11">
        <v>43.953948640025054</v>
      </c>
      <c r="BW35" s="11">
        <v>43.59660630892251</v>
      </c>
      <c r="BX35" s="11">
        <v>43.645038074688742</v>
      </c>
      <c r="BY35" s="11">
        <v>43.267357265696361</v>
      </c>
      <c r="BZ35" s="11">
        <v>43.562715305629467</v>
      </c>
      <c r="CA35" s="11">
        <v>42.575335886941602</v>
      </c>
      <c r="CB35" s="11">
        <v>43.609599208733002</v>
      </c>
      <c r="CC35" s="11">
        <v>44.039549158080298</v>
      </c>
      <c r="CD35" s="11">
        <v>44.213799430016898</v>
      </c>
      <c r="CE35" s="11">
        <v>45.592353560183497</v>
      </c>
      <c r="CF35" s="11">
        <v>44.240745185357703</v>
      </c>
      <c r="CG35" s="11">
        <v>45.337522366209399</v>
      </c>
      <c r="CH35" s="11">
        <v>45.422928633216202</v>
      </c>
      <c r="CI35" s="11">
        <v>48.4298128550681</v>
      </c>
      <c r="CJ35" s="11">
        <v>48.538434410862799</v>
      </c>
      <c r="CK35" s="11">
        <v>48.519785806497701</v>
      </c>
      <c r="CL35" s="11">
        <v>49.557130569664999</v>
      </c>
      <c r="CM35" s="11">
        <v>50.558956735223703</v>
      </c>
      <c r="CN35" s="11">
        <v>50.618038805293303</v>
      </c>
    </row>
    <row r="36" spans="1:92" x14ac:dyDescent="0.35">
      <c r="A36" t="s">
        <v>37</v>
      </c>
      <c r="B36" s="11">
        <v>15.72435303844564</v>
      </c>
      <c r="C36" s="11">
        <v>17.887194367207819</v>
      </c>
      <c r="D36" s="11">
        <v>17.884782522984281</v>
      </c>
      <c r="E36" s="11">
        <v>18.817718763994623</v>
      </c>
      <c r="F36" s="11">
        <v>18.811820977720558</v>
      </c>
      <c r="G36" s="11">
        <v>18.810210180741162</v>
      </c>
      <c r="H36" s="11">
        <v>19.671946726057907</v>
      </c>
      <c r="I36" s="11">
        <v>19.702767277705671</v>
      </c>
      <c r="J36" s="11">
        <v>19.672885948888929</v>
      </c>
      <c r="K36" s="11">
        <v>19.93822730250681</v>
      </c>
      <c r="L36" s="11">
        <v>20.298973737998317</v>
      </c>
      <c r="M36" s="11">
        <v>20.266392226087849</v>
      </c>
      <c r="N36" s="11">
        <v>20.641098699965788</v>
      </c>
      <c r="O36" s="11">
        <v>21.497914796292822</v>
      </c>
      <c r="P36" s="11">
        <v>21.868464264417753</v>
      </c>
      <c r="Q36" s="11">
        <v>21.887100993799368</v>
      </c>
      <c r="R36" s="11">
        <v>21.891490195418925</v>
      </c>
      <c r="S36" s="11">
        <v>22.787818483340867</v>
      </c>
      <c r="T36" s="11">
        <v>22.714516382743735</v>
      </c>
      <c r="U36" s="11">
        <v>23.015834266330227</v>
      </c>
      <c r="V36" s="11">
        <v>23.110803861737782</v>
      </c>
      <c r="W36" s="11">
        <v>23.458253703734567</v>
      </c>
      <c r="X36" s="11">
        <v>23.453402842497674</v>
      </c>
      <c r="Y36" s="11">
        <v>23.493759073769542</v>
      </c>
      <c r="Z36" s="11">
        <v>23.534253804410962</v>
      </c>
      <c r="AA36" s="11">
        <v>23.495146668436423</v>
      </c>
      <c r="AB36" s="11">
        <v>23.555915904031661</v>
      </c>
      <c r="AC36" s="11">
        <v>24.714427602778049</v>
      </c>
      <c r="AD36" s="11">
        <v>24.768276756827778</v>
      </c>
      <c r="AE36" s="11">
        <v>25.900090263574306</v>
      </c>
      <c r="AF36" s="11">
        <v>24.158127919922574</v>
      </c>
      <c r="AG36" s="11">
        <v>24.158577485677583</v>
      </c>
      <c r="AH36" s="11">
        <v>24.216364645654263</v>
      </c>
      <c r="AI36" s="11">
        <v>25.736307916498355</v>
      </c>
      <c r="AJ36" s="11">
        <v>25.859958367211231</v>
      </c>
      <c r="AK36" s="11">
        <v>25.850047326167033</v>
      </c>
      <c r="AL36" s="11">
        <v>25.867815971996787</v>
      </c>
      <c r="AM36" s="11">
        <v>26.550903002179151</v>
      </c>
      <c r="AN36" s="11">
        <v>27.074167867974044</v>
      </c>
      <c r="AO36" s="11">
        <v>27.211785890298842</v>
      </c>
      <c r="AP36" s="11">
        <v>27.277583339415898</v>
      </c>
      <c r="AQ36" s="11">
        <v>28.79984415093838</v>
      </c>
      <c r="AR36" s="11">
        <v>28.810242136675544</v>
      </c>
      <c r="AS36" s="11">
        <v>28.851696065935261</v>
      </c>
      <c r="AT36" s="11">
        <v>28.862738256611927</v>
      </c>
      <c r="AU36" s="11">
        <v>29.09956891774339</v>
      </c>
      <c r="AV36" s="11">
        <v>29.115683630564298</v>
      </c>
      <c r="AW36" s="11">
        <v>29.871366990873373</v>
      </c>
      <c r="AX36" s="11">
        <v>29.873316512263326</v>
      </c>
      <c r="AY36" s="11">
        <v>30.130392789102316</v>
      </c>
      <c r="AZ36" s="11">
        <v>30.457436652952708</v>
      </c>
      <c r="BA36" s="11">
        <v>30.46464822054789</v>
      </c>
      <c r="BB36" s="11">
        <v>30.529036761118029</v>
      </c>
      <c r="BC36" s="11">
        <v>30.63978644876126</v>
      </c>
      <c r="BD36" s="11">
        <v>30.676818323394656</v>
      </c>
      <c r="BE36" s="11">
        <v>30.967088257965532</v>
      </c>
      <c r="BF36" s="11">
        <v>31.073184895211753</v>
      </c>
      <c r="BG36" s="11">
        <v>31.06585522788054</v>
      </c>
      <c r="BH36" s="11">
        <v>31.088627526539071</v>
      </c>
      <c r="BI36" s="11">
        <v>31.11916746432021</v>
      </c>
      <c r="BJ36" s="11">
        <v>31.28022247161292</v>
      </c>
      <c r="BK36" s="11">
        <v>31.371529859710531</v>
      </c>
      <c r="BL36" s="11">
        <v>31.386205358208585</v>
      </c>
      <c r="BM36" s="11">
        <v>31.934886797050165</v>
      </c>
      <c r="BN36" s="11">
        <v>32.068805574328714</v>
      </c>
      <c r="BO36" s="11">
        <v>31.709163052821197</v>
      </c>
      <c r="BP36" s="11">
        <v>31.724362675548392</v>
      </c>
      <c r="BQ36" s="11">
        <v>31.004862215962643</v>
      </c>
      <c r="BR36" s="11">
        <v>31.089405849819148</v>
      </c>
      <c r="BS36" s="11">
        <v>31.114417770851521</v>
      </c>
      <c r="BT36" s="11">
        <v>31.350404351308267</v>
      </c>
      <c r="BU36" s="11">
        <v>31.95112263713532</v>
      </c>
      <c r="BV36" s="11">
        <v>32.87325796282331</v>
      </c>
      <c r="BW36" s="11">
        <v>33.277722384886346</v>
      </c>
      <c r="BX36" s="11">
        <v>33.115393300550259</v>
      </c>
      <c r="BY36" s="11">
        <v>33.111369004286765</v>
      </c>
      <c r="BZ36" s="11">
        <v>33.143022653473764</v>
      </c>
      <c r="CA36" s="11">
        <v>32.9078440013406</v>
      </c>
      <c r="CB36" s="11">
        <v>33.605526647005497</v>
      </c>
      <c r="CC36" s="11">
        <v>33.714506515749697</v>
      </c>
      <c r="CD36" s="11">
        <v>33.7512533050892</v>
      </c>
      <c r="CE36" s="11">
        <v>34.260024831130501</v>
      </c>
      <c r="CF36" s="11">
        <v>33.645357080019103</v>
      </c>
      <c r="CG36" s="11">
        <v>34.422987521122003</v>
      </c>
      <c r="CH36" s="11">
        <v>35.509826644128999</v>
      </c>
      <c r="CI36" s="11">
        <v>38.039830149817</v>
      </c>
      <c r="CJ36" s="11">
        <v>38.7365266337356</v>
      </c>
      <c r="CK36" s="11">
        <v>38.931579423925697</v>
      </c>
      <c r="CL36" s="11">
        <v>39.552101964250802</v>
      </c>
      <c r="CM36" s="11">
        <v>41.143904001059703</v>
      </c>
      <c r="CN36" s="11">
        <v>41.3457558981098</v>
      </c>
    </row>
    <row r="37" spans="1:92" x14ac:dyDescent="0.35">
      <c r="A37" t="s">
        <v>67</v>
      </c>
      <c r="B37" s="11">
        <v>17.765107995846314</v>
      </c>
      <c r="C37" s="11">
        <v>18.932978592435539</v>
      </c>
      <c r="D37" s="11">
        <v>18.878094214029698</v>
      </c>
      <c r="E37" s="11">
        <v>18.596217358696393</v>
      </c>
      <c r="F37" s="11">
        <v>18.918420085106376</v>
      </c>
      <c r="G37" s="11">
        <v>19.727755157437567</v>
      </c>
      <c r="H37" s="11">
        <v>20.116820535381905</v>
      </c>
      <c r="I37" s="11">
        <v>20.076520874081069</v>
      </c>
      <c r="J37" s="11">
        <v>20.061176826806623</v>
      </c>
      <c r="K37" s="11">
        <v>20.636219221337637</v>
      </c>
      <c r="L37" s="11">
        <v>21.14938596491228</v>
      </c>
      <c r="M37" s="11">
        <v>21.163264461430625</v>
      </c>
      <c r="N37" s="11">
        <v>21.297245526938326</v>
      </c>
      <c r="O37" s="11">
        <v>22.077166400850611</v>
      </c>
      <c r="P37" s="11">
        <v>22.084051481076063</v>
      </c>
      <c r="Q37" s="11">
        <v>22.256155605648747</v>
      </c>
      <c r="R37" s="11">
        <v>22.581830846100395</v>
      </c>
      <c r="S37" s="11">
        <v>22.873286053569075</v>
      </c>
      <c r="T37" s="11">
        <v>23.0274950521177</v>
      </c>
      <c r="U37" s="11">
        <v>23.199589095219281</v>
      </c>
      <c r="V37" s="11">
        <v>23.181154681943895</v>
      </c>
      <c r="W37" s="11">
        <v>25.357275540776349</v>
      </c>
      <c r="X37" s="11">
        <v>25.309368767483953</v>
      </c>
      <c r="Y37" s="11">
        <v>25.279621040165793</v>
      </c>
      <c r="Z37" s="11">
        <v>25.194301145877795</v>
      </c>
      <c r="AA37" s="11">
        <v>25.929353674540682</v>
      </c>
      <c r="AB37" s="11">
        <v>26.078662216113621</v>
      </c>
      <c r="AC37" s="11">
        <v>26.814720379146923</v>
      </c>
      <c r="AD37" s="11">
        <v>26.797258106609252</v>
      </c>
      <c r="AE37" s="11">
        <v>27.633815070227033</v>
      </c>
      <c r="AF37" s="11">
        <v>27.265944193116393</v>
      </c>
      <c r="AG37" s="11">
        <v>27.162979589718475</v>
      </c>
      <c r="AH37" s="11">
        <v>27.068336512223066</v>
      </c>
      <c r="AI37" s="11">
        <v>28.83533063643635</v>
      </c>
      <c r="AJ37" s="11">
        <v>28.776877438425416</v>
      </c>
      <c r="AK37" s="11">
        <v>28.736452764763442</v>
      </c>
      <c r="AL37" s="11">
        <v>28.707314843023543</v>
      </c>
      <c r="AM37" s="11">
        <v>29.371947114679998</v>
      </c>
      <c r="AN37" s="11">
        <v>29.905773958295988</v>
      </c>
      <c r="AO37" s="11">
        <v>29.862560711292808</v>
      </c>
      <c r="AP37" s="11">
        <v>29.835397696096894</v>
      </c>
      <c r="AQ37" s="11">
        <v>31.166092686970686</v>
      </c>
      <c r="AR37" s="11">
        <v>31.118914909170446</v>
      </c>
      <c r="AS37" s="11">
        <v>31.08114410399946</v>
      </c>
      <c r="AT37" s="11">
        <v>30.904778738106547</v>
      </c>
      <c r="AU37" s="11">
        <v>31.050669693193488</v>
      </c>
      <c r="AV37" s="11">
        <v>31.098404836488108</v>
      </c>
      <c r="AW37" s="11">
        <v>31.09479337829287</v>
      </c>
      <c r="AX37" s="11">
        <v>31.079518802470425</v>
      </c>
      <c r="AY37" s="11">
        <v>31.734203175995976</v>
      </c>
      <c r="AZ37" s="11">
        <v>31.848378347109673</v>
      </c>
      <c r="BA37" s="11">
        <v>31.891624865516874</v>
      </c>
      <c r="BB37" s="11">
        <v>32.120877375624758</v>
      </c>
      <c r="BC37" s="11">
        <v>32.150602906771347</v>
      </c>
      <c r="BD37" s="11">
        <v>32.25458291299352</v>
      </c>
      <c r="BE37" s="11">
        <v>32.252599309553567</v>
      </c>
      <c r="BF37" s="11">
        <v>32.229857471785472</v>
      </c>
      <c r="BG37" s="11">
        <v>32.219963626787575</v>
      </c>
      <c r="BH37" s="11">
        <v>32.234467010013446</v>
      </c>
      <c r="BI37" s="11">
        <v>32.25234330213069</v>
      </c>
      <c r="BJ37" s="11">
        <v>32.509670108366137</v>
      </c>
      <c r="BK37" s="11">
        <v>32.575026299508544</v>
      </c>
      <c r="BL37" s="11">
        <v>32.580104043112016</v>
      </c>
      <c r="BM37" s="11">
        <v>32.995968202227466</v>
      </c>
      <c r="BN37" s="11">
        <v>33.268775892690016</v>
      </c>
      <c r="BO37" s="11">
        <v>32.673972507312705</v>
      </c>
      <c r="BP37" s="11">
        <v>32.630100373405213</v>
      </c>
      <c r="BQ37" s="11">
        <v>32.575960075437678</v>
      </c>
      <c r="BR37" s="11">
        <v>32.737173547191404</v>
      </c>
      <c r="BS37" s="11">
        <v>32.728921181273115</v>
      </c>
      <c r="BT37" s="11">
        <v>32.903889050851269</v>
      </c>
      <c r="BU37" s="11">
        <v>32.959985020083714</v>
      </c>
      <c r="BV37" s="11">
        <v>33.733239429383516</v>
      </c>
      <c r="BW37" s="11">
        <v>34.216965198800409</v>
      </c>
      <c r="BX37" s="11">
        <v>33.978994069857045</v>
      </c>
      <c r="BY37" s="11">
        <v>33.950421500715379</v>
      </c>
      <c r="BZ37" s="11">
        <v>33.954101797239325</v>
      </c>
      <c r="CA37" s="11">
        <v>34.216853725547999</v>
      </c>
      <c r="CB37" s="11">
        <v>35.138722717891198</v>
      </c>
      <c r="CC37" s="11">
        <v>34.877310957496903</v>
      </c>
      <c r="CD37" s="11">
        <v>35.250887770380103</v>
      </c>
      <c r="CE37" s="11">
        <v>36.210673656282303</v>
      </c>
      <c r="CF37" s="11">
        <v>35.8092562603887</v>
      </c>
      <c r="CG37" s="11">
        <v>36.084325399526399</v>
      </c>
      <c r="CH37" s="11">
        <v>36.436146259934297</v>
      </c>
      <c r="CI37" s="11">
        <v>39.714945204890597</v>
      </c>
      <c r="CJ37" s="11">
        <v>40.227037990285602</v>
      </c>
      <c r="CK37" s="11">
        <v>40.2644139088071</v>
      </c>
      <c r="CL37" s="11">
        <v>41.154692426366999</v>
      </c>
      <c r="CM37" s="11">
        <v>42.760599252625298</v>
      </c>
      <c r="CN37" s="11">
        <v>42.934959822384201</v>
      </c>
    </row>
    <row r="38" spans="1:92" x14ac:dyDescent="0.35">
      <c r="A38" t="s">
        <v>68</v>
      </c>
      <c r="B38" s="11">
        <v>16.900984735812131</v>
      </c>
      <c r="C38" s="11">
        <v>18.33678272464627</v>
      </c>
      <c r="D38" s="11">
        <v>18.370794741118246</v>
      </c>
      <c r="E38" s="11">
        <v>18.321290251433613</v>
      </c>
      <c r="F38" s="11">
        <v>18.471796297651274</v>
      </c>
      <c r="G38" s="11">
        <v>19.31941339559317</v>
      </c>
      <c r="H38" s="11">
        <v>19.481171256266801</v>
      </c>
      <c r="I38" s="11">
        <v>19.441113674043105</v>
      </c>
      <c r="J38" s="11">
        <v>19.42150438029585</v>
      </c>
      <c r="K38" s="11">
        <v>20.135813887104835</v>
      </c>
      <c r="L38" s="11">
        <v>20.395531445645986</v>
      </c>
      <c r="M38" s="11">
        <v>20.384316012725346</v>
      </c>
      <c r="N38" s="11">
        <v>20.511818948552154</v>
      </c>
      <c r="O38" s="11">
        <v>21.13580800670719</v>
      </c>
      <c r="P38" s="11">
        <v>21.113072648979028</v>
      </c>
      <c r="Q38" s="11">
        <v>21.253817805383022</v>
      </c>
      <c r="R38" s="11">
        <v>21.703970598337573</v>
      </c>
      <c r="S38" s="11">
        <v>22.610302180898341</v>
      </c>
      <c r="T38" s="11">
        <v>22.798133460959935</v>
      </c>
      <c r="U38" s="11">
        <v>23.089798803697661</v>
      </c>
      <c r="V38" s="11">
        <v>23.042251910978827</v>
      </c>
      <c r="W38" s="11">
        <v>24.788709023318688</v>
      </c>
      <c r="X38" s="11">
        <v>24.74611771058316</v>
      </c>
      <c r="Y38" s="11">
        <v>24.736632845047705</v>
      </c>
      <c r="Z38" s="11">
        <v>24.605866604039456</v>
      </c>
      <c r="AA38" s="11">
        <v>25.414510433386837</v>
      </c>
      <c r="AB38" s="11">
        <v>25.549734962280528</v>
      </c>
      <c r="AC38" s="11">
        <v>26.224748033595521</v>
      </c>
      <c r="AD38" s="11">
        <v>26.503483280254777</v>
      </c>
      <c r="AE38" s="11">
        <v>27.578209479116257</v>
      </c>
      <c r="AF38" s="11">
        <v>26.927364133799582</v>
      </c>
      <c r="AG38" s="11">
        <v>26.753232699829542</v>
      </c>
      <c r="AH38" s="11">
        <v>26.583812977575171</v>
      </c>
      <c r="AI38" s="11">
        <v>28.587865204070592</v>
      </c>
      <c r="AJ38" s="11">
        <v>28.496913006349523</v>
      </c>
      <c r="AK38" s="11">
        <v>28.436343477757283</v>
      </c>
      <c r="AL38" s="11">
        <v>28.396230665080552</v>
      </c>
      <c r="AM38" s="11">
        <v>29.322504860992009</v>
      </c>
      <c r="AN38" s="11">
        <v>29.584893460865992</v>
      </c>
      <c r="AO38" s="11">
        <v>29.54065848084921</v>
      </c>
      <c r="AP38" s="11">
        <v>29.512029171219318</v>
      </c>
      <c r="AQ38" s="11">
        <v>30.815033024248461</v>
      </c>
      <c r="AR38" s="11">
        <v>30.778135367801582</v>
      </c>
      <c r="AS38" s="11">
        <v>30.737403911129459</v>
      </c>
      <c r="AT38" s="11">
        <v>30.640960685510731</v>
      </c>
      <c r="AU38" s="11">
        <v>30.754557343880872</v>
      </c>
      <c r="AV38" s="11">
        <v>30.820456016918708</v>
      </c>
      <c r="AW38" s="11">
        <v>30.836746157218759</v>
      </c>
      <c r="AX38" s="11">
        <v>30.801254981157594</v>
      </c>
      <c r="AY38" s="11">
        <v>31.125771007841642</v>
      </c>
      <c r="AZ38" s="11">
        <v>31.862678916548809</v>
      </c>
      <c r="BA38" s="11">
        <v>31.869730924367989</v>
      </c>
      <c r="BB38" s="11">
        <v>32.049238816244227</v>
      </c>
      <c r="BC38" s="11">
        <v>32.03610040217238</v>
      </c>
      <c r="BD38" s="11">
        <v>32.108961567868384</v>
      </c>
      <c r="BE38" s="11">
        <v>32.191316722617124</v>
      </c>
      <c r="BF38" s="11">
        <v>32.150826558642351</v>
      </c>
      <c r="BG38" s="11">
        <v>32.183692959164482</v>
      </c>
      <c r="BH38" s="11">
        <v>32.193214283930914</v>
      </c>
      <c r="BI38" s="11">
        <v>32.184538092499935</v>
      </c>
      <c r="BJ38" s="11">
        <v>32.400861539461054</v>
      </c>
      <c r="BK38" s="11">
        <v>32.392538306516798</v>
      </c>
      <c r="BL38" s="11">
        <v>32.480164838467772</v>
      </c>
      <c r="BM38" s="11">
        <v>32.967688828438853</v>
      </c>
      <c r="BN38" s="11">
        <v>33.18241031349212</v>
      </c>
      <c r="BO38" s="11">
        <v>32.688084351187264</v>
      </c>
      <c r="BP38" s="11">
        <v>32.66857321600115</v>
      </c>
      <c r="BQ38" s="11">
        <v>32.649339765163738</v>
      </c>
      <c r="BR38" s="11">
        <v>32.796214296841342</v>
      </c>
      <c r="BS38" s="11">
        <v>32.951651404189668</v>
      </c>
      <c r="BT38" s="11">
        <v>33.188722172446099</v>
      </c>
      <c r="BU38" s="11">
        <v>33.083309259917051</v>
      </c>
      <c r="BV38" s="11">
        <v>34.00031750359193</v>
      </c>
      <c r="BW38" s="11">
        <v>34.336702029874324</v>
      </c>
      <c r="BX38" s="11">
        <v>34.448367812455082</v>
      </c>
      <c r="BY38" s="11">
        <v>34.215318917082826</v>
      </c>
      <c r="BZ38" s="11">
        <v>34.325957382543848</v>
      </c>
      <c r="CA38" s="11">
        <v>34.281617129226099</v>
      </c>
      <c r="CB38" s="11">
        <v>35.390230287820401</v>
      </c>
      <c r="CC38" s="11">
        <v>35.362307280746101</v>
      </c>
      <c r="CD38" s="11">
        <v>35.741170214476597</v>
      </c>
      <c r="CE38" s="11">
        <v>36.530801656249999</v>
      </c>
      <c r="CF38" s="11">
        <v>35.945525645066503</v>
      </c>
      <c r="CG38" s="11">
        <v>36.524294493597203</v>
      </c>
      <c r="CH38" s="11">
        <v>36.784550820274802</v>
      </c>
      <c r="CI38" s="11">
        <v>39.9788481410625</v>
      </c>
      <c r="CJ38" s="11">
        <v>40.362269257834797</v>
      </c>
      <c r="CK38" s="11">
        <v>40.417065787146001</v>
      </c>
      <c r="CL38" s="11">
        <v>41.410899015579403</v>
      </c>
      <c r="CM38" s="11">
        <v>42.738435185141398</v>
      </c>
      <c r="CN38" s="11">
        <v>42.160794215679097</v>
      </c>
    </row>
    <row r="39" spans="1:92" x14ac:dyDescent="0.35">
      <c r="A39" t="s">
        <v>72</v>
      </c>
      <c r="B39" s="11">
        <v>16.970707942642338</v>
      </c>
      <c r="C39" s="11">
        <v>17.047924137352201</v>
      </c>
      <c r="D39" s="11">
        <v>17.002778050307903</v>
      </c>
      <c r="E39" s="11">
        <v>17.272243694641418</v>
      </c>
      <c r="F39" s="11">
        <v>18.045151661124404</v>
      </c>
      <c r="G39" s="11">
        <v>18.331365415031943</v>
      </c>
      <c r="H39" s="11">
        <v>18.352909223067396</v>
      </c>
      <c r="I39" s="11">
        <v>18.347621989480722</v>
      </c>
      <c r="J39" s="11">
        <v>19.036380255198008</v>
      </c>
      <c r="K39" s="11">
        <v>19.495504508198799</v>
      </c>
      <c r="L39" s="11">
        <v>19.537162257637998</v>
      </c>
      <c r="M39" s="11">
        <v>19.817867233416766</v>
      </c>
      <c r="N39" s="11">
        <v>20.438210311824019</v>
      </c>
      <c r="O39" s="11">
        <v>20.972423040566561</v>
      </c>
      <c r="P39" s="11">
        <v>20.970574607961701</v>
      </c>
      <c r="Q39" s="11">
        <v>21.406784042094625</v>
      </c>
      <c r="R39" s="11">
        <v>22.121766335479794</v>
      </c>
      <c r="S39" s="11">
        <v>22.595545063533802</v>
      </c>
      <c r="T39" s="11">
        <v>22.597280412371131</v>
      </c>
      <c r="U39" s="11">
        <v>22.977261719247696</v>
      </c>
      <c r="V39" s="11">
        <v>23.71774877044772</v>
      </c>
      <c r="W39" s="11">
        <v>24.109039481265199</v>
      </c>
      <c r="X39" s="11">
        <v>24.116384102995774</v>
      </c>
      <c r="Y39" s="11">
        <v>24.125886089463012</v>
      </c>
      <c r="Z39" s="11">
        <v>24.127930261386641</v>
      </c>
      <c r="AA39" s="11">
        <v>24.956852319900253</v>
      </c>
      <c r="AB39" s="11">
        <v>25.425470534974664</v>
      </c>
      <c r="AC39" s="11">
        <v>26.000517344943077</v>
      </c>
      <c r="AD39" s="11">
        <v>26.008491493637614</v>
      </c>
      <c r="AE39" s="11">
        <v>27.126629213849668</v>
      </c>
      <c r="AF39" s="11">
        <v>26.189864978825938</v>
      </c>
      <c r="AG39" s="11">
        <v>26.163858556679006</v>
      </c>
      <c r="AH39" s="11">
        <v>26.154922642741244</v>
      </c>
      <c r="AI39" s="11">
        <v>27.746020246128897</v>
      </c>
      <c r="AJ39" s="11">
        <v>27.764350869918037</v>
      </c>
      <c r="AK39" s="11">
        <v>27.833460966985335</v>
      </c>
      <c r="AL39" s="11">
        <v>27.828817802055131</v>
      </c>
      <c r="AM39" s="11">
        <v>27.711015018425357</v>
      </c>
      <c r="AN39" s="11">
        <v>27.692180054866931</v>
      </c>
      <c r="AO39" s="11">
        <v>27.693296284313433</v>
      </c>
      <c r="AP39" s="11">
        <v>27.69187690632765</v>
      </c>
      <c r="AQ39" s="11">
        <v>27.685786128986503</v>
      </c>
      <c r="AR39" s="11">
        <v>27.638782676244844</v>
      </c>
      <c r="AS39" s="11">
        <v>27.625758929854413</v>
      </c>
      <c r="AT39" s="11">
        <v>27.613471200000248</v>
      </c>
      <c r="AU39" s="11">
        <v>27.60614017246585</v>
      </c>
      <c r="AV39" s="11">
        <v>27.669961523980895</v>
      </c>
      <c r="AW39" s="11">
        <v>27.604136142787187</v>
      </c>
      <c r="AX39" s="11">
        <v>27.589165736968074</v>
      </c>
      <c r="AY39" s="11">
        <v>27.893646039964697</v>
      </c>
      <c r="AZ39" s="11">
        <v>27.739794317592924</v>
      </c>
      <c r="BA39" s="11">
        <v>27.798035085960006</v>
      </c>
      <c r="BB39" s="11">
        <v>27.505104117266676</v>
      </c>
      <c r="BC39" s="11">
        <v>27.84596505103498</v>
      </c>
      <c r="BD39" s="11">
        <v>27.901878423692992</v>
      </c>
      <c r="BE39" s="11">
        <v>28.184157971177029</v>
      </c>
      <c r="BF39" s="11">
        <v>28.455691084089995</v>
      </c>
      <c r="BG39" s="11">
        <v>28.433299127297424</v>
      </c>
      <c r="BH39" s="11">
        <v>28.448406645353863</v>
      </c>
      <c r="BI39" s="11">
        <v>28.536319387909458</v>
      </c>
      <c r="BJ39" s="11">
        <v>28.82011680252155</v>
      </c>
      <c r="BK39" s="11">
        <v>28.896135915752005</v>
      </c>
      <c r="BL39" s="11">
        <v>28.964840170362542</v>
      </c>
      <c r="BM39" s="11">
        <v>29.562990179162334</v>
      </c>
      <c r="BN39" s="11">
        <v>29.656955808838426</v>
      </c>
      <c r="BO39" s="11">
        <v>29.688009270983226</v>
      </c>
      <c r="BP39" s="11">
        <v>29.661464934633766</v>
      </c>
      <c r="BQ39" s="11">
        <v>29.659992827470873</v>
      </c>
      <c r="BR39" s="11">
        <v>29.546474818369198</v>
      </c>
      <c r="BS39" s="11">
        <v>29.992808516885159</v>
      </c>
      <c r="BT39" s="11">
        <v>30.356102666538895</v>
      </c>
      <c r="BU39" s="11">
        <v>30.612405614199403</v>
      </c>
      <c r="BV39" s="11">
        <v>31.152726487485261</v>
      </c>
      <c r="BW39" s="11">
        <v>31.500568017716571</v>
      </c>
      <c r="BX39" s="11">
        <v>31.63222104690923</v>
      </c>
      <c r="BY39" s="11">
        <v>31.640072333992986</v>
      </c>
      <c r="BZ39" s="11">
        <v>32.083444394676185</v>
      </c>
      <c r="CA39" s="11">
        <v>32.052898882663897</v>
      </c>
      <c r="CB39" s="11">
        <v>32.441711178392801</v>
      </c>
      <c r="CC39" s="11">
        <v>32.806520862363101</v>
      </c>
      <c r="CD39" s="11">
        <v>32.345719879969202</v>
      </c>
      <c r="CE39" s="11">
        <v>33.306926090147797</v>
      </c>
      <c r="CF39" s="11">
        <v>33.459665832215499</v>
      </c>
      <c r="CG39" s="11">
        <v>33.977256869771402</v>
      </c>
      <c r="CH39" s="11">
        <v>34.234628805696502</v>
      </c>
      <c r="CI39" s="11">
        <v>38.395883459397098</v>
      </c>
      <c r="CJ39" s="11">
        <v>38.5133872338792</v>
      </c>
      <c r="CK39" s="11">
        <v>38.371723776192901</v>
      </c>
      <c r="CL39" s="11">
        <v>39.6754705533044</v>
      </c>
      <c r="CM39" s="11">
        <v>41.201072655986103</v>
      </c>
      <c r="CN39" s="11">
        <v>41.330031533162803</v>
      </c>
    </row>
    <row r="40" spans="1:92" x14ac:dyDescent="0.35">
      <c r="A40" t="s">
        <v>73</v>
      </c>
      <c r="B40" s="11">
        <v>15.239114965692625</v>
      </c>
      <c r="C40" s="11">
        <v>15.474174475972603</v>
      </c>
      <c r="D40" s="11">
        <v>15.470133510158901</v>
      </c>
      <c r="E40" s="11">
        <v>16.643922411297766</v>
      </c>
      <c r="F40" s="11">
        <v>16.638529738696505</v>
      </c>
      <c r="G40" s="11">
        <v>17.281188296318675</v>
      </c>
      <c r="H40" s="11">
        <v>17.375205947250532</v>
      </c>
      <c r="I40" s="11">
        <v>17.38682616837324</v>
      </c>
      <c r="J40" s="11">
        <v>17.385273337717397</v>
      </c>
      <c r="K40" s="11">
        <v>18.748219262705824</v>
      </c>
      <c r="L40" s="11">
        <v>18.759275530041997</v>
      </c>
      <c r="M40" s="11">
        <v>18.770751967090014</v>
      </c>
      <c r="N40" s="11">
        <v>18.765831615623831</v>
      </c>
      <c r="O40" s="11">
        <v>19.639805539988533</v>
      </c>
      <c r="P40" s="11">
        <v>19.84165940126999</v>
      </c>
      <c r="Q40" s="11">
        <v>19.857854578392622</v>
      </c>
      <c r="R40" s="11">
        <v>19.887993480075451</v>
      </c>
      <c r="S40" s="11">
        <v>21.722773441977598</v>
      </c>
      <c r="T40" s="11">
        <v>21.877430981620186</v>
      </c>
      <c r="U40" s="11">
        <v>22.586612186877691</v>
      </c>
      <c r="V40" s="11">
        <v>22.473806754282723</v>
      </c>
      <c r="W40" s="11">
        <v>22.841564756420798</v>
      </c>
      <c r="X40" s="11">
        <v>22.881624755827584</v>
      </c>
      <c r="Y40" s="11">
        <v>22.921000875695356</v>
      </c>
      <c r="Z40" s="11">
        <v>22.920635063962603</v>
      </c>
      <c r="AA40" s="11">
        <v>23.745963807827845</v>
      </c>
      <c r="AB40" s="11">
        <v>24.448905253667984</v>
      </c>
      <c r="AC40" s="11">
        <v>24.992717775805602</v>
      </c>
      <c r="AD40" s="11">
        <v>24.991422048678256</v>
      </c>
      <c r="AE40" s="11">
        <v>26.066909521024836</v>
      </c>
      <c r="AF40" s="11">
        <v>25.380925675996149</v>
      </c>
      <c r="AG40" s="11">
        <v>25.348232085913942</v>
      </c>
      <c r="AH40" s="11">
        <v>25.337085639127523</v>
      </c>
      <c r="AI40" s="11">
        <v>26.612880010646588</v>
      </c>
      <c r="AJ40" s="11">
        <v>26.648495675983533</v>
      </c>
      <c r="AK40" s="11">
        <v>26.763693735229428</v>
      </c>
      <c r="AL40" s="11">
        <v>26.762395728997891</v>
      </c>
      <c r="AM40" s="11">
        <v>27.152988247212026</v>
      </c>
      <c r="AN40" s="11">
        <v>27.161887890172878</v>
      </c>
      <c r="AO40" s="11">
        <v>27.142841846425767</v>
      </c>
      <c r="AP40" s="11">
        <v>27.125919780639876</v>
      </c>
      <c r="AQ40" s="11">
        <v>27.168897634750813</v>
      </c>
      <c r="AR40" s="11">
        <v>27.154038234613665</v>
      </c>
      <c r="AS40" s="11">
        <v>27.15805460242342</v>
      </c>
      <c r="AT40" s="11">
        <v>27.15533833385927</v>
      </c>
      <c r="AU40" s="11">
        <v>27.340462520263479</v>
      </c>
      <c r="AV40" s="11">
        <v>27.402808916556623</v>
      </c>
      <c r="AW40" s="11">
        <v>27.366667157977705</v>
      </c>
      <c r="AX40" s="11">
        <v>27.364635944630184</v>
      </c>
      <c r="AY40" s="11">
        <v>27.586469037035016</v>
      </c>
      <c r="AZ40" s="11">
        <v>27.838798388159542</v>
      </c>
      <c r="BA40" s="11">
        <v>27.866406664822577</v>
      </c>
      <c r="BB40" s="11">
        <v>27.550244896012615</v>
      </c>
      <c r="BC40" s="11">
        <v>27.735690283220961</v>
      </c>
      <c r="BD40" s="11">
        <v>27.76301432182796</v>
      </c>
      <c r="BE40" s="11">
        <v>28.052606834538881</v>
      </c>
      <c r="BF40" s="11">
        <v>28.141751872373117</v>
      </c>
      <c r="BG40" s="11">
        <v>28.13536258356644</v>
      </c>
      <c r="BH40" s="11">
        <v>28.158466543064332</v>
      </c>
      <c r="BI40" s="11">
        <v>28.193748332582377</v>
      </c>
      <c r="BJ40" s="11">
        <v>28.336674061972023</v>
      </c>
      <c r="BK40" s="11">
        <v>28.389924298702464</v>
      </c>
      <c r="BL40" s="11">
        <v>28.470970124172077</v>
      </c>
      <c r="BM40" s="11">
        <v>28.834362230018947</v>
      </c>
      <c r="BN40" s="11">
        <v>28.927238428032709</v>
      </c>
      <c r="BO40" s="11">
        <v>28.951735597630631</v>
      </c>
      <c r="BP40" s="11">
        <v>28.922859433626087</v>
      </c>
      <c r="BQ40" s="11">
        <v>28.901833856843048</v>
      </c>
      <c r="BR40" s="11">
        <v>28.765270383866323</v>
      </c>
      <c r="BS40" s="11">
        <v>29.341900100933955</v>
      </c>
      <c r="BT40" s="11">
        <v>29.716664910318784</v>
      </c>
      <c r="BU40" s="11">
        <v>30.032310941910602</v>
      </c>
      <c r="BV40" s="11">
        <v>30.641697898571508</v>
      </c>
      <c r="BW40" s="11">
        <v>31.094367544303317</v>
      </c>
      <c r="BX40" s="11">
        <v>31.383203430214326</v>
      </c>
      <c r="BY40" s="11">
        <v>31.366668962103191</v>
      </c>
      <c r="BZ40" s="11">
        <v>31.681931017500279</v>
      </c>
      <c r="CA40" s="11">
        <v>31.6149987580302</v>
      </c>
      <c r="CB40" s="11">
        <v>32.135175624503503</v>
      </c>
      <c r="CC40" s="11">
        <v>32.518832342337902</v>
      </c>
      <c r="CD40" s="11">
        <v>32.104212526843597</v>
      </c>
      <c r="CE40" s="11">
        <v>33.309349014145297</v>
      </c>
      <c r="CF40" s="11">
        <v>33.399144486534396</v>
      </c>
      <c r="CG40" s="11">
        <v>33.908732108519096</v>
      </c>
      <c r="CH40" s="11">
        <v>34.12914480181</v>
      </c>
      <c r="CI40" s="11">
        <v>38.167811435825101</v>
      </c>
      <c r="CJ40" s="11">
        <v>38.2518445807723</v>
      </c>
      <c r="CK40" s="11">
        <v>38.090335463086497</v>
      </c>
      <c r="CL40" s="11">
        <v>39.665823399421498</v>
      </c>
      <c r="CM40" s="11">
        <v>41.176422277139601</v>
      </c>
      <c r="CN40" s="11">
        <v>41.3044575388382</v>
      </c>
    </row>
    <row r="41" spans="1:92" x14ac:dyDescent="0.35">
      <c r="A41" t="s">
        <v>82</v>
      </c>
      <c r="B41" s="11">
        <v>14.237153908600355</v>
      </c>
      <c r="C41" s="11">
        <v>15.581071564341377</v>
      </c>
      <c r="D41" s="11">
        <v>15.680328436018957</v>
      </c>
      <c r="E41" s="11">
        <v>15.772950087030154</v>
      </c>
      <c r="F41" s="11">
        <v>15.768319902548724</v>
      </c>
      <c r="G41" s="11">
        <v>16.90121846783952</v>
      </c>
      <c r="H41" s="11">
        <v>16.993337809056392</v>
      </c>
      <c r="I41" s="11">
        <v>16.955025792188653</v>
      </c>
      <c r="J41" s="11">
        <v>16.942619080364917</v>
      </c>
      <c r="K41" s="11">
        <v>18.314690794578063</v>
      </c>
      <c r="L41" s="11">
        <v>18.520332682793992</v>
      </c>
      <c r="M41" s="11">
        <v>18.513379989163809</v>
      </c>
      <c r="N41" s="11">
        <v>18.511954555680543</v>
      </c>
      <c r="O41" s="11">
        <v>19.537805531971937</v>
      </c>
      <c r="P41" s="11">
        <v>19.511700426439234</v>
      </c>
      <c r="Q41" s="11">
        <v>20.20756718528996</v>
      </c>
      <c r="R41" s="11">
        <v>20.206643763213531</v>
      </c>
      <c r="S41" s="11">
        <v>21.271737395879001</v>
      </c>
      <c r="T41" s="11">
        <v>21.168451666593665</v>
      </c>
      <c r="U41" s="11">
        <v>21.272083042263358</v>
      </c>
      <c r="V41" s="11">
        <v>21.264884115319386</v>
      </c>
      <c r="W41" s="11">
        <v>22.59805356600252</v>
      </c>
      <c r="X41" s="11">
        <v>22.567708432586947</v>
      </c>
      <c r="Y41" s="11">
        <v>22.551883276538845</v>
      </c>
      <c r="Z41" s="11">
        <v>22.389164551516455</v>
      </c>
      <c r="AA41" s="11">
        <v>22.370362179075048</v>
      </c>
      <c r="AB41" s="11">
        <v>22.460255160918067</v>
      </c>
      <c r="AC41" s="11">
        <v>22.999468996377587</v>
      </c>
      <c r="AD41" s="11">
        <v>23.498498363164835</v>
      </c>
      <c r="AE41" s="11">
        <v>23.672740928273356</v>
      </c>
      <c r="AF41" s="11">
        <v>23.560111464274179</v>
      </c>
      <c r="AG41" s="11">
        <v>23.531387009272127</v>
      </c>
      <c r="AH41" s="11">
        <v>23.946793765035082</v>
      </c>
      <c r="AI41" s="11">
        <v>24.207811333356819</v>
      </c>
      <c r="AJ41" s="11">
        <v>24.512252276266054</v>
      </c>
      <c r="AK41" s="11">
        <v>24.570366949063747</v>
      </c>
      <c r="AL41" s="11">
        <v>24.548397604581396</v>
      </c>
      <c r="AM41" s="11">
        <v>24.714147156023277</v>
      </c>
      <c r="AN41" s="11">
        <v>24.760004861022011</v>
      </c>
      <c r="AO41" s="11">
        <v>25.042330386864368</v>
      </c>
      <c r="AP41" s="11">
        <v>25.030286441381346</v>
      </c>
      <c r="AQ41" s="11">
        <v>25.426117771079593</v>
      </c>
      <c r="AR41" s="11">
        <v>25.434442515958334</v>
      </c>
      <c r="AS41" s="11">
        <v>25.419510649302289</v>
      </c>
      <c r="AT41" s="11">
        <v>25.387042218265798</v>
      </c>
      <c r="AU41" s="11">
        <v>25.357661194639242</v>
      </c>
      <c r="AV41" s="11">
        <v>25.368355569044695</v>
      </c>
      <c r="AW41" s="11">
        <v>25.367963807242287</v>
      </c>
      <c r="AX41" s="11">
        <v>25.336779211317602</v>
      </c>
      <c r="AY41" s="11">
        <v>26.042951262656885</v>
      </c>
      <c r="AZ41" s="11">
        <v>26.167066974198349</v>
      </c>
      <c r="BA41" s="11">
        <v>26.214591504619907</v>
      </c>
      <c r="BB41" s="11">
        <v>26.538004768300578</v>
      </c>
      <c r="BC41" s="11">
        <v>26.671753103583807</v>
      </c>
      <c r="BD41" s="11">
        <v>26.824871383088059</v>
      </c>
      <c r="BE41" s="11">
        <v>26.934247587452358</v>
      </c>
      <c r="BF41" s="11">
        <v>27.183638792120597</v>
      </c>
      <c r="BG41" s="11">
        <v>27.652112829767429</v>
      </c>
      <c r="BH41" s="11">
        <v>27.696346053529876</v>
      </c>
      <c r="BI41" s="11">
        <v>27.562184087676986</v>
      </c>
      <c r="BJ41" s="11">
        <v>27.763580478614482</v>
      </c>
      <c r="BK41" s="11">
        <v>28.150039986832393</v>
      </c>
      <c r="BL41" s="11">
        <v>28.1325178057056</v>
      </c>
      <c r="BM41" s="11">
        <v>28.526276972872271</v>
      </c>
      <c r="BN41" s="11">
        <v>28.633557784207692</v>
      </c>
      <c r="BO41" s="11">
        <v>29.311387786460294</v>
      </c>
      <c r="BP41" s="11">
        <v>29.295428233409869</v>
      </c>
      <c r="BQ41" s="11">
        <v>29.253646584554435</v>
      </c>
      <c r="BR41" s="11">
        <v>29.307713808790233</v>
      </c>
      <c r="BS41" s="11">
        <v>29.810308053098893</v>
      </c>
      <c r="BT41" s="11">
        <v>29.979604756580756</v>
      </c>
      <c r="BU41" s="11">
        <v>30.135916749199321</v>
      </c>
      <c r="BV41" s="11">
        <v>30.577072723478071</v>
      </c>
      <c r="BW41" s="11">
        <v>31.038009341725289</v>
      </c>
      <c r="BX41" s="11">
        <v>30.931294000988402</v>
      </c>
      <c r="BY41" s="11">
        <v>31.124541432218024</v>
      </c>
      <c r="BZ41" s="11">
        <v>31.451321570334859</v>
      </c>
      <c r="CA41" s="11">
        <v>32.147281606876597</v>
      </c>
      <c r="CB41" s="11">
        <v>32.555564839195597</v>
      </c>
      <c r="CC41" s="11">
        <v>32.510594066479399</v>
      </c>
      <c r="CD41" s="11">
        <v>32.929601042208802</v>
      </c>
      <c r="CE41" s="11">
        <v>34.576175233668899</v>
      </c>
      <c r="CF41" s="11">
        <v>35.366611785077602</v>
      </c>
      <c r="CG41" s="11">
        <v>35.642233051415097</v>
      </c>
      <c r="CH41" s="11">
        <v>36.106492074736003</v>
      </c>
      <c r="CI41" s="11">
        <v>40.966772084462598</v>
      </c>
      <c r="CJ41" s="11">
        <v>41.396738302056598</v>
      </c>
      <c r="CK41" s="11">
        <v>41.240121479060598</v>
      </c>
      <c r="CL41" s="11">
        <v>42.888773065374103</v>
      </c>
      <c r="CM41" s="11">
        <v>43.608786181256299</v>
      </c>
      <c r="CN41" s="11">
        <v>43.741930740074999</v>
      </c>
    </row>
    <row r="42" spans="1:92" x14ac:dyDescent="0.35">
      <c r="A42" t="s">
        <v>76</v>
      </c>
      <c r="B42" s="11">
        <v>15.817089833096976</v>
      </c>
      <c r="C42" s="11">
        <v>15.858092355304592</v>
      </c>
      <c r="D42" s="11">
        <v>15.911151403788471</v>
      </c>
      <c r="E42" s="11">
        <v>15.966822118946586</v>
      </c>
      <c r="F42" s="11">
        <v>16.999413197341156</v>
      </c>
      <c r="G42" s="11">
        <v>17.053257000837309</v>
      </c>
      <c r="H42" s="11">
        <v>17.093129248996142</v>
      </c>
      <c r="I42" s="11">
        <v>17.104059718443782</v>
      </c>
      <c r="J42" s="11">
        <v>18.602168801313635</v>
      </c>
      <c r="K42" s="11">
        <v>18.686739618406289</v>
      </c>
      <c r="L42" s="11">
        <v>18.727115895246524</v>
      </c>
      <c r="M42" s="11">
        <v>18.747584358614962</v>
      </c>
      <c r="N42" s="11">
        <v>18.746681311297472</v>
      </c>
      <c r="O42" s="11">
        <v>20.173901098901098</v>
      </c>
      <c r="P42" s="11">
        <v>20.204732163384168</v>
      </c>
      <c r="Q42" s="11">
        <v>20.307336291038155</v>
      </c>
      <c r="R42" s="11">
        <v>21.344704342024098</v>
      </c>
      <c r="S42" s="11">
        <v>21.370358706256102</v>
      </c>
      <c r="T42" s="11">
        <v>21.458662253810157</v>
      </c>
      <c r="U42" s="11">
        <v>21.523038509998631</v>
      </c>
      <c r="V42" s="11">
        <v>21.50994267627047</v>
      </c>
      <c r="W42" s="11">
        <v>21.550539679775074</v>
      </c>
      <c r="X42" s="11">
        <v>22.252182956055279</v>
      </c>
      <c r="Y42" s="11">
        <v>22.275399729753182</v>
      </c>
      <c r="Z42" s="11">
        <v>22.281526693030159</v>
      </c>
      <c r="AA42" s="11">
        <v>22.501064594331844</v>
      </c>
      <c r="AB42" s="11">
        <v>23.189330503900692</v>
      </c>
      <c r="AC42" s="11">
        <v>23.751371802716925</v>
      </c>
      <c r="AD42" s="11">
        <v>23.743058098742193</v>
      </c>
      <c r="AE42" s="11">
        <v>24.439574477334443</v>
      </c>
      <c r="AF42" s="11">
        <v>24.016304156821587</v>
      </c>
      <c r="AG42" s="11">
        <v>24.125422872846709</v>
      </c>
      <c r="AH42" s="11">
        <v>24.123540326349307</v>
      </c>
      <c r="AI42" s="11">
        <v>25.245963700526296</v>
      </c>
      <c r="AJ42" s="11">
        <v>25.246694606395504</v>
      </c>
      <c r="AK42" s="11">
        <v>25.239222200945729</v>
      </c>
      <c r="AL42" s="11">
        <v>25.230588951724119</v>
      </c>
      <c r="AM42" s="11">
        <v>26.415260932037686</v>
      </c>
      <c r="AN42" s="11">
        <v>26.367724242152594</v>
      </c>
      <c r="AO42" s="11">
        <v>26.35762874488228</v>
      </c>
      <c r="AP42" s="11">
        <v>26.441271355037497</v>
      </c>
      <c r="AQ42" s="11">
        <v>27.828550849124262</v>
      </c>
      <c r="AR42" s="11">
        <v>27.884662396554209</v>
      </c>
      <c r="AS42" s="11">
        <v>27.874638225976799</v>
      </c>
      <c r="AT42" s="11">
        <v>27.874117947890703</v>
      </c>
      <c r="AU42" s="11">
        <v>28.398257366632638</v>
      </c>
      <c r="AV42" s="11">
        <v>28.539178152204048</v>
      </c>
      <c r="AW42" s="11">
        <v>28.514629760353404</v>
      </c>
      <c r="AX42" s="11">
        <v>28.568867699251168</v>
      </c>
      <c r="AY42" s="11">
        <v>29.06543276460993</v>
      </c>
      <c r="AZ42" s="11">
        <v>29.330194305808508</v>
      </c>
      <c r="BA42" s="11">
        <v>29.324555496585035</v>
      </c>
      <c r="BB42" s="11">
        <v>29.358337658154639</v>
      </c>
      <c r="BC42" s="11">
        <v>29.913530992099702</v>
      </c>
      <c r="BD42" s="11">
        <v>29.907529324317878</v>
      </c>
      <c r="BE42" s="11">
        <v>29.947258348104668</v>
      </c>
      <c r="BF42" s="11">
        <v>30.407299699760351</v>
      </c>
      <c r="BG42" s="11">
        <v>30.205117836347416</v>
      </c>
      <c r="BH42" s="11">
        <v>29.749803057671727</v>
      </c>
      <c r="BI42" s="11">
        <v>29.755019789922333</v>
      </c>
      <c r="BJ42" s="11">
        <v>30.257007116934673</v>
      </c>
      <c r="BK42" s="11">
        <v>30.106314754808473</v>
      </c>
      <c r="BL42" s="11">
        <v>29.979367608278029</v>
      </c>
      <c r="BM42" s="11">
        <v>30.634450982968776</v>
      </c>
      <c r="BN42" s="11">
        <v>30.747441866949845</v>
      </c>
      <c r="BO42" s="11">
        <v>30.783747742626517</v>
      </c>
      <c r="BP42" s="11">
        <v>30.658059534421444</v>
      </c>
      <c r="BQ42" s="11">
        <v>30.473405440202544</v>
      </c>
      <c r="BR42" s="11">
        <v>30.616768622224537</v>
      </c>
      <c r="BS42" s="11">
        <v>30.619599295471062</v>
      </c>
      <c r="BT42" s="11">
        <v>30.818244035020044</v>
      </c>
      <c r="BU42" s="11">
        <v>31.068948663098862</v>
      </c>
      <c r="BV42" s="11">
        <v>31.527152560858571</v>
      </c>
      <c r="BW42" s="11">
        <v>31.661443025171877</v>
      </c>
      <c r="BX42" s="11">
        <v>31.765583512370995</v>
      </c>
      <c r="BY42" s="11">
        <v>31.580574124847001</v>
      </c>
      <c r="BZ42" s="11">
        <v>32.143711610079336</v>
      </c>
      <c r="CA42" s="11">
        <v>32.290213511725703</v>
      </c>
      <c r="CB42" s="11">
        <v>32.432843477794897</v>
      </c>
      <c r="CC42" s="11">
        <v>32.592780555286403</v>
      </c>
      <c r="CD42" s="11">
        <v>32.615505519409403</v>
      </c>
      <c r="CE42" s="11">
        <v>33.414206062342501</v>
      </c>
      <c r="CF42" s="11">
        <v>33.418993275595298</v>
      </c>
      <c r="CG42" s="11">
        <v>33.743403938766598</v>
      </c>
      <c r="CH42" s="11">
        <v>33.965907920400603</v>
      </c>
      <c r="CI42" s="11">
        <v>37.3291030635082</v>
      </c>
      <c r="CJ42" s="11">
        <v>37.422039015396997</v>
      </c>
      <c r="CK42" s="11">
        <v>37.425748819594098</v>
      </c>
      <c r="CL42" s="11">
        <v>39.119396878707597</v>
      </c>
      <c r="CM42" s="11">
        <v>39.758389893470401</v>
      </c>
      <c r="CN42" s="11">
        <v>39.783695349266601</v>
      </c>
    </row>
    <row r="43" spans="1:92" x14ac:dyDescent="0.35">
      <c r="A43" t="s">
        <v>75</v>
      </c>
      <c r="B43" s="11">
        <v>16.340809837133552</v>
      </c>
      <c r="C43" s="11">
        <v>16.332894745389467</v>
      </c>
      <c r="D43" s="11">
        <v>16.356893069294102</v>
      </c>
      <c r="E43" s="11">
        <v>17.967788540501392</v>
      </c>
      <c r="F43" s="11">
        <v>17.969985668543099</v>
      </c>
      <c r="G43" s="11">
        <v>18.094952480162558</v>
      </c>
      <c r="H43" s="11">
        <v>18.15328576923077</v>
      </c>
      <c r="I43" s="11">
        <v>18.170652494870925</v>
      </c>
      <c r="J43" s="11">
        <v>19.111562456287594</v>
      </c>
      <c r="K43" s="11">
        <v>19.271201377915428</v>
      </c>
      <c r="L43" s="11">
        <v>19.291713893247135</v>
      </c>
      <c r="M43" s="11">
        <v>20.916258386202298</v>
      </c>
      <c r="N43" s="11">
        <v>20.909425208755497</v>
      </c>
      <c r="O43" s="11">
        <v>20.906377785130569</v>
      </c>
      <c r="P43" s="11">
        <v>20.901736127975688</v>
      </c>
      <c r="Q43" s="11">
        <v>21.126313036680397</v>
      </c>
      <c r="R43" s="11">
        <v>21.764887023486736</v>
      </c>
      <c r="S43" s="11">
        <v>21.757611954119493</v>
      </c>
      <c r="T43" s="11">
        <v>21.74630473482507</v>
      </c>
      <c r="U43" s="11">
        <v>22.435381281154218</v>
      </c>
      <c r="V43" s="11">
        <v>22.81701049685973</v>
      </c>
      <c r="W43" s="11">
        <v>22.842628631008768</v>
      </c>
      <c r="X43" s="11">
        <v>22.792973964368251</v>
      </c>
      <c r="Y43" s="11">
        <v>22.784102971034983</v>
      </c>
      <c r="Z43" s="11">
        <v>22.752418309913573</v>
      </c>
      <c r="AA43" s="11">
        <v>23.316116247839471</v>
      </c>
      <c r="AB43" s="11">
        <v>23.371795139846459</v>
      </c>
      <c r="AC43" s="11">
        <v>24.115111509473969</v>
      </c>
      <c r="AD43" s="11">
        <v>24.124912396012554</v>
      </c>
      <c r="AE43" s="11">
        <v>24.850363595651331</v>
      </c>
      <c r="AF43" s="11">
        <v>24.278684877866063</v>
      </c>
      <c r="AG43" s="11">
        <v>24.264795577287572</v>
      </c>
      <c r="AH43" s="11">
        <v>24.264780553753805</v>
      </c>
      <c r="AI43" s="11">
        <v>25.571266115487415</v>
      </c>
      <c r="AJ43" s="11">
        <v>25.607539548813264</v>
      </c>
      <c r="AK43" s="11">
        <v>25.599921000036808</v>
      </c>
      <c r="AL43" s="11">
        <v>25.601650711467716</v>
      </c>
      <c r="AM43" s="11">
        <v>26.359951876344727</v>
      </c>
      <c r="AN43" s="11">
        <v>26.35754404504064</v>
      </c>
      <c r="AO43" s="11">
        <v>26.364805697019555</v>
      </c>
      <c r="AP43" s="11">
        <v>26.363871028879718</v>
      </c>
      <c r="AQ43" s="11">
        <v>28.02129534146302</v>
      </c>
      <c r="AR43" s="11">
        <v>28.030522112600867</v>
      </c>
      <c r="AS43" s="11">
        <v>28.019943602878147</v>
      </c>
      <c r="AT43" s="11">
        <v>28.016874734548523</v>
      </c>
      <c r="AU43" s="11">
        <v>26.99543741934178</v>
      </c>
      <c r="AV43" s="11">
        <v>27.064087562683017</v>
      </c>
      <c r="AW43" s="11">
        <v>26.98029576126498</v>
      </c>
      <c r="AX43" s="11">
        <v>26.949041588540034</v>
      </c>
      <c r="AY43" s="11">
        <v>27.490611748227316</v>
      </c>
      <c r="AZ43" s="11">
        <v>27.429040496272417</v>
      </c>
      <c r="BA43" s="11">
        <v>27.369620301551844</v>
      </c>
      <c r="BB43" s="11">
        <v>27.253873375634029</v>
      </c>
      <c r="BC43" s="11">
        <v>27.443761639679462</v>
      </c>
      <c r="BD43" s="11">
        <v>27.534534418027555</v>
      </c>
      <c r="BE43" s="11">
        <v>27.659581777065156</v>
      </c>
      <c r="BF43" s="11">
        <v>28.019411020946052</v>
      </c>
      <c r="BG43" s="11">
        <v>28.074545348498223</v>
      </c>
      <c r="BH43" s="11">
        <v>28.105609027444981</v>
      </c>
      <c r="BI43" s="11">
        <v>28.235403838102766</v>
      </c>
      <c r="BJ43" s="11">
        <v>28.634111040905967</v>
      </c>
      <c r="BK43" s="11">
        <v>28.597547514747273</v>
      </c>
      <c r="BL43" s="11">
        <v>28.64052190509781</v>
      </c>
      <c r="BM43" s="11">
        <v>29.390333310155807</v>
      </c>
      <c r="BN43" s="11">
        <v>29.577353246770361</v>
      </c>
      <c r="BO43" s="11">
        <v>28.947949316461376</v>
      </c>
      <c r="BP43" s="11">
        <v>28.747070072809422</v>
      </c>
      <c r="BQ43" s="11">
        <v>28.749016894334908</v>
      </c>
      <c r="BR43" s="11">
        <v>28.939755583333977</v>
      </c>
      <c r="BS43" s="11">
        <v>28.961642093188335</v>
      </c>
      <c r="BT43" s="11">
        <v>29.008400697987419</v>
      </c>
      <c r="BU43" s="11">
        <v>29.351593007512157</v>
      </c>
      <c r="BV43" s="11">
        <v>29.723379683811398</v>
      </c>
      <c r="BW43" s="11">
        <v>30.407331173268112</v>
      </c>
      <c r="BX43" s="11">
        <v>30.4604284537842</v>
      </c>
      <c r="BY43" s="11">
        <v>30.4544027149852</v>
      </c>
      <c r="BZ43" s="11">
        <v>30.923822608905017</v>
      </c>
      <c r="CA43" s="11">
        <v>30.1995577348737</v>
      </c>
      <c r="CB43" s="11">
        <v>30.570683858960098</v>
      </c>
      <c r="CC43" s="11">
        <v>30.783331365513501</v>
      </c>
      <c r="CD43" s="11">
        <v>30.460683210296501</v>
      </c>
      <c r="CE43" s="11">
        <v>31.171025151391099</v>
      </c>
      <c r="CF43" s="11">
        <v>31.5363400518691</v>
      </c>
      <c r="CG43" s="11">
        <v>31.943465719953501</v>
      </c>
      <c r="CH43" s="11">
        <v>32.051075673226897</v>
      </c>
      <c r="CI43" s="11">
        <v>34.736009998136701</v>
      </c>
      <c r="CJ43" s="11">
        <v>34.793412666255797</v>
      </c>
      <c r="CK43" s="11">
        <v>34.613628801506202</v>
      </c>
      <c r="CL43" s="11">
        <v>36.086456408466297</v>
      </c>
      <c r="CM43" s="11">
        <v>37.011530555608097</v>
      </c>
      <c r="CN43" s="11">
        <v>37.198510939705301</v>
      </c>
    </row>
    <row r="44" spans="1:92" x14ac:dyDescent="0.35">
      <c r="A44" t="s">
        <v>77</v>
      </c>
      <c r="B44" s="11">
        <v>19.520948616600791</v>
      </c>
      <c r="C44" s="11">
        <v>19.600000000000001</v>
      </c>
      <c r="D44" s="11">
        <v>21.604486685503893</v>
      </c>
      <c r="E44" s="11">
        <v>21.600716968248548</v>
      </c>
      <c r="F44" s="11">
        <v>21.594019199728148</v>
      </c>
      <c r="G44" s="11">
        <v>21.580987947716856</v>
      </c>
      <c r="H44" s="11">
        <v>22.420879790203873</v>
      </c>
      <c r="I44" s="11">
        <v>22.445612674869377</v>
      </c>
      <c r="J44" s="11">
        <v>22.438237567204304</v>
      </c>
      <c r="K44" s="11">
        <v>22.434383309641273</v>
      </c>
      <c r="L44" s="11">
        <v>24.635766216441549</v>
      </c>
      <c r="M44" s="11">
        <v>24.641693930083871</v>
      </c>
      <c r="N44" s="11">
        <v>24.691823753519955</v>
      </c>
      <c r="O44" s="11">
        <v>24.67469152095018</v>
      </c>
      <c r="P44" s="11">
        <v>25.598407596185464</v>
      </c>
      <c r="Q44" s="11">
        <v>25.69511521115211</v>
      </c>
      <c r="R44" s="11">
        <v>25.682519569471623</v>
      </c>
      <c r="S44" s="11">
        <v>25.667174866049681</v>
      </c>
      <c r="T44" s="11">
        <v>26.152043088258846</v>
      </c>
      <c r="U44" s="11">
        <v>27.996871454821441</v>
      </c>
      <c r="V44" s="11">
        <v>27.981636537389502</v>
      </c>
      <c r="W44" s="11">
        <v>28.06435299714558</v>
      </c>
      <c r="X44" s="11">
        <v>28.065017002767899</v>
      </c>
      <c r="Y44" s="11">
        <v>29.150699952599151</v>
      </c>
      <c r="Z44" s="11">
        <v>28.991649654522618</v>
      </c>
      <c r="AA44" s="11">
        <v>29.132867750508055</v>
      </c>
      <c r="AB44" s="11">
        <v>30.462979766536964</v>
      </c>
      <c r="AC44" s="11">
        <v>31.122947081712063</v>
      </c>
      <c r="AD44" s="11">
        <v>31.086785686623813</v>
      </c>
      <c r="AE44" s="11">
        <v>31.24323297673785</v>
      </c>
      <c r="AF44" s="11">
        <v>30.946647766655264</v>
      </c>
      <c r="AG44" s="11">
        <v>30.895081547613458</v>
      </c>
      <c r="AH44" s="11">
        <v>30.863174285326522</v>
      </c>
      <c r="AI44" s="11">
        <v>31.246335659185355</v>
      </c>
      <c r="AJ44" s="11">
        <v>31.227330180552315</v>
      </c>
      <c r="AK44" s="11">
        <v>31.309133128718585</v>
      </c>
      <c r="AL44" s="11">
        <v>32.14634041395135</v>
      </c>
      <c r="AM44" s="11">
        <v>32.226979320257499</v>
      </c>
      <c r="AN44" s="11">
        <v>32.282939923991293</v>
      </c>
      <c r="AO44" s="11">
        <v>32.953020715952377</v>
      </c>
      <c r="AP44" s="11">
        <v>32.94418007625567</v>
      </c>
      <c r="AQ44" s="11">
        <v>32.837592111094892</v>
      </c>
      <c r="AR44" s="11">
        <v>33.094551888209907</v>
      </c>
      <c r="AS44" s="11">
        <v>33.080754717406926</v>
      </c>
      <c r="AT44" s="11">
        <v>33.07140040990997</v>
      </c>
      <c r="AU44" s="11">
        <v>33.097245602891711</v>
      </c>
      <c r="AV44" s="11">
        <v>33.166643719739781</v>
      </c>
      <c r="AW44" s="11">
        <v>33.079153607023052</v>
      </c>
      <c r="AX44" s="11">
        <v>33.054636571223789</v>
      </c>
      <c r="AY44" s="11">
        <v>33.295665143489067</v>
      </c>
      <c r="AZ44" s="11">
        <v>33.747500602369612</v>
      </c>
      <c r="BA44" s="11">
        <v>33.798021358246537</v>
      </c>
      <c r="BB44" s="11">
        <v>33.912000579486474</v>
      </c>
      <c r="BC44" s="11">
        <v>34.052921573105337</v>
      </c>
      <c r="BD44" s="11">
        <v>34.010936309676893</v>
      </c>
      <c r="BE44" s="11">
        <v>34.59248130964383</v>
      </c>
      <c r="BF44" s="11">
        <v>34.701260710913175</v>
      </c>
      <c r="BG44" s="11">
        <v>34.657573610359783</v>
      </c>
      <c r="BH44" s="11">
        <v>34.896290849510535</v>
      </c>
      <c r="BI44" s="11">
        <v>34.871691440575972</v>
      </c>
      <c r="BJ44" s="11">
        <v>34.895592178271272</v>
      </c>
      <c r="BK44" s="11">
        <v>34.855321773915342</v>
      </c>
      <c r="BL44" s="11">
        <v>34.913173678309583</v>
      </c>
      <c r="BM44" s="11">
        <v>35.170720681148538</v>
      </c>
      <c r="BN44" s="11">
        <v>35.22755769296635</v>
      </c>
      <c r="BO44" s="11">
        <v>36.383825063588183</v>
      </c>
      <c r="BP44" s="11">
        <v>36.320236079673045</v>
      </c>
      <c r="BQ44" s="11">
        <v>36.280033837772805</v>
      </c>
      <c r="BR44" s="11">
        <v>36.257407660239842</v>
      </c>
      <c r="BS44" s="11">
        <v>36.979699019445505</v>
      </c>
      <c r="BT44" s="11">
        <v>37.046221233076814</v>
      </c>
      <c r="BU44" s="11">
        <v>37.199538250445322</v>
      </c>
      <c r="BV44" s="11">
        <v>37.346421363261584</v>
      </c>
      <c r="BW44" s="11">
        <v>37.610419560048562</v>
      </c>
      <c r="BX44" s="11">
        <v>37.888476988925099</v>
      </c>
      <c r="BY44" s="11">
        <v>37.87284951001061</v>
      </c>
      <c r="BZ44" s="11">
        <v>37.820022470118047</v>
      </c>
      <c r="CA44" s="11">
        <v>39.022269019855401</v>
      </c>
      <c r="CB44" s="11">
        <v>39.252584712368197</v>
      </c>
      <c r="CC44" s="11">
        <v>39.492455580619897</v>
      </c>
      <c r="CD44" s="11">
        <v>39.576771658403104</v>
      </c>
      <c r="CE44" s="11">
        <v>41.9670382423649</v>
      </c>
      <c r="CF44" s="11">
        <v>43.371865166207201</v>
      </c>
      <c r="CG44" s="11">
        <v>44.115697063226797</v>
      </c>
      <c r="CH44" s="11">
        <v>44.405004908614401</v>
      </c>
      <c r="CI44" s="11">
        <v>45.3898888877305</v>
      </c>
      <c r="CJ44" s="11">
        <v>45.4461622489397</v>
      </c>
      <c r="CK44" s="11">
        <v>45.451449307368499</v>
      </c>
      <c r="CL44" s="11">
        <v>46.685907259229403</v>
      </c>
      <c r="CM44" s="11">
        <v>48.292274399006999</v>
      </c>
      <c r="CN44" s="11">
        <v>48.527689100272802</v>
      </c>
    </row>
    <row r="45" spans="1:92" x14ac:dyDescent="0.35">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T45" s="14"/>
      <c r="AV45" s="14"/>
      <c r="AW45" s="14"/>
      <c r="AX45" s="14"/>
      <c r="AY45" s="14"/>
      <c r="AZ45" s="14"/>
      <c r="BA45" s="14"/>
      <c r="BC45" s="14"/>
      <c r="BF45" s="14"/>
      <c r="BG45" s="14"/>
      <c r="BH45" s="14"/>
    </row>
    <row r="46" spans="1:92" ht="18.5" x14ac:dyDescent="0.45">
      <c r="A46" s="74" t="s">
        <v>120</v>
      </c>
      <c r="B46" s="18" t="s">
        <v>144</v>
      </c>
      <c r="C46" s="18" t="s">
        <v>145</v>
      </c>
      <c r="D46" s="18" t="s">
        <v>146</v>
      </c>
      <c r="E46" s="18" t="s">
        <v>147</v>
      </c>
      <c r="F46" s="18" t="s">
        <v>148</v>
      </c>
      <c r="G46" s="18" t="s">
        <v>149</v>
      </c>
      <c r="H46" s="18" t="s">
        <v>150</v>
      </c>
      <c r="I46" s="18" t="s">
        <v>151</v>
      </c>
      <c r="J46" s="18" t="s">
        <v>152</v>
      </c>
      <c r="K46" s="18" t="s">
        <v>153</v>
      </c>
      <c r="L46" s="18" t="s">
        <v>154</v>
      </c>
      <c r="M46" s="18" t="s">
        <v>155</v>
      </c>
      <c r="N46" s="18" t="s">
        <v>156</v>
      </c>
      <c r="O46" s="18" t="s">
        <v>157</v>
      </c>
      <c r="P46" s="18" t="s">
        <v>158</v>
      </c>
      <c r="Q46" s="18" t="s">
        <v>159</v>
      </c>
      <c r="R46" s="18" t="s">
        <v>160</v>
      </c>
      <c r="S46" s="18" t="s">
        <v>161</v>
      </c>
      <c r="T46" s="18" t="s">
        <v>162</v>
      </c>
      <c r="U46" s="18" t="s">
        <v>163</v>
      </c>
      <c r="V46" s="18" t="s">
        <v>164</v>
      </c>
      <c r="W46" s="18" t="s">
        <v>165</v>
      </c>
      <c r="X46" s="18" t="s">
        <v>166</v>
      </c>
      <c r="Y46" s="18" t="s">
        <v>167</v>
      </c>
      <c r="Z46" s="18" t="s">
        <v>168</v>
      </c>
      <c r="AA46" s="18" t="s">
        <v>169</v>
      </c>
      <c r="AB46" s="18" t="s">
        <v>170</v>
      </c>
      <c r="AC46" s="18" t="s">
        <v>171</v>
      </c>
      <c r="AD46" s="18" t="s">
        <v>172</v>
      </c>
      <c r="AE46" s="18" t="s">
        <v>173</v>
      </c>
      <c r="AF46" s="18" t="s">
        <v>174</v>
      </c>
      <c r="AG46" s="18" t="s">
        <v>175</v>
      </c>
      <c r="AH46" s="18" t="s">
        <v>176</v>
      </c>
      <c r="AI46" s="18" t="s">
        <v>177</v>
      </c>
      <c r="AJ46" s="18" t="s">
        <v>178</v>
      </c>
      <c r="AK46" s="18" t="s">
        <v>179</v>
      </c>
      <c r="AL46" s="18" t="s">
        <v>180</v>
      </c>
      <c r="AM46" s="18" t="s">
        <v>181</v>
      </c>
      <c r="AN46" s="18" t="s">
        <v>182</v>
      </c>
      <c r="AO46" s="18" t="s">
        <v>183</v>
      </c>
      <c r="AP46" s="18" t="s">
        <v>184</v>
      </c>
      <c r="AQ46" s="18" t="s">
        <v>185</v>
      </c>
      <c r="AR46" s="18" t="s">
        <v>186</v>
      </c>
      <c r="AS46" s="18" t="s">
        <v>187</v>
      </c>
      <c r="AT46" s="18" t="s">
        <v>188</v>
      </c>
      <c r="AU46" s="18" t="s">
        <v>189</v>
      </c>
      <c r="AV46" s="18" t="s">
        <v>190</v>
      </c>
      <c r="AW46" s="18" t="s">
        <v>191</v>
      </c>
      <c r="AX46" s="18" t="s">
        <v>192</v>
      </c>
      <c r="AY46" s="18" t="s">
        <v>193</v>
      </c>
      <c r="AZ46" s="18" t="s">
        <v>194</v>
      </c>
      <c r="BA46" s="18" t="s">
        <v>195</v>
      </c>
      <c r="BB46" s="18" t="s">
        <v>196</v>
      </c>
      <c r="BC46" s="18" t="s">
        <v>197</v>
      </c>
      <c r="BD46" s="18" t="s">
        <v>198</v>
      </c>
      <c r="BE46" s="18" t="s">
        <v>199</v>
      </c>
      <c r="BF46" s="18" t="s">
        <v>200</v>
      </c>
      <c r="BG46" s="18" t="s">
        <v>201</v>
      </c>
      <c r="BH46" s="18" t="s">
        <v>202</v>
      </c>
      <c r="BI46" s="18" t="s">
        <v>203</v>
      </c>
      <c r="BJ46" s="18" t="s">
        <v>204</v>
      </c>
      <c r="BK46" s="18" t="s">
        <v>205</v>
      </c>
      <c r="BL46" s="18" t="s">
        <v>206</v>
      </c>
      <c r="BM46" s="18" t="s">
        <v>207</v>
      </c>
      <c r="BN46" s="18" t="s">
        <v>208</v>
      </c>
      <c r="BO46" s="18" t="s">
        <v>209</v>
      </c>
      <c r="BP46" s="18" t="s">
        <v>210</v>
      </c>
      <c r="BQ46" s="18" t="s">
        <v>211</v>
      </c>
      <c r="BR46" s="18" t="s">
        <v>212</v>
      </c>
      <c r="BS46" s="18" t="s">
        <v>213</v>
      </c>
      <c r="BT46" s="18" t="s">
        <v>214</v>
      </c>
      <c r="BU46" s="18" t="s">
        <v>215</v>
      </c>
      <c r="BV46" s="18" t="s">
        <v>216</v>
      </c>
      <c r="BW46" s="18" t="s">
        <v>217</v>
      </c>
      <c r="BX46" s="18" t="s">
        <v>218</v>
      </c>
      <c r="BY46" s="18" t="s">
        <v>219</v>
      </c>
      <c r="BZ46" s="18" t="s">
        <v>220</v>
      </c>
      <c r="CA46" s="18" t="s">
        <v>221</v>
      </c>
      <c r="CB46" s="18" t="s">
        <v>222</v>
      </c>
      <c r="CC46" s="18" t="s">
        <v>223</v>
      </c>
      <c r="CD46" s="18" t="s">
        <v>224</v>
      </c>
      <c r="CE46" s="18" t="s">
        <v>225</v>
      </c>
      <c r="CF46" s="18" t="s">
        <v>226</v>
      </c>
      <c r="CG46" s="18" t="s">
        <v>227</v>
      </c>
      <c r="CH46" s="18" t="s">
        <v>228</v>
      </c>
      <c r="CI46" s="18" t="s">
        <v>229</v>
      </c>
      <c r="CJ46" s="18" t="s">
        <v>230</v>
      </c>
      <c r="CK46" s="18" t="s">
        <v>231</v>
      </c>
      <c r="CL46" s="18" t="s">
        <v>232</v>
      </c>
      <c r="CM46" s="18" t="s">
        <v>233</v>
      </c>
      <c r="CN46" s="18" t="s">
        <v>234</v>
      </c>
    </row>
    <row r="47" spans="1:92" x14ac:dyDescent="0.35">
      <c r="A47" s="16" t="s">
        <v>85</v>
      </c>
      <c r="B47" s="15">
        <v>6.7158873069183764</v>
      </c>
      <c r="C47" s="15">
        <v>6.9190091310737314</v>
      </c>
      <c r="D47" s="15">
        <v>6.9360613000143738</v>
      </c>
      <c r="E47" s="15">
        <v>6.9334378064730169</v>
      </c>
      <c r="F47" s="15">
        <v>6.9336918051414704</v>
      </c>
      <c r="G47" s="15">
        <v>7.1272121243338828</v>
      </c>
      <c r="H47" s="15">
        <v>7.1424676512137681</v>
      </c>
      <c r="I47" s="15">
        <v>7.1323247094201223</v>
      </c>
      <c r="J47" s="15">
        <v>7.1327022519065402</v>
      </c>
      <c r="K47" s="15">
        <v>7.5704222753757575</v>
      </c>
      <c r="L47" s="15">
        <v>7.5702593416302797</v>
      </c>
      <c r="M47" s="15">
        <v>7.5698007806380954</v>
      </c>
      <c r="N47" s="15">
        <v>7.5574163989758585</v>
      </c>
      <c r="O47" s="15">
        <v>7.915563723647983</v>
      </c>
      <c r="P47" s="15">
        <v>7.9165967376486206</v>
      </c>
      <c r="Q47" s="15">
        <v>7.935506452344649</v>
      </c>
      <c r="R47" s="15">
        <v>7.9360005978356556</v>
      </c>
      <c r="S47" s="15">
        <v>8.5422184766611409</v>
      </c>
      <c r="T47" s="15">
        <v>8.5485649350987174</v>
      </c>
      <c r="U47" s="15">
        <v>8.5489592240172723</v>
      </c>
      <c r="V47" s="15">
        <v>8.5490500412813706</v>
      </c>
      <c r="W47" s="15">
        <v>8.9648241016701444</v>
      </c>
      <c r="X47" s="15">
        <v>8.9646135079304976</v>
      </c>
      <c r="Y47" s="15">
        <v>8.967056085862156</v>
      </c>
      <c r="Z47" s="15">
        <v>9.0090077889145519</v>
      </c>
      <c r="AA47" s="15">
        <v>9.2602991341373375</v>
      </c>
      <c r="AB47" s="15">
        <v>9.2628247268109654</v>
      </c>
      <c r="AC47" s="15">
        <v>9.4629790373383695</v>
      </c>
      <c r="AD47" s="15">
        <v>9.4632702530356969</v>
      </c>
      <c r="AE47" s="15">
        <v>9.7233459322891296</v>
      </c>
      <c r="AF47" s="15">
        <v>9.7269188933815407</v>
      </c>
      <c r="AG47" s="15">
        <v>9.7300350718796214</v>
      </c>
      <c r="AH47" s="15">
        <v>9.7307367141318739</v>
      </c>
      <c r="AI47" s="15">
        <v>10.661363070251731</v>
      </c>
      <c r="AJ47" s="15">
        <v>10.661314512361761</v>
      </c>
      <c r="AK47" s="15">
        <v>10.661444153665014</v>
      </c>
      <c r="AL47" s="15">
        <v>10.674826281608992</v>
      </c>
      <c r="AM47" s="15">
        <v>10.884986920566742</v>
      </c>
      <c r="AN47" s="15">
        <v>10.88445436760548</v>
      </c>
      <c r="AO47" s="15">
        <v>10.884070397775771</v>
      </c>
      <c r="AP47" s="15">
        <v>10.900947936974388</v>
      </c>
      <c r="AQ47" s="15">
        <v>11.633546992511345</v>
      </c>
      <c r="AR47" s="15">
        <v>11.648290387380985</v>
      </c>
      <c r="AS47" s="15">
        <v>11.647804632839485</v>
      </c>
      <c r="AT47" s="15">
        <v>11.647616655159228</v>
      </c>
      <c r="AU47" s="15">
        <v>11.707775404008961</v>
      </c>
      <c r="AV47" s="15">
        <v>11.707149459808965</v>
      </c>
      <c r="AW47" s="15">
        <v>11.707036038090617</v>
      </c>
      <c r="AX47" s="15">
        <v>11.707885018693213</v>
      </c>
      <c r="AY47" s="15">
        <v>12.000397176814474</v>
      </c>
      <c r="AZ47" s="15">
        <v>11.999747609496971</v>
      </c>
      <c r="BA47" s="15">
        <v>12.003613406580115</v>
      </c>
      <c r="BB47" s="15">
        <v>12.022964888601134</v>
      </c>
      <c r="BC47" s="15">
        <v>12.239807914668212</v>
      </c>
      <c r="BD47" s="15">
        <v>12.239197005865902</v>
      </c>
      <c r="BE47" s="15">
        <v>12.238789733219143</v>
      </c>
      <c r="BF47" s="15">
        <v>12.239545503103436</v>
      </c>
      <c r="BG47" s="15">
        <v>12.247018942617958</v>
      </c>
      <c r="BH47" s="15">
        <v>12.246121989867275</v>
      </c>
      <c r="BI47" s="15">
        <v>12.261597819089738</v>
      </c>
      <c r="BJ47" s="15">
        <v>12.261512557797671</v>
      </c>
      <c r="BK47" s="15">
        <v>12.088818536032194</v>
      </c>
      <c r="BL47" s="15">
        <v>12.087944775081313</v>
      </c>
      <c r="BM47" s="15">
        <v>12.087065982558634</v>
      </c>
      <c r="BN47" s="15">
        <v>12.087206511566045</v>
      </c>
      <c r="BO47" s="15">
        <v>11.086962095462596</v>
      </c>
      <c r="BP47" s="15">
        <v>11.085783511805303</v>
      </c>
      <c r="BQ47" s="15">
        <v>11.085382641600097</v>
      </c>
      <c r="BR47" s="15">
        <v>11.085680040319561</v>
      </c>
      <c r="BS47" s="15">
        <v>11.348115088993497</v>
      </c>
      <c r="BT47" s="15">
        <v>11.347427424616813</v>
      </c>
      <c r="BU47" s="15">
        <v>11.345427183262704</v>
      </c>
      <c r="BV47" s="15">
        <v>11.330969802272771</v>
      </c>
      <c r="BW47" s="15">
        <v>11.606246752307948</v>
      </c>
      <c r="BX47" s="15">
        <v>11.605845792286891</v>
      </c>
      <c r="BY47" s="15">
        <v>11.604604079246743</v>
      </c>
      <c r="BZ47" s="15">
        <v>11.604773643213935</v>
      </c>
      <c r="CA47" s="15">
        <v>11.8938186261793</v>
      </c>
      <c r="CB47" s="15">
        <v>11.8927438785856</v>
      </c>
      <c r="CC47" s="15">
        <v>11.892428474437599</v>
      </c>
      <c r="CD47" s="15">
        <v>11.8924491177962</v>
      </c>
      <c r="CE47" s="15">
        <v>12.719860802354001</v>
      </c>
      <c r="CF47" s="15">
        <v>12.7191741265903</v>
      </c>
      <c r="CG47" s="15">
        <v>12.718627262326899</v>
      </c>
      <c r="CH47" s="15">
        <v>12.7155951436983</v>
      </c>
      <c r="CI47" s="15">
        <v>15.194558354755999</v>
      </c>
      <c r="CJ47" s="15">
        <v>15.193527492755701</v>
      </c>
      <c r="CK47" s="15">
        <v>15.1913277692282</v>
      </c>
      <c r="CL47" s="15">
        <v>15.1912941141715</v>
      </c>
      <c r="CM47" s="15">
        <v>16.815234561302201</v>
      </c>
      <c r="CN47" s="15">
        <v>16.813600950586999</v>
      </c>
    </row>
    <row r="48" spans="1:92" x14ac:dyDescent="0.35">
      <c r="A48" t="s">
        <v>24</v>
      </c>
      <c r="B48" s="1">
        <v>6.22</v>
      </c>
      <c r="C48" s="1">
        <v>6.22</v>
      </c>
      <c r="D48" s="1">
        <v>6.22</v>
      </c>
      <c r="E48" s="1">
        <v>6.22</v>
      </c>
      <c r="F48" s="1">
        <v>6.22</v>
      </c>
      <c r="G48" s="1">
        <v>6.4</v>
      </c>
      <c r="H48" s="1">
        <v>6.4</v>
      </c>
      <c r="I48" s="1">
        <v>6.4</v>
      </c>
      <c r="J48" s="1">
        <v>6.4</v>
      </c>
      <c r="K48" s="1">
        <v>6.4</v>
      </c>
      <c r="L48" s="1">
        <v>6.4</v>
      </c>
      <c r="M48" s="1">
        <v>6.4</v>
      </c>
      <c r="N48" s="1">
        <v>6.4</v>
      </c>
      <c r="O48" s="1">
        <v>6.56</v>
      </c>
      <c r="P48" s="1">
        <v>6.56</v>
      </c>
      <c r="Q48" s="1">
        <v>6.56</v>
      </c>
      <c r="R48" s="1">
        <v>6.56</v>
      </c>
      <c r="S48" s="1">
        <v>6.76</v>
      </c>
      <c r="T48" s="1">
        <v>6.76</v>
      </c>
      <c r="U48" s="1">
        <v>6.76</v>
      </c>
      <c r="V48" s="1">
        <v>6.76</v>
      </c>
      <c r="W48" s="1">
        <v>6.73</v>
      </c>
      <c r="X48" s="1">
        <v>6.73</v>
      </c>
      <c r="Y48" s="1">
        <v>6.73</v>
      </c>
      <c r="Z48" s="1">
        <v>6.73</v>
      </c>
      <c r="AA48" s="1">
        <v>6.82</v>
      </c>
      <c r="AB48" s="1">
        <v>6.82</v>
      </c>
      <c r="AC48" s="1">
        <v>6.97</v>
      </c>
      <c r="AD48" s="1">
        <v>6.97</v>
      </c>
      <c r="AE48" s="1">
        <v>7.2735703124999995</v>
      </c>
      <c r="AF48" s="1">
        <v>7.2735703124999995</v>
      </c>
      <c r="AG48" s="1">
        <v>7.2735703124999995</v>
      </c>
      <c r="AH48" s="1">
        <v>7.2735703124999995</v>
      </c>
      <c r="AI48" s="1">
        <v>7.7905312499999999</v>
      </c>
      <c r="AJ48" s="1">
        <v>7.7905312499999999</v>
      </c>
      <c r="AK48" s="1">
        <v>7.7905312499999999</v>
      </c>
      <c r="AL48" s="1">
        <v>7.7905312499999999</v>
      </c>
      <c r="AM48" s="1">
        <v>8.3218312499999989</v>
      </c>
      <c r="AN48" s="1">
        <v>8.3218312499999989</v>
      </c>
      <c r="AO48" s="1">
        <v>8.3218312499999989</v>
      </c>
      <c r="AP48" s="1">
        <v>8.3218312499999989</v>
      </c>
      <c r="AQ48" s="1">
        <v>9.3740812499999997</v>
      </c>
      <c r="AR48" s="1">
        <v>9.3740812499999997</v>
      </c>
      <c r="AS48" s="1">
        <v>9.3740812499999997</v>
      </c>
      <c r="AT48" s="1">
        <v>9.3740812499999997</v>
      </c>
      <c r="AU48" s="1">
        <v>9.2130812499999983</v>
      </c>
      <c r="AV48" s="1">
        <v>9.2130812499999983</v>
      </c>
      <c r="AW48" s="1">
        <v>9.2130812499999983</v>
      </c>
      <c r="AX48" s="1">
        <v>9.2130812499999983</v>
      </c>
      <c r="AY48" s="1">
        <v>10.489581249999999</v>
      </c>
      <c r="AZ48" s="1">
        <v>10.489581249999999</v>
      </c>
      <c r="BA48" s="1">
        <v>10.489581249999999</v>
      </c>
      <c r="BB48" s="1">
        <v>10.489581249999999</v>
      </c>
      <c r="BC48" s="1">
        <v>11.573421749999998</v>
      </c>
      <c r="BD48" s="1">
        <v>11.573421749999998</v>
      </c>
      <c r="BE48" s="1">
        <v>11.573421749999998</v>
      </c>
      <c r="BF48" s="1">
        <v>11.573421749999998</v>
      </c>
      <c r="BG48" s="1">
        <v>13.20243125</v>
      </c>
      <c r="BH48" s="1">
        <v>13.20243125</v>
      </c>
      <c r="BI48" s="1">
        <v>13.20243125</v>
      </c>
      <c r="BJ48" s="1">
        <v>13.20243125</v>
      </c>
      <c r="BK48" s="1">
        <v>15.5540375</v>
      </c>
      <c r="BL48" s="1">
        <v>15.5540375</v>
      </c>
      <c r="BM48" s="1">
        <v>15.5540375</v>
      </c>
      <c r="BN48" s="1">
        <v>15.5540375</v>
      </c>
      <c r="BO48" s="1">
        <v>12.667681250000001</v>
      </c>
      <c r="BP48" s="1">
        <v>12.667681250000001</v>
      </c>
      <c r="BQ48" s="1">
        <v>12.667681250000001</v>
      </c>
      <c r="BR48" s="1">
        <v>12.667681250000001</v>
      </c>
      <c r="BS48" s="1">
        <v>11.191081249999998</v>
      </c>
      <c r="BT48" s="1">
        <v>11.191081249999998</v>
      </c>
      <c r="BU48" s="1">
        <v>11.191081249999998</v>
      </c>
      <c r="BV48" s="1">
        <v>11.191081249999998</v>
      </c>
      <c r="BW48" s="1">
        <v>11.583662500000001</v>
      </c>
      <c r="BX48" s="1">
        <v>11.583662500000001</v>
      </c>
      <c r="BY48" s="1">
        <v>11.583662500000001</v>
      </c>
      <c r="BZ48" s="1">
        <v>11.583662500000001</v>
      </c>
      <c r="CA48" s="1">
        <v>13.2419625</v>
      </c>
      <c r="CB48" s="1">
        <v>13.2419625</v>
      </c>
      <c r="CC48" s="1">
        <v>13.2419625</v>
      </c>
      <c r="CD48" s="1">
        <v>13.2419625</v>
      </c>
      <c r="CE48" s="1">
        <v>14.399725</v>
      </c>
      <c r="CF48" s="1">
        <v>14.399725</v>
      </c>
      <c r="CG48" s="1">
        <v>14.399725</v>
      </c>
      <c r="CH48" s="1">
        <v>14.399725</v>
      </c>
      <c r="CI48" s="1">
        <v>17.118756250000001</v>
      </c>
      <c r="CJ48" s="1">
        <v>17.118756250000001</v>
      </c>
      <c r="CK48" s="1">
        <v>17.118756250000001</v>
      </c>
      <c r="CL48" s="1">
        <v>17.118756250000001</v>
      </c>
      <c r="CM48" s="1">
        <v>17.946971874999999</v>
      </c>
      <c r="CN48" s="1">
        <v>17.946971874999999</v>
      </c>
    </row>
    <row r="49" spans="1:92" x14ac:dyDescent="0.35">
      <c r="A49" t="s">
        <v>35</v>
      </c>
      <c r="B49" s="1">
        <v>7.78</v>
      </c>
      <c r="C49" s="1">
        <v>8.32</v>
      </c>
      <c r="D49" s="1">
        <v>8.32</v>
      </c>
      <c r="E49" s="1">
        <v>8.32</v>
      </c>
      <c r="F49" s="1">
        <v>8.32</v>
      </c>
      <c r="G49" s="1">
        <v>8.68</v>
      </c>
      <c r="H49" s="1">
        <v>8.68</v>
      </c>
      <c r="I49" s="1">
        <v>8.68</v>
      </c>
      <c r="J49" s="1">
        <v>8.68</v>
      </c>
      <c r="K49" s="1">
        <v>9.4600000000000009</v>
      </c>
      <c r="L49" s="1">
        <v>9.4600000000000009</v>
      </c>
      <c r="M49" s="1">
        <v>9.4600000000000009</v>
      </c>
      <c r="N49" s="1">
        <v>9.4600000000000009</v>
      </c>
      <c r="O49" s="1">
        <v>9.52</v>
      </c>
      <c r="P49" s="1">
        <v>9.52</v>
      </c>
      <c r="Q49" s="1">
        <v>9.52</v>
      </c>
      <c r="R49" s="1">
        <v>9.52</v>
      </c>
      <c r="S49" s="1">
        <v>10.51</v>
      </c>
      <c r="T49" s="1">
        <v>10.51</v>
      </c>
      <c r="U49" s="1">
        <v>10.51</v>
      </c>
      <c r="V49" s="1">
        <v>10.51</v>
      </c>
      <c r="W49" s="1">
        <v>11.46</v>
      </c>
      <c r="X49" s="1">
        <v>11.46</v>
      </c>
      <c r="Y49" s="1">
        <v>11.46</v>
      </c>
      <c r="Z49" s="1">
        <v>11.46</v>
      </c>
      <c r="AA49" s="1">
        <v>11.71</v>
      </c>
      <c r="AB49" s="1">
        <v>11.71</v>
      </c>
      <c r="AC49" s="1">
        <v>11.98</v>
      </c>
      <c r="AD49" s="1">
        <v>11.98</v>
      </c>
      <c r="AE49" s="1">
        <v>12.830693749999998</v>
      </c>
      <c r="AF49" s="1">
        <v>12.830693749999998</v>
      </c>
      <c r="AG49" s="1">
        <v>12.830693749999998</v>
      </c>
      <c r="AH49" s="1">
        <v>12.830693749999998</v>
      </c>
      <c r="AI49" s="1">
        <v>14.43275875</v>
      </c>
      <c r="AJ49" s="1">
        <v>14.43275875</v>
      </c>
      <c r="AK49" s="1">
        <v>14.43275875</v>
      </c>
      <c r="AL49" s="1">
        <v>14.43275875</v>
      </c>
      <c r="AM49" s="1">
        <v>14.58777875</v>
      </c>
      <c r="AN49" s="1">
        <v>14.58777875</v>
      </c>
      <c r="AO49" s="1">
        <v>14.58777875</v>
      </c>
      <c r="AP49" s="1">
        <v>14.58777875</v>
      </c>
      <c r="AQ49" s="1">
        <v>15.169563749999998</v>
      </c>
      <c r="AR49" s="1">
        <v>15.169563749999998</v>
      </c>
      <c r="AS49" s="1">
        <v>15.169563749999998</v>
      </c>
      <c r="AT49" s="1">
        <v>15.169563749999998</v>
      </c>
      <c r="AU49" s="1">
        <v>14.74567375</v>
      </c>
      <c r="AV49" s="1">
        <v>14.74567375</v>
      </c>
      <c r="AW49" s="1">
        <v>14.74567375</v>
      </c>
      <c r="AX49" s="1">
        <v>14.74567375</v>
      </c>
      <c r="AY49" s="1">
        <v>14.75044625</v>
      </c>
      <c r="AZ49" s="1">
        <v>14.75044625</v>
      </c>
      <c r="BA49" s="1">
        <v>14.75044625</v>
      </c>
      <c r="BB49" s="1">
        <v>14.75044625</v>
      </c>
      <c r="BC49" s="1">
        <v>14.822206249999999</v>
      </c>
      <c r="BD49" s="1">
        <v>14.822206249999999</v>
      </c>
      <c r="BE49" s="1">
        <v>14.822206249999999</v>
      </c>
      <c r="BF49" s="1">
        <v>14.822206249999999</v>
      </c>
      <c r="BG49" s="1">
        <v>13.712801249999998</v>
      </c>
      <c r="BH49" s="1">
        <v>13.712801249999998</v>
      </c>
      <c r="BI49" s="1">
        <v>13.712801249999998</v>
      </c>
      <c r="BJ49" s="1">
        <v>13.712801249999998</v>
      </c>
      <c r="BK49" s="1">
        <v>14.11760125</v>
      </c>
      <c r="BL49" s="1">
        <v>14.11760125</v>
      </c>
      <c r="BM49" s="1">
        <v>14.11760125</v>
      </c>
      <c r="BN49" s="1">
        <v>14.11760125</v>
      </c>
      <c r="BO49" s="1">
        <v>13.195301249999998</v>
      </c>
      <c r="BP49" s="1">
        <v>13.195301249999998</v>
      </c>
      <c r="BQ49" s="1">
        <v>13.195301249999998</v>
      </c>
      <c r="BR49" s="1">
        <v>13.195301249999998</v>
      </c>
      <c r="BS49" s="1">
        <v>14.284236250000001</v>
      </c>
      <c r="BT49" s="1">
        <v>14.284236250000001</v>
      </c>
      <c r="BU49" s="1">
        <v>14.284236250000001</v>
      </c>
      <c r="BV49" s="1">
        <v>14.284236250000001</v>
      </c>
      <c r="BW49" s="1">
        <v>16.3502975</v>
      </c>
      <c r="BX49" s="1">
        <v>16.3502975</v>
      </c>
      <c r="BY49" s="1">
        <v>16.3502975</v>
      </c>
      <c r="BZ49" s="1">
        <v>16.3502975</v>
      </c>
      <c r="CA49" s="1">
        <v>18.925010937500002</v>
      </c>
      <c r="CB49" s="1">
        <v>18.925010937500002</v>
      </c>
      <c r="CC49" s="1">
        <v>18.925010937500002</v>
      </c>
      <c r="CD49" s="1">
        <v>18.925010937500002</v>
      </c>
      <c r="CE49" s="1">
        <v>20.511273924180301</v>
      </c>
      <c r="CF49" s="1">
        <v>20.511273924180301</v>
      </c>
      <c r="CG49" s="1">
        <v>20.511273924180301</v>
      </c>
      <c r="CH49" s="1">
        <v>20.511273924180301</v>
      </c>
      <c r="CI49" s="1">
        <v>21.8256924052254</v>
      </c>
      <c r="CJ49" s="1">
        <v>21.8256924052254</v>
      </c>
      <c r="CK49" s="1">
        <v>21.8256924052254</v>
      </c>
      <c r="CL49" s="1">
        <v>21.8256924052254</v>
      </c>
      <c r="CM49" s="1">
        <v>24.733121874999998</v>
      </c>
      <c r="CN49" s="1">
        <v>24.733121874999998</v>
      </c>
    </row>
    <row r="50" spans="1:92" x14ac:dyDescent="0.35">
      <c r="A50" t="s">
        <v>81</v>
      </c>
      <c r="B50" s="1">
        <v>5.45</v>
      </c>
      <c r="C50" s="1">
        <v>5.67</v>
      </c>
      <c r="D50" s="1">
        <v>5.67</v>
      </c>
      <c r="E50" s="1">
        <v>5.67</v>
      </c>
      <c r="F50" s="1">
        <v>5.67</v>
      </c>
      <c r="G50" s="1">
        <v>5.8</v>
      </c>
      <c r="H50" s="1">
        <v>5.8</v>
      </c>
      <c r="I50" s="1">
        <v>5.8</v>
      </c>
      <c r="J50" s="1">
        <v>5.8</v>
      </c>
      <c r="K50" s="1">
        <v>6.17</v>
      </c>
      <c r="L50" s="1">
        <v>6.17</v>
      </c>
      <c r="M50" s="1">
        <v>6.17</v>
      </c>
      <c r="N50" s="1">
        <v>6.17</v>
      </c>
      <c r="O50" s="1">
        <v>6.13</v>
      </c>
      <c r="P50" s="1">
        <v>6.13</v>
      </c>
      <c r="Q50" s="1">
        <v>6.13</v>
      </c>
      <c r="R50" s="1">
        <v>6.13</v>
      </c>
      <c r="S50" s="1">
        <v>6.57</v>
      </c>
      <c r="T50" s="1">
        <v>6.57</v>
      </c>
      <c r="U50" s="1">
        <v>6.57</v>
      </c>
      <c r="V50" s="1">
        <v>6.57</v>
      </c>
      <c r="W50" s="1">
        <v>6.42</v>
      </c>
      <c r="X50" s="1">
        <v>6.42</v>
      </c>
      <c r="Y50" s="1">
        <v>6.42</v>
      </c>
      <c r="Z50" s="1">
        <v>6.42</v>
      </c>
      <c r="AA50" s="1">
        <v>6.29</v>
      </c>
      <c r="AB50" s="1">
        <v>6.29</v>
      </c>
      <c r="AC50" s="1">
        <v>6.43</v>
      </c>
      <c r="AD50" s="1">
        <v>6.43</v>
      </c>
      <c r="AE50" s="1">
        <v>6.7839937499999996</v>
      </c>
      <c r="AF50" s="1">
        <v>6.7839937499999996</v>
      </c>
      <c r="AG50" s="1">
        <v>6.7839937499999996</v>
      </c>
      <c r="AH50" s="1">
        <v>6.7839937499999996</v>
      </c>
      <c r="AI50" s="1">
        <v>7.3704937499999996</v>
      </c>
      <c r="AJ50" s="1">
        <v>7.3704937499999996</v>
      </c>
      <c r="AK50" s="1">
        <v>7.3704937499999996</v>
      </c>
      <c r="AL50" s="1">
        <v>7.3704937499999996</v>
      </c>
      <c r="AM50" s="1">
        <v>7.1577437499999998</v>
      </c>
      <c r="AN50" s="1">
        <v>7.1577437499999998</v>
      </c>
      <c r="AO50" s="1">
        <v>7.1577437499999998</v>
      </c>
      <c r="AP50" s="1">
        <v>7.1577437499999998</v>
      </c>
      <c r="AQ50" s="1">
        <v>7.7614937499999996</v>
      </c>
      <c r="AR50" s="1">
        <v>7.7614937499999996</v>
      </c>
      <c r="AS50" s="1">
        <v>7.7614937499999996</v>
      </c>
      <c r="AT50" s="1">
        <v>7.7614937499999996</v>
      </c>
      <c r="AU50" s="1">
        <v>8.1122437499999993</v>
      </c>
      <c r="AV50" s="1">
        <v>8.1122437499999993</v>
      </c>
      <c r="AW50" s="1">
        <v>8.1122437499999993</v>
      </c>
      <c r="AX50" s="1">
        <v>8.1122437499999993</v>
      </c>
      <c r="AY50" s="1">
        <v>8.4747812499999995</v>
      </c>
      <c r="AZ50" s="1">
        <v>8.4747812499999995</v>
      </c>
      <c r="BA50" s="1">
        <v>8.4747812499999995</v>
      </c>
      <c r="BB50" s="1">
        <v>8.4747812499999995</v>
      </c>
      <c r="BC50" s="1">
        <v>8.6070312500000004</v>
      </c>
      <c r="BD50" s="1">
        <v>8.6070312500000004</v>
      </c>
      <c r="BE50" s="1">
        <v>8.6070312500000004</v>
      </c>
      <c r="BF50" s="1">
        <v>8.6070312500000004</v>
      </c>
      <c r="BG50" s="1">
        <v>8.6472812500000007</v>
      </c>
      <c r="BH50" s="1">
        <v>8.6472812500000007</v>
      </c>
      <c r="BI50" s="1">
        <v>8.6472812500000007</v>
      </c>
      <c r="BJ50" s="1">
        <v>8.6472812500000007</v>
      </c>
      <c r="BK50" s="1">
        <v>8.6760312499999994</v>
      </c>
      <c r="BL50" s="1">
        <v>8.6760312499999994</v>
      </c>
      <c r="BM50" s="1">
        <v>8.6760312499999994</v>
      </c>
      <c r="BN50" s="1">
        <v>8.6760312499999994</v>
      </c>
      <c r="BO50" s="1">
        <v>8.6593203124999985</v>
      </c>
      <c r="BP50" s="1">
        <v>8.6593203124999985</v>
      </c>
      <c r="BQ50" s="1">
        <v>8.6593203124999985</v>
      </c>
      <c r="BR50" s="1">
        <v>8.6593203124999985</v>
      </c>
      <c r="BS50" s="1">
        <v>9.3148203124999984</v>
      </c>
      <c r="BT50" s="1">
        <v>9.3148203124999984</v>
      </c>
      <c r="BU50" s="1">
        <v>9.3148203124999984</v>
      </c>
      <c r="BV50" s="1">
        <v>9.3148203124999984</v>
      </c>
      <c r="BW50" s="1">
        <v>10.660140624999999</v>
      </c>
      <c r="BX50" s="1">
        <v>10.660140624999999</v>
      </c>
      <c r="BY50" s="1">
        <v>10.660140624999999</v>
      </c>
      <c r="BZ50" s="1">
        <v>10.660140624999999</v>
      </c>
      <c r="CA50" s="1">
        <v>10.712710937500001</v>
      </c>
      <c r="CB50" s="1">
        <v>10.712710937500001</v>
      </c>
      <c r="CC50" s="1">
        <v>10.712710937500001</v>
      </c>
      <c r="CD50" s="1">
        <v>10.712710937500001</v>
      </c>
      <c r="CE50" s="1">
        <v>11.9216739241803</v>
      </c>
      <c r="CF50" s="1">
        <v>11.9216739241803</v>
      </c>
      <c r="CG50" s="1">
        <v>11.9216739241803</v>
      </c>
      <c r="CH50" s="1">
        <v>11.9216739241803</v>
      </c>
      <c r="CI50" s="1">
        <v>13.957092405225399</v>
      </c>
      <c r="CJ50" s="1">
        <v>13.957092405225399</v>
      </c>
      <c r="CK50" s="1">
        <v>13.957092405225399</v>
      </c>
      <c r="CL50" s="1">
        <v>13.957092405225399</v>
      </c>
      <c r="CM50" s="1">
        <v>16.795421874999999</v>
      </c>
      <c r="CN50" s="1">
        <v>16.795421874999999</v>
      </c>
    </row>
    <row r="51" spans="1:92" x14ac:dyDescent="0.35">
      <c r="A51" t="s">
        <v>27</v>
      </c>
      <c r="B51" s="1">
        <v>0</v>
      </c>
      <c r="C51" s="1">
        <v>0</v>
      </c>
      <c r="D51" s="1">
        <v>0</v>
      </c>
      <c r="E51" s="1">
        <v>0</v>
      </c>
      <c r="F51" s="1">
        <v>0</v>
      </c>
      <c r="G51" s="1">
        <v>0</v>
      </c>
      <c r="H51" s="1">
        <v>0</v>
      </c>
      <c r="I51" s="1">
        <v>0</v>
      </c>
      <c r="J51" s="1">
        <v>0</v>
      </c>
      <c r="K51" s="1">
        <v>0</v>
      </c>
      <c r="L51" s="1">
        <v>0</v>
      </c>
      <c r="M51" s="1">
        <v>0</v>
      </c>
      <c r="N51" s="1">
        <v>0</v>
      </c>
      <c r="O51" s="1">
        <v>0</v>
      </c>
      <c r="P51" s="1">
        <v>0</v>
      </c>
      <c r="Q51" s="1">
        <v>0</v>
      </c>
      <c r="R51" s="1">
        <v>0</v>
      </c>
      <c r="S51" s="1">
        <v>8.4700000000000006</v>
      </c>
      <c r="T51" s="1">
        <v>8.4700000000000006</v>
      </c>
      <c r="U51" s="1">
        <v>8.4700000000000006</v>
      </c>
      <c r="V51" s="1">
        <v>8.4700000000000006</v>
      </c>
      <c r="W51" s="1">
        <v>8.1300000000000008</v>
      </c>
      <c r="X51" s="1">
        <v>8.1300000000000008</v>
      </c>
      <c r="Y51" s="1">
        <v>8.1300000000000008</v>
      </c>
      <c r="Z51" s="1">
        <v>8.1300000000000008</v>
      </c>
      <c r="AA51" s="1">
        <v>8.33</v>
      </c>
      <c r="AB51" s="1">
        <v>8.33</v>
      </c>
      <c r="AC51" s="1">
        <v>8.51</v>
      </c>
      <c r="AD51" s="1">
        <v>8.51</v>
      </c>
      <c r="AE51" s="1">
        <v>9.3990937499999987</v>
      </c>
      <c r="AF51" s="1">
        <v>9.3990937499999987</v>
      </c>
      <c r="AG51" s="1">
        <v>9.3990937499999987</v>
      </c>
      <c r="AH51" s="1">
        <v>9.3990937499999987</v>
      </c>
      <c r="AI51" s="1">
        <v>10.80243875</v>
      </c>
      <c r="AJ51" s="1">
        <v>10.80243875</v>
      </c>
      <c r="AK51" s="1">
        <v>10.80243875</v>
      </c>
      <c r="AL51" s="1">
        <v>10.80243875</v>
      </c>
      <c r="AM51" s="1">
        <v>10.59670375</v>
      </c>
      <c r="AN51" s="1">
        <v>10.59670375</v>
      </c>
      <c r="AO51" s="1">
        <v>10.59670375</v>
      </c>
      <c r="AP51" s="1">
        <v>10.59670375</v>
      </c>
      <c r="AQ51" s="1">
        <v>11.36260375</v>
      </c>
      <c r="AR51" s="1">
        <v>11.36260375</v>
      </c>
      <c r="AS51" s="1">
        <v>11.36260375</v>
      </c>
      <c r="AT51" s="1">
        <v>11.36260375</v>
      </c>
      <c r="AU51" s="1">
        <v>10.954123749999999</v>
      </c>
      <c r="AV51" s="1">
        <v>10.954123749999999</v>
      </c>
      <c r="AW51" s="1">
        <v>10.954123749999999</v>
      </c>
      <c r="AX51" s="1">
        <v>10.954123749999999</v>
      </c>
      <c r="AY51" s="1">
        <v>10.94521125</v>
      </c>
      <c r="AZ51" s="1">
        <v>10.94521125</v>
      </c>
      <c r="BA51" s="1">
        <v>10.94521125</v>
      </c>
      <c r="BB51" s="1">
        <v>10.94521125</v>
      </c>
      <c r="BC51" s="1">
        <v>10.726251250000001</v>
      </c>
      <c r="BD51" s="1">
        <v>10.726251250000001</v>
      </c>
      <c r="BE51" s="1">
        <v>10.726251250000001</v>
      </c>
      <c r="BF51" s="1">
        <v>10.726251250000001</v>
      </c>
      <c r="BG51" s="1">
        <v>10.236581249999999</v>
      </c>
      <c r="BH51" s="1">
        <v>10.236581249999999</v>
      </c>
      <c r="BI51" s="1">
        <v>10.236581249999999</v>
      </c>
      <c r="BJ51" s="1">
        <v>10.236581249999999</v>
      </c>
      <c r="BK51" s="1">
        <v>10.42035125</v>
      </c>
      <c r="BL51" s="1">
        <v>10.42035125</v>
      </c>
      <c r="BM51" s="1">
        <v>10.42035125</v>
      </c>
      <c r="BN51" s="1">
        <v>10.42035125</v>
      </c>
      <c r="BO51" s="1">
        <v>9.6329462499999998</v>
      </c>
      <c r="BP51" s="1">
        <v>9.6329462499999998</v>
      </c>
      <c r="BQ51" s="1">
        <v>9.6329462499999998</v>
      </c>
      <c r="BR51" s="1">
        <v>9.6329462499999998</v>
      </c>
      <c r="BS51" s="1">
        <v>10.345026250000002</v>
      </c>
      <c r="BT51" s="1">
        <v>10.345026250000002</v>
      </c>
      <c r="BU51" s="1">
        <v>10.345026250000002</v>
      </c>
      <c r="BV51" s="1">
        <v>10.345026250000002</v>
      </c>
      <c r="BW51" s="1">
        <v>12.2188075</v>
      </c>
      <c r="BX51" s="1">
        <v>12.2188075</v>
      </c>
      <c r="BY51" s="1">
        <v>12.2188075</v>
      </c>
      <c r="BZ51" s="1">
        <v>12.2188075</v>
      </c>
      <c r="CA51" s="1">
        <v>13.094510937500001</v>
      </c>
      <c r="CB51" s="1">
        <v>13.094510937500001</v>
      </c>
      <c r="CC51" s="1">
        <v>13.094510937500001</v>
      </c>
      <c r="CD51" s="1">
        <v>13.094510937500001</v>
      </c>
      <c r="CE51" s="1">
        <v>14.540473924180301</v>
      </c>
      <c r="CF51" s="1">
        <v>14.540473924180301</v>
      </c>
      <c r="CG51" s="1">
        <v>14.540473924180301</v>
      </c>
      <c r="CH51" s="1">
        <v>14.540473924180301</v>
      </c>
      <c r="CI51" s="1">
        <v>15.6501924052254</v>
      </c>
      <c r="CJ51" s="1">
        <v>15.6501924052254</v>
      </c>
      <c r="CK51" s="1">
        <v>15.6501924052254</v>
      </c>
      <c r="CL51" s="1">
        <v>15.6501924052254</v>
      </c>
      <c r="CM51" s="1">
        <v>18.297721875000001</v>
      </c>
      <c r="CN51" s="1">
        <v>18.297721875000001</v>
      </c>
    </row>
    <row r="52" spans="1:92" x14ac:dyDescent="0.35">
      <c r="A52" t="s">
        <v>26</v>
      </c>
      <c r="B52" s="1">
        <v>11.12</v>
      </c>
      <c r="C52" s="1">
        <v>11.12</v>
      </c>
      <c r="D52" s="1">
        <v>11.12</v>
      </c>
      <c r="E52" s="1">
        <v>11.12</v>
      </c>
      <c r="F52" s="1">
        <v>11.12</v>
      </c>
      <c r="G52" s="1">
        <v>11.12</v>
      </c>
      <c r="H52" s="1">
        <v>11.12</v>
      </c>
      <c r="I52" s="1">
        <v>11.12</v>
      </c>
      <c r="J52" s="1">
        <v>11.12</v>
      </c>
      <c r="K52" s="1">
        <v>12.05</v>
      </c>
      <c r="L52" s="1">
        <v>12.05</v>
      </c>
      <c r="M52" s="1">
        <v>12.05</v>
      </c>
      <c r="N52" s="1">
        <v>12.05</v>
      </c>
      <c r="O52" s="1">
        <v>12.05</v>
      </c>
      <c r="P52" s="1">
        <v>12.05</v>
      </c>
      <c r="Q52" s="1">
        <v>12.05</v>
      </c>
      <c r="R52" s="1">
        <v>12.05</v>
      </c>
      <c r="S52" s="1">
        <v>12.79</v>
      </c>
      <c r="T52" s="1">
        <v>12.79</v>
      </c>
      <c r="U52" s="1">
        <v>12.79</v>
      </c>
      <c r="V52" s="1">
        <v>12.79</v>
      </c>
      <c r="W52" s="1">
        <v>13.5</v>
      </c>
      <c r="X52" s="1">
        <v>13.5</v>
      </c>
      <c r="Y52" s="1">
        <v>13.5</v>
      </c>
      <c r="Z52" s="1">
        <v>13.5</v>
      </c>
      <c r="AA52" s="1">
        <v>13.81</v>
      </c>
      <c r="AB52" s="1">
        <v>13.81</v>
      </c>
      <c r="AC52" s="1">
        <v>14.12</v>
      </c>
      <c r="AD52" s="1">
        <v>14.12</v>
      </c>
      <c r="AE52" s="1">
        <v>14.473468749999997</v>
      </c>
      <c r="AF52" s="1">
        <v>14.473468749999997</v>
      </c>
      <c r="AG52" s="1">
        <v>14.473468749999997</v>
      </c>
      <c r="AH52" s="1">
        <v>14.473468749999997</v>
      </c>
      <c r="AI52" s="1">
        <v>15.183270312499999</v>
      </c>
      <c r="AJ52" s="1">
        <v>15.183270312499999</v>
      </c>
      <c r="AK52" s="1">
        <v>15.183270312499999</v>
      </c>
      <c r="AL52" s="1">
        <v>15.183270312499999</v>
      </c>
      <c r="AM52" s="1">
        <v>16.5471703125</v>
      </c>
      <c r="AN52" s="1">
        <v>16.5471703125</v>
      </c>
      <c r="AO52" s="1">
        <v>16.5471703125</v>
      </c>
      <c r="AP52" s="1">
        <v>16.5471703125</v>
      </c>
      <c r="AQ52" s="1">
        <v>16.547170312499997</v>
      </c>
      <c r="AR52" s="1">
        <v>16.547170312499997</v>
      </c>
      <c r="AS52" s="1">
        <v>16.547170312499997</v>
      </c>
      <c r="AT52" s="1">
        <v>16.547170312499997</v>
      </c>
      <c r="AU52" s="1">
        <v>16.547170312499997</v>
      </c>
      <c r="AV52" s="1">
        <v>16.547170312499997</v>
      </c>
      <c r="AW52" s="1">
        <v>16.547170312499997</v>
      </c>
      <c r="AX52" s="1">
        <v>16.547170312499997</v>
      </c>
      <c r="AY52" s="1">
        <v>16.781770312499997</v>
      </c>
      <c r="AZ52" s="1">
        <v>16.781770312499997</v>
      </c>
      <c r="BA52" s="1">
        <v>16.781770312499997</v>
      </c>
      <c r="BB52" s="1">
        <v>16.781770312499997</v>
      </c>
      <c r="BC52" s="1">
        <v>17.195770312499999</v>
      </c>
      <c r="BD52" s="1">
        <v>17.195770312499999</v>
      </c>
      <c r="BE52" s="1">
        <v>17.195770312499999</v>
      </c>
      <c r="BF52" s="1">
        <v>17.195770312499999</v>
      </c>
      <c r="BG52" s="1">
        <v>17.064670312499999</v>
      </c>
      <c r="BH52" s="1">
        <v>17.064670312499999</v>
      </c>
      <c r="BI52" s="1">
        <v>17.064670312499999</v>
      </c>
      <c r="BJ52" s="1">
        <v>17.064670312499999</v>
      </c>
      <c r="BK52" s="1">
        <v>16.986470312499996</v>
      </c>
      <c r="BL52" s="1">
        <v>16.986470312499996</v>
      </c>
      <c r="BM52" s="1">
        <v>16.986470312499996</v>
      </c>
      <c r="BN52" s="1">
        <v>16.986470312499996</v>
      </c>
      <c r="BO52" s="1">
        <v>16.9864703125</v>
      </c>
      <c r="BP52" s="1">
        <v>16.9864703125</v>
      </c>
      <c r="BQ52" s="1">
        <v>16.9864703125</v>
      </c>
      <c r="BR52" s="1">
        <v>16.9864703125</v>
      </c>
      <c r="BS52" s="1">
        <v>16.586270312499998</v>
      </c>
      <c r="BT52" s="1">
        <v>16.586270312499998</v>
      </c>
      <c r="BU52" s="1">
        <v>16.586270312499998</v>
      </c>
      <c r="BV52" s="1">
        <v>16.586270312499998</v>
      </c>
      <c r="BW52" s="1">
        <v>16.396340624999997</v>
      </c>
      <c r="BX52" s="1">
        <v>16.396340624999997</v>
      </c>
      <c r="BY52" s="1">
        <v>16.396340624999997</v>
      </c>
      <c r="BZ52" s="1">
        <v>16.396340624999997</v>
      </c>
      <c r="CA52" s="1">
        <v>16.3237109375</v>
      </c>
      <c r="CB52" s="1">
        <v>16.3237109375</v>
      </c>
      <c r="CC52" s="1">
        <v>16.3237109375</v>
      </c>
      <c r="CD52" s="1">
        <v>16.3237109375</v>
      </c>
      <c r="CE52" s="1">
        <v>17.711581249999998</v>
      </c>
      <c r="CF52" s="1">
        <v>17.711581249999998</v>
      </c>
      <c r="CG52" s="1">
        <v>17.711581249999998</v>
      </c>
      <c r="CH52" s="1">
        <v>17.711581249999998</v>
      </c>
      <c r="CI52" s="1">
        <v>18.563551562499999</v>
      </c>
      <c r="CJ52" s="1">
        <v>18.563551562499999</v>
      </c>
      <c r="CK52" s="1">
        <v>18.563551562499999</v>
      </c>
      <c r="CL52" s="1">
        <v>18.563551562499999</v>
      </c>
      <c r="CM52" s="1">
        <v>18.210321875000002</v>
      </c>
      <c r="CN52" s="1">
        <v>18.210321875000002</v>
      </c>
    </row>
    <row r="53" spans="1:92" x14ac:dyDescent="0.35">
      <c r="A53" t="s">
        <v>33</v>
      </c>
      <c r="B53" s="1">
        <v>8.91</v>
      </c>
      <c r="C53" s="1">
        <v>8.91</v>
      </c>
      <c r="D53" s="1">
        <v>8.91</v>
      </c>
      <c r="E53" s="1">
        <v>8.91</v>
      </c>
      <c r="F53" s="1">
        <v>8.91</v>
      </c>
      <c r="G53" s="1">
        <v>8.91</v>
      </c>
      <c r="H53" s="1">
        <v>8.91</v>
      </c>
      <c r="I53" s="1">
        <v>8.91</v>
      </c>
      <c r="J53" s="1">
        <v>8.91</v>
      </c>
      <c r="K53" s="1">
        <v>9.35</v>
      </c>
      <c r="L53" s="1">
        <v>9.35</v>
      </c>
      <c r="M53" s="1">
        <v>9.35</v>
      </c>
      <c r="N53" s="1">
        <v>9.35</v>
      </c>
      <c r="O53" s="1">
        <v>8.9</v>
      </c>
      <c r="P53" s="1">
        <v>8.9</v>
      </c>
      <c r="Q53" s="1">
        <v>8.9</v>
      </c>
      <c r="R53" s="1">
        <v>8.9</v>
      </c>
      <c r="S53" s="1">
        <v>10.15</v>
      </c>
      <c r="T53" s="1">
        <v>10.15</v>
      </c>
      <c r="U53" s="1">
        <v>10.15</v>
      </c>
      <c r="V53" s="1">
        <v>10.15</v>
      </c>
      <c r="W53" s="1">
        <v>11.53</v>
      </c>
      <c r="X53" s="1">
        <v>11.53</v>
      </c>
      <c r="Y53" s="1">
        <v>11.53</v>
      </c>
      <c r="Z53" s="1">
        <v>11.53</v>
      </c>
      <c r="AA53" s="1">
        <v>12.74</v>
      </c>
      <c r="AB53" s="1">
        <v>12.74</v>
      </c>
      <c r="AC53" s="1">
        <v>13.02</v>
      </c>
      <c r="AD53" s="1">
        <v>13.02</v>
      </c>
      <c r="AE53" s="1">
        <v>13.99046875</v>
      </c>
      <c r="AF53" s="1">
        <v>13.99046875</v>
      </c>
      <c r="AG53" s="1">
        <v>13.99046875</v>
      </c>
      <c r="AH53" s="1">
        <v>13.99046875</v>
      </c>
      <c r="AI53" s="1">
        <v>14.277070312499998</v>
      </c>
      <c r="AJ53" s="1">
        <v>14.277070312499998</v>
      </c>
      <c r="AK53" s="1">
        <v>14.277070312499998</v>
      </c>
      <c r="AL53" s="1">
        <v>14.277070312499998</v>
      </c>
      <c r="AM53" s="1">
        <v>15.4155703125</v>
      </c>
      <c r="AN53" s="1">
        <v>15.4155703125</v>
      </c>
      <c r="AO53" s="1">
        <v>15.4155703125</v>
      </c>
      <c r="AP53" s="1">
        <v>15.4155703125</v>
      </c>
      <c r="AQ53" s="1">
        <v>16.5885703125</v>
      </c>
      <c r="AR53" s="1">
        <v>16.5885703125</v>
      </c>
      <c r="AS53" s="1">
        <v>16.5885703125</v>
      </c>
      <c r="AT53" s="1">
        <v>16.5885703125</v>
      </c>
      <c r="AU53" s="1">
        <v>17.485570312499998</v>
      </c>
      <c r="AV53" s="1">
        <v>17.485570312499998</v>
      </c>
      <c r="AW53" s="1">
        <v>17.485570312499998</v>
      </c>
      <c r="AX53" s="1">
        <v>17.485570312499998</v>
      </c>
      <c r="AY53" s="1">
        <v>18.612570312499997</v>
      </c>
      <c r="AZ53" s="1">
        <v>18.612570312499997</v>
      </c>
      <c r="BA53" s="1">
        <v>18.612570312499997</v>
      </c>
      <c r="BB53" s="1">
        <v>18.612570312499997</v>
      </c>
      <c r="BC53" s="1">
        <v>19.9925703125</v>
      </c>
      <c r="BD53" s="1">
        <v>19.9925703125</v>
      </c>
      <c r="BE53" s="1">
        <v>19.9925703125</v>
      </c>
      <c r="BF53" s="1">
        <v>19.9925703125</v>
      </c>
      <c r="BG53" s="1">
        <v>19.9925703125</v>
      </c>
      <c r="BH53" s="1">
        <v>19.9925703125</v>
      </c>
      <c r="BI53" s="1">
        <v>19.9925703125</v>
      </c>
      <c r="BJ53" s="1">
        <v>19.9925703125</v>
      </c>
      <c r="BK53" s="1">
        <v>19.992570312499996</v>
      </c>
      <c r="BL53" s="1">
        <v>19.992570312499996</v>
      </c>
      <c r="BM53" s="1">
        <v>19.992570312499996</v>
      </c>
      <c r="BN53" s="1">
        <v>19.992570312499996</v>
      </c>
      <c r="BO53" s="1">
        <v>19.992570312499996</v>
      </c>
      <c r="BP53" s="1">
        <v>19.992570312499996</v>
      </c>
      <c r="BQ53" s="1">
        <v>19.992570312499996</v>
      </c>
      <c r="BR53" s="1">
        <v>19.992570312499996</v>
      </c>
      <c r="BS53" s="1">
        <v>18.497570312499999</v>
      </c>
      <c r="BT53" s="1">
        <v>18.497570312499999</v>
      </c>
      <c r="BU53" s="1">
        <v>18.497570312499999</v>
      </c>
      <c r="BV53" s="1">
        <v>18.497570312499999</v>
      </c>
      <c r="BW53" s="1">
        <v>18.480140624999997</v>
      </c>
      <c r="BX53" s="1">
        <v>18.480140624999997</v>
      </c>
      <c r="BY53" s="1">
        <v>18.480140624999997</v>
      </c>
      <c r="BZ53" s="1">
        <v>18.480140624999997</v>
      </c>
      <c r="CA53" s="1">
        <v>19.727710937499999</v>
      </c>
      <c r="CB53" s="1">
        <v>19.727710937499999</v>
      </c>
      <c r="CC53" s="1">
        <v>19.727710937499999</v>
      </c>
      <c r="CD53" s="1">
        <v>19.727710937499999</v>
      </c>
      <c r="CE53" s="1">
        <v>20.285281250000001</v>
      </c>
      <c r="CF53" s="1">
        <v>20.285281250000001</v>
      </c>
      <c r="CG53" s="1">
        <v>20.285281250000001</v>
      </c>
      <c r="CH53" s="1">
        <v>20.285281250000001</v>
      </c>
      <c r="CI53" s="1">
        <v>23.142851562499999</v>
      </c>
      <c r="CJ53" s="1">
        <v>23.142851562499999</v>
      </c>
      <c r="CK53" s="1">
        <v>23.142851562499999</v>
      </c>
      <c r="CL53" s="1">
        <v>23.142851562499999</v>
      </c>
      <c r="CM53" s="1">
        <v>24.275421874999999</v>
      </c>
      <c r="CN53" s="1">
        <v>24.275421874999999</v>
      </c>
    </row>
    <row r="54" spans="1:92" x14ac:dyDescent="0.35">
      <c r="A54" t="s">
        <v>34</v>
      </c>
      <c r="B54" s="1">
        <v>6.75</v>
      </c>
      <c r="C54" s="1">
        <v>6.75</v>
      </c>
      <c r="D54" s="1">
        <v>7.11</v>
      </c>
      <c r="E54" s="1">
        <v>7.11</v>
      </c>
      <c r="F54" s="1">
        <v>7.11</v>
      </c>
      <c r="G54" s="1">
        <v>7.11</v>
      </c>
      <c r="H54" s="1">
        <v>7.11</v>
      </c>
      <c r="I54" s="1">
        <v>7.11</v>
      </c>
      <c r="J54" s="1">
        <v>7.11</v>
      </c>
      <c r="K54" s="1">
        <v>7.71</v>
      </c>
      <c r="L54" s="1">
        <v>7.71</v>
      </c>
      <c r="M54" s="1">
        <v>7.71</v>
      </c>
      <c r="N54" s="1">
        <v>7.71</v>
      </c>
      <c r="O54" s="1">
        <v>7.99</v>
      </c>
      <c r="P54" s="1">
        <v>7.99</v>
      </c>
      <c r="Q54" s="1">
        <v>7.99</v>
      </c>
      <c r="R54" s="1">
        <v>7.99</v>
      </c>
      <c r="S54" s="1">
        <v>8.35</v>
      </c>
      <c r="T54" s="1">
        <v>8.35</v>
      </c>
      <c r="U54" s="1">
        <v>8.35</v>
      </c>
      <c r="V54" s="1">
        <v>8.35</v>
      </c>
      <c r="W54" s="1">
        <v>8.8000000000000007</v>
      </c>
      <c r="X54" s="1">
        <v>8.8000000000000007</v>
      </c>
      <c r="Y54" s="1">
        <v>8.8000000000000007</v>
      </c>
      <c r="Z54" s="1">
        <v>8.8000000000000007</v>
      </c>
      <c r="AA54" s="1">
        <v>9.44</v>
      </c>
      <c r="AB54" s="1">
        <v>9.44</v>
      </c>
      <c r="AC54" s="1">
        <v>9.65</v>
      </c>
      <c r="AD54" s="1">
        <v>9.65</v>
      </c>
      <c r="AE54" s="1">
        <v>10.005970312499999</v>
      </c>
      <c r="AF54" s="1">
        <v>10.005970312499999</v>
      </c>
      <c r="AG54" s="1">
        <v>10.005970312499999</v>
      </c>
      <c r="AH54" s="1">
        <v>10.005970312499999</v>
      </c>
      <c r="AI54" s="1">
        <v>10.539570312499999</v>
      </c>
      <c r="AJ54" s="1">
        <v>10.539570312499999</v>
      </c>
      <c r="AK54" s="1">
        <v>10.539570312499999</v>
      </c>
      <c r="AL54" s="1">
        <v>11.183570312499999</v>
      </c>
      <c r="AM54" s="1">
        <v>11.183570312499999</v>
      </c>
      <c r="AN54" s="1">
        <v>11.183570312499999</v>
      </c>
      <c r="AO54" s="1">
        <v>11.183570312499999</v>
      </c>
      <c r="AP54" s="1">
        <v>12.048370312500001</v>
      </c>
      <c r="AQ54" s="1">
        <v>12.048370312500001</v>
      </c>
      <c r="AR54" s="1">
        <v>12.048370312500001</v>
      </c>
      <c r="AS54" s="1">
        <v>12.048370312500001</v>
      </c>
      <c r="AT54" s="1">
        <v>12.048370312500001</v>
      </c>
      <c r="AU54" s="1">
        <v>12.048370312500001</v>
      </c>
      <c r="AV54" s="1">
        <v>12.048370312500001</v>
      </c>
      <c r="AW54" s="1">
        <v>12.048370312500001</v>
      </c>
      <c r="AX54" s="1">
        <v>12.048370312500001</v>
      </c>
      <c r="AY54" s="1">
        <v>12.464670312500001</v>
      </c>
      <c r="AZ54" s="1">
        <v>12.464670312500001</v>
      </c>
      <c r="BA54" s="1">
        <v>12.464670312500001</v>
      </c>
      <c r="BB54" s="1">
        <v>12.464670312500001</v>
      </c>
      <c r="BC54" s="1">
        <v>12.657870312499995</v>
      </c>
      <c r="BD54" s="1">
        <v>12.657870312499995</v>
      </c>
      <c r="BE54" s="1">
        <v>12.657870312499995</v>
      </c>
      <c r="BF54" s="1">
        <v>12.657870312499995</v>
      </c>
      <c r="BG54" s="1">
        <v>12.657870312499998</v>
      </c>
      <c r="BH54" s="1">
        <v>12.657870312499998</v>
      </c>
      <c r="BI54" s="1">
        <v>12.657870312499998</v>
      </c>
      <c r="BJ54" s="1">
        <v>12.657870312499998</v>
      </c>
      <c r="BK54" s="1">
        <v>12.779770312499998</v>
      </c>
      <c r="BL54" s="1">
        <v>12.779770312499998</v>
      </c>
      <c r="BM54" s="1">
        <v>12.779770312499998</v>
      </c>
      <c r="BN54" s="1">
        <v>12.779770312499998</v>
      </c>
      <c r="BO54" s="1">
        <v>12.779770312500002</v>
      </c>
      <c r="BP54" s="1">
        <v>12.779770312500002</v>
      </c>
      <c r="BQ54" s="1">
        <v>12.779770312500002</v>
      </c>
      <c r="BR54" s="1">
        <v>12.779770312500002</v>
      </c>
      <c r="BS54" s="1">
        <v>13.251270312500001</v>
      </c>
      <c r="BT54" s="1">
        <v>13.251270312500001</v>
      </c>
      <c r="BU54" s="1">
        <v>13.251270312500001</v>
      </c>
      <c r="BV54" s="1">
        <v>13.251270312500001</v>
      </c>
      <c r="BW54" s="1">
        <v>14.100940625</v>
      </c>
      <c r="BX54" s="1">
        <v>14.100940625</v>
      </c>
      <c r="BY54" s="1">
        <v>14.100940625</v>
      </c>
      <c r="BZ54" s="1">
        <v>14.100940625</v>
      </c>
      <c r="CA54" s="1">
        <v>15.0955109375</v>
      </c>
      <c r="CB54" s="1">
        <v>15.0955109375</v>
      </c>
      <c r="CC54" s="1">
        <v>15.0955109375</v>
      </c>
      <c r="CD54" s="1">
        <v>15.0955109375</v>
      </c>
      <c r="CE54" s="1">
        <v>16.485681249999999</v>
      </c>
      <c r="CF54" s="1">
        <v>16.485681249999999</v>
      </c>
      <c r="CG54" s="1">
        <v>16.485681249999999</v>
      </c>
      <c r="CH54" s="1">
        <v>16.485681249999999</v>
      </c>
      <c r="CI54" s="1">
        <v>18.2277515625</v>
      </c>
      <c r="CJ54" s="1">
        <v>18.2277515625</v>
      </c>
      <c r="CK54" s="1">
        <v>18.2277515625</v>
      </c>
      <c r="CL54" s="1">
        <v>18.2277515625</v>
      </c>
      <c r="CM54" s="1">
        <v>19.769721874999998</v>
      </c>
      <c r="CN54" s="1">
        <v>19.769721874999998</v>
      </c>
    </row>
    <row r="55" spans="1:92" x14ac:dyDescent="0.35">
      <c r="A55" t="s">
        <v>29</v>
      </c>
      <c r="B55" s="1">
        <v>9.15</v>
      </c>
      <c r="C55" s="1">
        <v>10.43</v>
      </c>
      <c r="D55" s="1">
        <v>10.43</v>
      </c>
      <c r="E55" s="1">
        <v>10.43</v>
      </c>
      <c r="F55" s="1">
        <v>10.43</v>
      </c>
      <c r="G55" s="1">
        <v>9.94</v>
      </c>
      <c r="H55" s="1">
        <v>9.94</v>
      </c>
      <c r="I55" s="1">
        <v>9.94</v>
      </c>
      <c r="J55" s="1">
        <v>9.94</v>
      </c>
      <c r="K55" s="1">
        <v>10.3</v>
      </c>
      <c r="L55" s="1">
        <v>10.3</v>
      </c>
      <c r="M55" s="1">
        <v>10.3</v>
      </c>
      <c r="N55" s="1">
        <v>10.3</v>
      </c>
      <c r="O55" s="1">
        <v>10.65</v>
      </c>
      <c r="P55" s="1">
        <v>10.65</v>
      </c>
      <c r="Q55" s="1">
        <v>10.65</v>
      </c>
      <c r="R55" s="1">
        <v>10.65</v>
      </c>
      <c r="S55" s="1">
        <v>11.46</v>
      </c>
      <c r="T55" s="1">
        <v>11.46</v>
      </c>
      <c r="U55" s="1">
        <v>11.46</v>
      </c>
      <c r="V55" s="1">
        <v>11.46</v>
      </c>
      <c r="W55" s="1">
        <v>11.95</v>
      </c>
      <c r="X55" s="1">
        <v>11.95</v>
      </c>
      <c r="Y55" s="1">
        <v>11.95</v>
      </c>
      <c r="Z55" s="1">
        <v>11.95</v>
      </c>
      <c r="AA55" s="1">
        <v>12.72</v>
      </c>
      <c r="AB55" s="1">
        <v>12.72</v>
      </c>
      <c r="AC55" s="1">
        <v>13</v>
      </c>
      <c r="AD55" s="1">
        <v>13</v>
      </c>
      <c r="AE55" s="1">
        <v>13.247570312500001</v>
      </c>
      <c r="AF55" s="1">
        <v>13.247570312500001</v>
      </c>
      <c r="AG55" s="1">
        <v>13.247570312500001</v>
      </c>
      <c r="AH55" s="1">
        <v>13.247570312500001</v>
      </c>
      <c r="AI55" s="1">
        <v>13.811570312500001</v>
      </c>
      <c r="AJ55" s="1">
        <v>13.811570312500001</v>
      </c>
      <c r="AK55" s="1">
        <v>13.811570312500001</v>
      </c>
      <c r="AL55" s="1">
        <v>13.811570312500001</v>
      </c>
      <c r="AM55" s="1">
        <v>14.285570312500001</v>
      </c>
      <c r="AN55" s="1">
        <v>14.285570312500001</v>
      </c>
      <c r="AO55" s="1">
        <v>14.285570312500001</v>
      </c>
      <c r="AP55" s="1">
        <v>14.285570312500001</v>
      </c>
      <c r="AQ55" s="1">
        <v>14.795570312500001</v>
      </c>
      <c r="AR55" s="1">
        <v>14.795570312500001</v>
      </c>
      <c r="AS55" s="1">
        <v>14.795570312500001</v>
      </c>
      <c r="AT55" s="1">
        <v>14.795570312500001</v>
      </c>
      <c r="AU55" s="1">
        <v>14.525570312499999</v>
      </c>
      <c r="AV55" s="1">
        <v>14.525570312499999</v>
      </c>
      <c r="AW55" s="1">
        <v>14.525570312499999</v>
      </c>
      <c r="AX55" s="1">
        <v>14.525570312499999</v>
      </c>
      <c r="AY55" s="1">
        <v>15.447770312499998</v>
      </c>
      <c r="AZ55" s="1">
        <v>15.447770312499998</v>
      </c>
      <c r="BA55" s="1">
        <v>15.447770312499998</v>
      </c>
      <c r="BB55" s="1">
        <v>15.447770312499998</v>
      </c>
      <c r="BC55" s="1">
        <v>16.100970312499996</v>
      </c>
      <c r="BD55" s="1">
        <v>16.100970312499996</v>
      </c>
      <c r="BE55" s="1">
        <v>16.100970312499996</v>
      </c>
      <c r="BF55" s="1">
        <v>16.100970312499996</v>
      </c>
      <c r="BG55" s="1">
        <v>15.790470312499998</v>
      </c>
      <c r="BH55" s="1">
        <v>15.790470312499998</v>
      </c>
      <c r="BI55" s="1">
        <v>15.790470312499998</v>
      </c>
      <c r="BJ55" s="1">
        <v>15.790470312499998</v>
      </c>
      <c r="BK55" s="1">
        <v>16.031970312499997</v>
      </c>
      <c r="BL55" s="1">
        <v>16.031970312499997</v>
      </c>
      <c r="BM55" s="1">
        <v>16.031970312499997</v>
      </c>
      <c r="BN55" s="1">
        <v>16.031970312499997</v>
      </c>
      <c r="BO55" s="1">
        <v>14.6358703125</v>
      </c>
      <c r="BP55" s="1">
        <v>14.6358703125</v>
      </c>
      <c r="BQ55" s="1">
        <v>14.6358703125</v>
      </c>
      <c r="BR55" s="1">
        <v>14.6358703125</v>
      </c>
      <c r="BS55" s="1">
        <v>14.2287703125</v>
      </c>
      <c r="BT55" s="1">
        <v>14.2287703125</v>
      </c>
      <c r="BU55" s="1">
        <v>14.2287703125</v>
      </c>
      <c r="BV55" s="1">
        <v>14.2287703125</v>
      </c>
      <c r="BW55" s="1">
        <v>14.310315015624999</v>
      </c>
      <c r="BX55" s="1">
        <v>14.310315015624999</v>
      </c>
      <c r="BY55" s="1">
        <v>14.310315015624999</v>
      </c>
      <c r="BZ55" s="1">
        <v>14.310315015624999</v>
      </c>
      <c r="CA55" s="1">
        <v>14.5665109375</v>
      </c>
      <c r="CB55" s="1">
        <v>14.5665109375</v>
      </c>
      <c r="CC55" s="1">
        <v>14.5665109375</v>
      </c>
      <c r="CD55" s="1">
        <v>14.5665109375</v>
      </c>
      <c r="CE55" s="1">
        <v>15.931381249999999</v>
      </c>
      <c r="CF55" s="1">
        <v>15.931381249999999</v>
      </c>
      <c r="CG55" s="1">
        <v>15.931381249999999</v>
      </c>
      <c r="CH55" s="1">
        <v>15.931381249999999</v>
      </c>
      <c r="CI55" s="1">
        <v>18.830351562499999</v>
      </c>
      <c r="CJ55" s="1">
        <v>18.830351562499999</v>
      </c>
      <c r="CK55" s="1">
        <v>18.830351562499999</v>
      </c>
      <c r="CL55" s="1">
        <v>18.830351562499999</v>
      </c>
      <c r="CM55" s="1">
        <v>20.894421874999999</v>
      </c>
      <c r="CN55" s="1">
        <v>20.894421874999999</v>
      </c>
    </row>
    <row r="56" spans="1:92" x14ac:dyDescent="0.35">
      <c r="A56" t="s">
        <v>36</v>
      </c>
      <c r="B56" s="1">
        <v>6.71</v>
      </c>
      <c r="C56" s="1">
        <v>6.77</v>
      </c>
      <c r="D56" s="1">
        <v>6.77</v>
      </c>
      <c r="E56" s="1">
        <v>6.77</v>
      </c>
      <c r="F56" s="1">
        <v>6.77</v>
      </c>
      <c r="G56" s="1">
        <v>6.76</v>
      </c>
      <c r="H56" s="1">
        <v>6.76</v>
      </c>
      <c r="I56" s="1">
        <v>6.76</v>
      </c>
      <c r="J56" s="1">
        <v>6.76</v>
      </c>
      <c r="K56" s="1">
        <v>7.18</v>
      </c>
      <c r="L56" s="1">
        <v>7.18</v>
      </c>
      <c r="M56" s="1">
        <v>7.18</v>
      </c>
      <c r="N56" s="1">
        <v>7.18</v>
      </c>
      <c r="O56" s="1">
        <v>7.22</v>
      </c>
      <c r="P56" s="1">
        <v>7.22</v>
      </c>
      <c r="Q56" s="1">
        <v>7.22</v>
      </c>
      <c r="R56" s="1">
        <v>7.22</v>
      </c>
      <c r="S56" s="1">
        <v>7.16</v>
      </c>
      <c r="T56" s="1">
        <v>7.16</v>
      </c>
      <c r="U56" s="1">
        <v>7.16</v>
      </c>
      <c r="V56" s="1">
        <v>7.16</v>
      </c>
      <c r="W56" s="1">
        <v>7.6</v>
      </c>
      <c r="X56" s="1">
        <v>7.6</v>
      </c>
      <c r="Y56" s="1">
        <v>7.6</v>
      </c>
      <c r="Z56" s="1">
        <v>7.6</v>
      </c>
      <c r="AA56" s="1">
        <v>7.93</v>
      </c>
      <c r="AB56" s="1">
        <v>7.93</v>
      </c>
      <c r="AC56" s="1">
        <v>8.11</v>
      </c>
      <c r="AD56" s="1">
        <v>8.11</v>
      </c>
      <c r="AE56" s="1">
        <v>8.7455703124999999</v>
      </c>
      <c r="AF56" s="1">
        <v>8.7455703124999999</v>
      </c>
      <c r="AG56" s="1">
        <v>8.7455703124999999</v>
      </c>
      <c r="AH56" s="1">
        <v>8.7455703124999999</v>
      </c>
      <c r="AI56" s="1">
        <v>9.4884703124999987</v>
      </c>
      <c r="AJ56" s="1">
        <v>9.4884703124999987</v>
      </c>
      <c r="AK56" s="1">
        <v>9.4884703124999987</v>
      </c>
      <c r="AL56" s="1">
        <v>9.4884703124999987</v>
      </c>
      <c r="AM56" s="1">
        <v>10.0749703125</v>
      </c>
      <c r="AN56" s="1">
        <v>10.0749703125</v>
      </c>
      <c r="AO56" s="1">
        <v>10.0749703125</v>
      </c>
      <c r="AP56" s="1">
        <v>10.0749703125</v>
      </c>
      <c r="AQ56" s="1">
        <v>10.5579703125</v>
      </c>
      <c r="AR56" s="1">
        <v>10.5579703125</v>
      </c>
      <c r="AS56" s="1">
        <v>10.5579703125</v>
      </c>
      <c r="AT56" s="1">
        <v>10.5579703125</v>
      </c>
      <c r="AU56" s="1">
        <v>10.840870312499998</v>
      </c>
      <c r="AV56" s="1">
        <v>10.840870312499998</v>
      </c>
      <c r="AW56" s="1">
        <v>10.840870312499998</v>
      </c>
      <c r="AX56" s="1">
        <v>10.840870312499998</v>
      </c>
      <c r="AY56" s="1">
        <v>11.413570312499999</v>
      </c>
      <c r="AZ56" s="1">
        <v>11.413570312499999</v>
      </c>
      <c r="BA56" s="1">
        <v>11.413570312499999</v>
      </c>
      <c r="BB56" s="1">
        <v>11.413570312499999</v>
      </c>
      <c r="BC56" s="1">
        <v>11.687270312499999</v>
      </c>
      <c r="BD56" s="1">
        <v>11.687270312499999</v>
      </c>
      <c r="BE56" s="1">
        <v>11.687270312499999</v>
      </c>
      <c r="BF56" s="1">
        <v>11.687270312499999</v>
      </c>
      <c r="BG56" s="1">
        <v>12.101270312499999</v>
      </c>
      <c r="BH56" s="1">
        <v>12.101270312499999</v>
      </c>
      <c r="BI56" s="1">
        <v>12.101270312499999</v>
      </c>
      <c r="BJ56" s="1">
        <v>12.101270312499999</v>
      </c>
      <c r="BK56" s="1">
        <v>11.963270312499999</v>
      </c>
      <c r="BL56" s="1">
        <v>11.963270312499999</v>
      </c>
      <c r="BM56" s="1">
        <v>11.963270312499999</v>
      </c>
      <c r="BN56" s="1">
        <v>11.963270312499999</v>
      </c>
      <c r="BO56" s="1">
        <v>11.935670312499997</v>
      </c>
      <c r="BP56" s="1">
        <v>11.935670312499997</v>
      </c>
      <c r="BQ56" s="1">
        <v>11.935670312499997</v>
      </c>
      <c r="BR56" s="1">
        <v>11.935670312499997</v>
      </c>
      <c r="BS56" s="1">
        <v>12.2783703125</v>
      </c>
      <c r="BT56" s="1">
        <v>12.2783703125</v>
      </c>
      <c r="BU56" s="1">
        <v>12.2783703125</v>
      </c>
      <c r="BV56" s="1">
        <v>12.2783703125</v>
      </c>
      <c r="BW56" s="1">
        <v>13.581140625</v>
      </c>
      <c r="BX56" s="1">
        <v>13.581140625</v>
      </c>
      <c r="BY56" s="1">
        <v>13.581140625</v>
      </c>
      <c r="BZ56" s="1">
        <v>13.581140625</v>
      </c>
      <c r="CA56" s="1">
        <v>15.8867109375</v>
      </c>
      <c r="CB56" s="1">
        <v>15.8867109375</v>
      </c>
      <c r="CC56" s="1">
        <v>15.8867109375</v>
      </c>
      <c r="CD56" s="1">
        <v>15.8867109375</v>
      </c>
      <c r="CE56" s="1">
        <v>16.221181250000001</v>
      </c>
      <c r="CF56" s="1">
        <v>16.221181250000001</v>
      </c>
      <c r="CG56" s="1">
        <v>16.221181250000001</v>
      </c>
      <c r="CH56" s="1">
        <v>16.221181250000001</v>
      </c>
      <c r="CI56" s="1">
        <v>18.740651562499998</v>
      </c>
      <c r="CJ56" s="1">
        <v>18.740651562499998</v>
      </c>
      <c r="CK56" s="1">
        <v>18.740651562499998</v>
      </c>
      <c r="CL56" s="1">
        <v>18.740651562499998</v>
      </c>
      <c r="CM56" s="1">
        <v>22.718321875000001</v>
      </c>
      <c r="CN56" s="1">
        <v>22.718321875000001</v>
      </c>
    </row>
    <row r="57" spans="1:92" x14ac:dyDescent="0.35">
      <c r="A57" t="s">
        <v>30</v>
      </c>
      <c r="B57" s="1">
        <v>6.11</v>
      </c>
      <c r="C57" s="1">
        <v>6.11</v>
      </c>
      <c r="D57" s="1">
        <v>6.03</v>
      </c>
      <c r="E57" s="1">
        <v>6.03</v>
      </c>
      <c r="F57" s="1">
        <v>6.03</v>
      </c>
      <c r="G57" s="1">
        <v>6.03</v>
      </c>
      <c r="H57" s="1">
        <v>6.03</v>
      </c>
      <c r="I57" s="1">
        <v>6.39</v>
      </c>
      <c r="J57" s="1">
        <v>6.39</v>
      </c>
      <c r="K57" s="1">
        <v>6.39</v>
      </c>
      <c r="L57" s="1">
        <v>6.39</v>
      </c>
      <c r="M57" s="1">
        <v>6.39</v>
      </c>
      <c r="N57" s="1">
        <v>6.39</v>
      </c>
      <c r="O57" s="1">
        <v>6.39</v>
      </c>
      <c r="P57" s="1">
        <v>6.39</v>
      </c>
      <c r="Q57" s="1">
        <v>6.39</v>
      </c>
      <c r="R57" s="1">
        <v>6.39</v>
      </c>
      <c r="S57" s="1">
        <v>6.39</v>
      </c>
      <c r="T57" s="1">
        <v>6.39</v>
      </c>
      <c r="U57" s="1">
        <v>6.39</v>
      </c>
      <c r="V57" s="1">
        <v>6.39</v>
      </c>
      <c r="W57" s="1">
        <v>6.4</v>
      </c>
      <c r="X57" s="1">
        <v>6.4</v>
      </c>
      <c r="Y57" s="1">
        <v>6.4</v>
      </c>
      <c r="Z57" s="1">
        <v>6.4</v>
      </c>
      <c r="AA57" s="1">
        <v>6.4</v>
      </c>
      <c r="AB57" s="1">
        <v>6.4</v>
      </c>
      <c r="AC57" s="1">
        <v>6.54</v>
      </c>
      <c r="AD57" s="1">
        <v>6.54</v>
      </c>
      <c r="AE57" s="1">
        <v>6.6617703124999998</v>
      </c>
      <c r="AF57" s="1">
        <v>6.6617703124999998</v>
      </c>
      <c r="AG57" s="1">
        <v>6.6617703124999998</v>
      </c>
      <c r="AH57" s="1">
        <v>6.6617703124999998</v>
      </c>
      <c r="AI57" s="1">
        <v>7.3195703124999989</v>
      </c>
      <c r="AJ57" s="1">
        <v>7.3195703124999989</v>
      </c>
      <c r="AK57" s="1">
        <v>7.3195703124999989</v>
      </c>
      <c r="AL57" s="1">
        <v>7.3195703124999989</v>
      </c>
      <c r="AM57" s="1">
        <v>7.3195703124999989</v>
      </c>
      <c r="AN57" s="1">
        <v>7.3195703124999989</v>
      </c>
      <c r="AO57" s="1">
        <v>7.3195703124999989</v>
      </c>
      <c r="AP57" s="1">
        <v>7.3195703124999989</v>
      </c>
      <c r="AQ57" s="1">
        <v>7.8807703124999993</v>
      </c>
      <c r="AR57" s="1">
        <v>7.8807703124999993</v>
      </c>
      <c r="AS57" s="1">
        <v>7.8807703124999993</v>
      </c>
      <c r="AT57" s="1">
        <v>7.8807703124999993</v>
      </c>
      <c r="AU57" s="1">
        <v>7.8807703124999993</v>
      </c>
      <c r="AV57" s="1">
        <v>7.8807703124999993</v>
      </c>
      <c r="AW57" s="1">
        <v>7.8807703124999993</v>
      </c>
      <c r="AX57" s="1">
        <v>7.8807703124999993</v>
      </c>
      <c r="AY57" s="1">
        <v>7.8807703124999993</v>
      </c>
      <c r="AZ57" s="1">
        <v>7.8807703124999993</v>
      </c>
      <c r="BA57" s="1">
        <v>7.8807703124999993</v>
      </c>
      <c r="BB57" s="1">
        <v>7.8807703124999993</v>
      </c>
      <c r="BC57" s="1">
        <v>7.8807703124999993</v>
      </c>
      <c r="BD57" s="1">
        <v>7.8807703124999993</v>
      </c>
      <c r="BE57" s="1">
        <v>7.8807703124999993</v>
      </c>
      <c r="BF57" s="1">
        <v>7.8807703124999993</v>
      </c>
      <c r="BG57" s="1">
        <v>7.8807703124999993</v>
      </c>
      <c r="BH57" s="1">
        <v>7.8807703124999993</v>
      </c>
      <c r="BI57" s="1">
        <v>7.8807703124999993</v>
      </c>
      <c r="BJ57" s="1">
        <v>7.8807703124999993</v>
      </c>
      <c r="BK57" s="1">
        <v>8.6167703124999981</v>
      </c>
      <c r="BL57" s="1">
        <v>8.6167703124999981</v>
      </c>
      <c r="BM57" s="1">
        <v>8.6167703124999981</v>
      </c>
      <c r="BN57" s="1">
        <v>8.6167703124999981</v>
      </c>
      <c r="BO57" s="1">
        <v>7.4460703124999981</v>
      </c>
      <c r="BP57" s="1">
        <v>7.4460703124999981</v>
      </c>
      <c r="BQ57" s="1">
        <v>7.4460703124999981</v>
      </c>
      <c r="BR57" s="1">
        <v>7.4460703124999981</v>
      </c>
      <c r="BS57" s="1">
        <v>6.8779703124999996</v>
      </c>
      <c r="BT57" s="1">
        <v>6.8779703124999996</v>
      </c>
      <c r="BU57" s="1">
        <v>6.8779703124999996</v>
      </c>
      <c r="BV57" s="1">
        <v>6.8779703124999996</v>
      </c>
      <c r="BW57" s="1">
        <v>6.9732406249999981</v>
      </c>
      <c r="BX57" s="1">
        <v>6.9732406249999981</v>
      </c>
      <c r="BY57" s="1">
        <v>6.9732406249999981</v>
      </c>
      <c r="BZ57" s="1">
        <v>6.9732406249999981</v>
      </c>
      <c r="CA57" s="1">
        <v>8.0437109375000002</v>
      </c>
      <c r="CB57" s="1">
        <v>8.0437109375000002</v>
      </c>
      <c r="CC57" s="1">
        <v>8.0437109375000002</v>
      </c>
      <c r="CD57" s="1">
        <v>8.0437109375000002</v>
      </c>
      <c r="CE57" s="1">
        <v>8.70018125</v>
      </c>
      <c r="CF57" s="1">
        <v>8.70018125</v>
      </c>
      <c r="CG57" s="1">
        <v>8.70018125</v>
      </c>
      <c r="CH57" s="1">
        <v>8.70018125</v>
      </c>
      <c r="CI57" s="1">
        <v>10.6308515625</v>
      </c>
      <c r="CJ57" s="1">
        <v>10.6308515625</v>
      </c>
      <c r="CK57" s="1">
        <v>10.6308515625</v>
      </c>
      <c r="CL57" s="1">
        <v>10.6308515625</v>
      </c>
      <c r="CM57" s="1">
        <v>12.288557875</v>
      </c>
      <c r="CN57" s="1">
        <v>12.288557875</v>
      </c>
    </row>
    <row r="58" spans="1:92" x14ac:dyDescent="0.35">
      <c r="A58" t="s">
        <v>32</v>
      </c>
      <c r="B58" s="1">
        <v>6.54</v>
      </c>
      <c r="C58" s="1">
        <v>6.71</v>
      </c>
      <c r="D58" s="1">
        <v>6.71</v>
      </c>
      <c r="E58" s="1">
        <v>6.64</v>
      </c>
      <c r="F58" s="1">
        <v>6.64</v>
      </c>
      <c r="G58" s="1">
        <v>6.82</v>
      </c>
      <c r="H58" s="1">
        <v>6.82</v>
      </c>
      <c r="I58" s="1">
        <v>6.82</v>
      </c>
      <c r="J58" s="1">
        <v>6.82</v>
      </c>
      <c r="K58" s="1">
        <v>7.16</v>
      </c>
      <c r="L58" s="1">
        <v>7.16</v>
      </c>
      <c r="M58" s="1">
        <v>7.16</v>
      </c>
      <c r="N58" s="1">
        <v>7.16</v>
      </c>
      <c r="O58" s="1">
        <v>7.16</v>
      </c>
      <c r="P58" s="1">
        <v>7.16</v>
      </c>
      <c r="Q58" s="1">
        <v>7.16</v>
      </c>
      <c r="R58" s="1">
        <v>7.16</v>
      </c>
      <c r="S58" s="1">
        <v>7.49</v>
      </c>
      <c r="T58" s="1">
        <v>7.49</v>
      </c>
      <c r="U58" s="1">
        <v>7.49</v>
      </c>
      <c r="V58" s="1">
        <v>7.49</v>
      </c>
      <c r="W58" s="1">
        <v>7.27</v>
      </c>
      <c r="X58" s="1">
        <v>7.27</v>
      </c>
      <c r="Y58" s="1">
        <v>7.27</v>
      </c>
      <c r="Z58" s="1">
        <v>7.27</v>
      </c>
      <c r="AA58" s="1">
        <v>7.81</v>
      </c>
      <c r="AB58" s="1">
        <v>7.81</v>
      </c>
      <c r="AC58" s="1">
        <v>7.99</v>
      </c>
      <c r="AD58" s="1">
        <v>7.99</v>
      </c>
      <c r="AE58" s="1">
        <v>8.3780156366874401</v>
      </c>
      <c r="AF58" s="1">
        <v>8.3780156366874401</v>
      </c>
      <c r="AG58" s="1">
        <v>8.3780156366874401</v>
      </c>
      <c r="AH58" s="1">
        <v>8.3780156366874401</v>
      </c>
      <c r="AI58" s="1">
        <v>9.0757674136634279</v>
      </c>
      <c r="AJ58" s="1">
        <v>9.0757674136634279</v>
      </c>
      <c r="AK58" s="1">
        <v>9.0757674136634279</v>
      </c>
      <c r="AL58" s="1">
        <v>9.0757674136634279</v>
      </c>
      <c r="AM58" s="1">
        <v>9.0757674136634279</v>
      </c>
      <c r="AN58" s="1">
        <v>9.0757674136634279</v>
      </c>
      <c r="AO58" s="1">
        <v>9.0757674136634279</v>
      </c>
      <c r="AP58" s="1">
        <v>9.0757674136634279</v>
      </c>
      <c r="AQ58" s="1">
        <v>10.040772071408332</v>
      </c>
      <c r="AR58" s="1">
        <v>10.040772071408332</v>
      </c>
      <c r="AS58" s="1">
        <v>10.040772071408332</v>
      </c>
      <c r="AT58" s="1">
        <v>10.040772071408332</v>
      </c>
      <c r="AU58" s="1">
        <v>9.9387273332856356</v>
      </c>
      <c r="AV58" s="1">
        <v>9.9387273332856356</v>
      </c>
      <c r="AW58" s="1">
        <v>9.9387273332856356</v>
      </c>
      <c r="AX58" s="1">
        <v>9.9387273332856356</v>
      </c>
      <c r="AY58" s="1">
        <v>10.221090680965048</v>
      </c>
      <c r="AZ58" s="1">
        <v>10.221090680965048</v>
      </c>
      <c r="BA58" s="1">
        <v>10.221090680965048</v>
      </c>
      <c r="BB58" s="1">
        <v>10.221090680965048</v>
      </c>
      <c r="BC58" s="1">
        <v>10.536946690599944</v>
      </c>
      <c r="BD58" s="1">
        <v>10.536946690599944</v>
      </c>
      <c r="BE58" s="1">
        <v>10.536946690599944</v>
      </c>
      <c r="BF58" s="1">
        <v>10.536946690599944</v>
      </c>
      <c r="BG58" s="1">
        <v>10.599264602948125</v>
      </c>
      <c r="BH58" s="1">
        <v>10.599264602948125</v>
      </c>
      <c r="BI58" s="1">
        <v>10.599264602948125</v>
      </c>
      <c r="BJ58" s="1">
        <v>10.599264602948125</v>
      </c>
      <c r="BK58" s="1">
        <v>10.702605429128193</v>
      </c>
      <c r="BL58" s="1">
        <v>10.702605429128193</v>
      </c>
      <c r="BM58" s="1">
        <v>10.702605429128193</v>
      </c>
      <c r="BN58" s="1">
        <v>10.702605429128193</v>
      </c>
      <c r="BO58" s="1">
        <v>10.123841212989678</v>
      </c>
      <c r="BP58" s="1">
        <v>10.123841212989678</v>
      </c>
      <c r="BQ58" s="1">
        <v>10.123841212989678</v>
      </c>
      <c r="BR58" s="1">
        <v>10.123841212989678</v>
      </c>
      <c r="BS58" s="1">
        <v>9.1233585593097182</v>
      </c>
      <c r="BT58" s="1">
        <v>9.1233585593097182</v>
      </c>
      <c r="BU58" s="1">
        <v>9.1233585593097182</v>
      </c>
      <c r="BV58" s="1">
        <v>9.1233585593097182</v>
      </c>
      <c r="BW58" s="1">
        <v>9.8038381266294934</v>
      </c>
      <c r="BX58" s="1">
        <v>9.8038381266294934</v>
      </c>
      <c r="BY58" s="1">
        <v>9.8038381266294934</v>
      </c>
      <c r="BZ58" s="1">
        <v>9.8038381266294934</v>
      </c>
      <c r="CA58" s="1">
        <v>9.3922076650000008</v>
      </c>
      <c r="CB58" s="1">
        <v>9.3922076650000008</v>
      </c>
      <c r="CC58" s="1">
        <v>9.3922076650000008</v>
      </c>
      <c r="CD58" s="1">
        <v>9.3922076650000008</v>
      </c>
      <c r="CE58" s="1">
        <v>10.038900436</v>
      </c>
      <c r="CF58" s="1">
        <v>10.038900436</v>
      </c>
      <c r="CG58" s="1">
        <v>10.038900436</v>
      </c>
      <c r="CH58" s="1">
        <v>10.038900436</v>
      </c>
      <c r="CI58" s="1">
        <v>12.3040622065063</v>
      </c>
      <c r="CJ58" s="1">
        <v>12.3040622065063</v>
      </c>
      <c r="CK58" s="1">
        <v>12.3040622065063</v>
      </c>
      <c r="CL58" s="1">
        <v>12.3040622065063</v>
      </c>
      <c r="CM58" s="1">
        <v>13.5515700025018</v>
      </c>
      <c r="CN58" s="1">
        <v>13.5515700025018</v>
      </c>
    </row>
    <row r="59" spans="1:92" x14ac:dyDescent="0.35">
      <c r="A59" t="s">
        <v>38</v>
      </c>
      <c r="B59" s="1">
        <v>9.11</v>
      </c>
      <c r="C59" s="1">
        <v>9.4700000000000006</v>
      </c>
      <c r="D59" s="1">
        <v>9.4700000000000006</v>
      </c>
      <c r="E59" s="1">
        <v>9.4700000000000006</v>
      </c>
      <c r="F59" s="1">
        <v>9.4700000000000006</v>
      </c>
      <c r="G59" s="1">
        <v>9.81</v>
      </c>
      <c r="H59" s="1">
        <v>9.81</v>
      </c>
      <c r="I59" s="1">
        <v>9.81</v>
      </c>
      <c r="J59" s="1">
        <v>9.81</v>
      </c>
      <c r="K59" s="1">
        <v>10.15</v>
      </c>
      <c r="L59" s="1">
        <v>10.15</v>
      </c>
      <c r="M59" s="1">
        <v>10.15</v>
      </c>
      <c r="N59" s="1">
        <v>10.15</v>
      </c>
      <c r="O59" s="1">
        <v>10.01</v>
      </c>
      <c r="P59" s="1">
        <v>10.01</v>
      </c>
      <c r="Q59" s="1">
        <v>10.01</v>
      </c>
      <c r="R59" s="1">
        <v>10.01</v>
      </c>
      <c r="S59" s="1">
        <v>10.64</v>
      </c>
      <c r="T59" s="1">
        <v>10.64</v>
      </c>
      <c r="U59" s="1">
        <v>10.64</v>
      </c>
      <c r="V59" s="1">
        <v>10.64</v>
      </c>
      <c r="W59" s="1">
        <v>10.73</v>
      </c>
      <c r="X59" s="1">
        <v>10.73</v>
      </c>
      <c r="Y59" s="1">
        <v>10.73</v>
      </c>
      <c r="Z59" s="1">
        <v>10.73</v>
      </c>
      <c r="AA59" s="1">
        <v>11.11</v>
      </c>
      <c r="AB59" s="1">
        <v>11.11</v>
      </c>
      <c r="AC59" s="1">
        <v>11.36</v>
      </c>
      <c r="AD59" s="1">
        <v>11.36</v>
      </c>
      <c r="AE59" s="1">
        <v>11.809170312499997</v>
      </c>
      <c r="AF59" s="1">
        <v>11.809170312499997</v>
      </c>
      <c r="AG59" s="1">
        <v>11.809170312499997</v>
      </c>
      <c r="AH59" s="1">
        <v>11.809170312499997</v>
      </c>
      <c r="AI59" s="1">
        <v>11.925320312499998</v>
      </c>
      <c r="AJ59" s="1">
        <v>11.925320312499998</v>
      </c>
      <c r="AK59" s="1">
        <v>11.925320312499998</v>
      </c>
      <c r="AL59" s="1">
        <v>11.925320312499998</v>
      </c>
      <c r="AM59" s="1">
        <v>12.343920312499998</v>
      </c>
      <c r="AN59" s="1">
        <v>12.343920312499998</v>
      </c>
      <c r="AO59" s="1">
        <v>12.343920312499998</v>
      </c>
      <c r="AP59" s="1">
        <v>12.343920312499998</v>
      </c>
      <c r="AQ59" s="1">
        <v>12.915470312499998</v>
      </c>
      <c r="AR59" s="1">
        <v>12.915470312499998</v>
      </c>
      <c r="AS59" s="1">
        <v>12.915470312499998</v>
      </c>
      <c r="AT59" s="1">
        <v>12.915470312499998</v>
      </c>
      <c r="AU59" s="1">
        <v>12.268020312499999</v>
      </c>
      <c r="AV59" s="1">
        <v>12.268020312499999</v>
      </c>
      <c r="AW59" s="1">
        <v>12.268020312499999</v>
      </c>
      <c r="AX59" s="1">
        <v>12.268020312499999</v>
      </c>
      <c r="AY59" s="1">
        <v>12.593470312499997</v>
      </c>
      <c r="AZ59" s="1">
        <v>12.593470312499997</v>
      </c>
      <c r="BA59" s="1">
        <v>12.593470312499997</v>
      </c>
      <c r="BB59" s="1">
        <v>12.593470312499997</v>
      </c>
      <c r="BC59" s="1">
        <v>13.361670312499999</v>
      </c>
      <c r="BD59" s="1">
        <v>13.361670312499999</v>
      </c>
      <c r="BE59" s="1">
        <v>13.361670312499999</v>
      </c>
      <c r="BF59" s="1">
        <v>13.361670312499999</v>
      </c>
      <c r="BG59" s="1">
        <v>12.354270312499999</v>
      </c>
      <c r="BH59" s="1">
        <v>12.354270312499999</v>
      </c>
      <c r="BI59" s="1">
        <v>12.354270312499999</v>
      </c>
      <c r="BJ59" s="1">
        <v>12.354270312499999</v>
      </c>
      <c r="BK59" s="1">
        <v>12.579670312499998</v>
      </c>
      <c r="BL59" s="1">
        <v>12.579670312499998</v>
      </c>
      <c r="BM59" s="1">
        <v>12.579670312499998</v>
      </c>
      <c r="BN59" s="1">
        <v>12.579670312499998</v>
      </c>
      <c r="BO59" s="1">
        <v>11.664270312499999</v>
      </c>
      <c r="BP59" s="1">
        <v>11.664270312499999</v>
      </c>
      <c r="BQ59" s="1">
        <v>11.664270312499999</v>
      </c>
      <c r="BR59" s="1">
        <v>11.664270312499999</v>
      </c>
      <c r="BS59" s="1">
        <v>12.511820312499999</v>
      </c>
      <c r="BT59" s="1">
        <v>12.511820312499999</v>
      </c>
      <c r="BU59" s="1">
        <v>12.511820312499999</v>
      </c>
      <c r="BV59" s="1">
        <v>12.511820312499999</v>
      </c>
      <c r="BW59" s="1">
        <v>11.882590625000001</v>
      </c>
      <c r="BX59" s="1">
        <v>11.882590625000001</v>
      </c>
      <c r="BY59" s="1">
        <v>11.882590625000001</v>
      </c>
      <c r="BZ59" s="1">
        <v>11.882590625000001</v>
      </c>
      <c r="CA59" s="1">
        <v>12.5551609375</v>
      </c>
      <c r="CB59" s="1">
        <v>12.5551609375</v>
      </c>
      <c r="CC59" s="1">
        <v>12.5551609375</v>
      </c>
      <c r="CD59" s="1">
        <v>12.5551609375</v>
      </c>
      <c r="CE59" s="1">
        <v>13.018431250000001</v>
      </c>
      <c r="CF59" s="1">
        <v>13.018431250000001</v>
      </c>
      <c r="CG59" s="1">
        <v>13.018431250000001</v>
      </c>
      <c r="CH59" s="1">
        <v>13.018431250000001</v>
      </c>
      <c r="CI59" s="1">
        <v>16.1980015625</v>
      </c>
      <c r="CJ59" s="1">
        <v>16.1980015625</v>
      </c>
      <c r="CK59" s="1">
        <v>16.1980015625</v>
      </c>
      <c r="CL59" s="1">
        <v>16.1980015625</v>
      </c>
      <c r="CM59" s="1">
        <v>17.191120574999999</v>
      </c>
      <c r="CN59" s="1">
        <v>17.191120574999999</v>
      </c>
    </row>
    <row r="60" spans="1:92" x14ac:dyDescent="0.35">
      <c r="A60" t="s">
        <v>39</v>
      </c>
      <c r="B60" s="1">
        <v>7.86</v>
      </c>
      <c r="C60" s="1">
        <v>7.86</v>
      </c>
      <c r="D60" s="1">
        <v>7.86</v>
      </c>
      <c r="E60" s="1">
        <v>7.86</v>
      </c>
      <c r="F60" s="1">
        <v>7.86</v>
      </c>
      <c r="G60" s="1">
        <v>7.86</v>
      </c>
      <c r="H60" s="1">
        <v>7.86</v>
      </c>
      <c r="I60" s="1">
        <v>8.0371703124999989</v>
      </c>
      <c r="J60" s="1">
        <v>8.0371703124999989</v>
      </c>
      <c r="K60" s="1">
        <v>8.0371703124999989</v>
      </c>
      <c r="L60" s="1">
        <v>8.0371703124999989</v>
      </c>
      <c r="M60" s="1">
        <v>8.0371703124999989</v>
      </c>
      <c r="N60" s="1">
        <v>8.0371703124999989</v>
      </c>
      <c r="O60" s="1">
        <v>8.5121203124999987</v>
      </c>
      <c r="P60" s="1">
        <v>8.5121203124999987</v>
      </c>
      <c r="Q60" s="1">
        <v>8.5121203124999987</v>
      </c>
      <c r="R60" s="1">
        <v>8.5121203124999987</v>
      </c>
      <c r="S60" s="1">
        <v>8.9767203124999995</v>
      </c>
      <c r="T60" s="1">
        <v>8.9767203124999995</v>
      </c>
      <c r="U60" s="1">
        <v>8.9767203124999995</v>
      </c>
      <c r="V60" s="1">
        <v>8.9767203124999995</v>
      </c>
      <c r="W60" s="1">
        <v>8.9767203124999995</v>
      </c>
      <c r="X60" s="1">
        <v>8.9767203124999995</v>
      </c>
      <c r="Y60" s="1">
        <v>8.9767203124999995</v>
      </c>
      <c r="Z60" s="1">
        <v>9.6161203124999979</v>
      </c>
      <c r="AA60" s="1">
        <v>9.6161203124999979</v>
      </c>
      <c r="AB60" s="1">
        <v>9.6161203124999979</v>
      </c>
      <c r="AC60" s="1">
        <v>9.6161203124999979</v>
      </c>
      <c r="AD60" s="1">
        <v>9.6161203124999979</v>
      </c>
      <c r="AE60" s="1">
        <v>9.8702703125000006</v>
      </c>
      <c r="AF60" s="1">
        <v>9.8702703125000006</v>
      </c>
      <c r="AG60" s="1">
        <v>9.8702703125000006</v>
      </c>
      <c r="AH60" s="1">
        <v>9.8702703125000006</v>
      </c>
      <c r="AI60" s="1">
        <v>10.963920312499999</v>
      </c>
      <c r="AJ60" s="1">
        <v>10.963920312499999</v>
      </c>
      <c r="AK60" s="1">
        <v>10.963920312499999</v>
      </c>
      <c r="AL60" s="1">
        <v>10.963920312499999</v>
      </c>
      <c r="AM60" s="1">
        <v>10.963920312499999</v>
      </c>
      <c r="AN60" s="1">
        <v>10.963920312499999</v>
      </c>
      <c r="AO60" s="1">
        <v>10.963920312499999</v>
      </c>
      <c r="AP60" s="1">
        <v>10.963920312499999</v>
      </c>
      <c r="AQ60" s="1">
        <v>11.480270312499998</v>
      </c>
      <c r="AR60" s="1">
        <v>11.480270312499998</v>
      </c>
      <c r="AS60" s="1">
        <v>11.480270312499998</v>
      </c>
      <c r="AT60" s="1">
        <v>11.480270312499998</v>
      </c>
      <c r="AU60" s="1">
        <v>11.710270312499999</v>
      </c>
      <c r="AV60" s="1">
        <v>11.710270312499999</v>
      </c>
      <c r="AW60" s="1">
        <v>11.710270312499999</v>
      </c>
      <c r="AX60" s="1">
        <v>11.710270312499999</v>
      </c>
      <c r="AY60" s="1">
        <v>11.710270312499999</v>
      </c>
      <c r="AZ60" s="1">
        <v>11.710270312499999</v>
      </c>
      <c r="BA60" s="1">
        <v>11.710270312499999</v>
      </c>
      <c r="BB60" s="1">
        <v>11.710270312499999</v>
      </c>
      <c r="BC60" s="1">
        <v>12.6371703125</v>
      </c>
      <c r="BD60" s="1">
        <v>12.6371703125</v>
      </c>
      <c r="BE60" s="1">
        <v>12.6371703125</v>
      </c>
      <c r="BF60" s="1">
        <v>12.6371703125</v>
      </c>
      <c r="BG60" s="1">
        <v>12.637170312499999</v>
      </c>
      <c r="BH60" s="1">
        <v>12.637170312499999</v>
      </c>
      <c r="BI60" s="1">
        <v>12.637170312499999</v>
      </c>
      <c r="BJ60" s="1">
        <v>12.637170312499999</v>
      </c>
      <c r="BK60" s="1">
        <v>12.866020312499998</v>
      </c>
      <c r="BL60" s="1">
        <v>12.866020312499998</v>
      </c>
      <c r="BM60" s="1">
        <v>12.866020312499998</v>
      </c>
      <c r="BN60" s="1">
        <v>12.866020312499998</v>
      </c>
      <c r="BO60" s="1">
        <v>11.444620312499998</v>
      </c>
      <c r="BP60" s="1">
        <v>11.444620312499998</v>
      </c>
      <c r="BQ60" s="1">
        <v>11.444620312499998</v>
      </c>
      <c r="BR60" s="1">
        <v>11.444620312499998</v>
      </c>
      <c r="BS60" s="1">
        <v>12.057570312500001</v>
      </c>
      <c r="BT60" s="1">
        <v>12.057570312500001</v>
      </c>
      <c r="BU60" s="1">
        <v>12.057570312500001</v>
      </c>
      <c r="BV60" s="1">
        <v>12.057570312500001</v>
      </c>
      <c r="BW60" s="1">
        <v>13.351140624999998</v>
      </c>
      <c r="BX60" s="1">
        <v>13.351140624999998</v>
      </c>
      <c r="BY60" s="1">
        <v>13.351140624999998</v>
      </c>
      <c r="BZ60" s="1">
        <v>13.351140624999998</v>
      </c>
      <c r="CA60" s="1">
        <v>14.943710937500001</v>
      </c>
      <c r="CB60" s="1">
        <v>14.943710937500001</v>
      </c>
      <c r="CC60" s="1">
        <v>14.943710937500001</v>
      </c>
      <c r="CD60" s="1">
        <v>14.943710937500001</v>
      </c>
      <c r="CE60" s="1">
        <v>16.77778125</v>
      </c>
      <c r="CF60" s="1">
        <v>16.77778125</v>
      </c>
      <c r="CG60" s="1">
        <v>16.77778125</v>
      </c>
      <c r="CH60" s="1">
        <v>16.77778125</v>
      </c>
      <c r="CI60" s="1">
        <v>20.256351562500001</v>
      </c>
      <c r="CJ60" s="1">
        <v>20.256351562500001</v>
      </c>
      <c r="CK60" s="1">
        <v>20.256351562500001</v>
      </c>
      <c r="CL60" s="1">
        <v>20.256351562500001</v>
      </c>
      <c r="CM60" s="1">
        <v>20.295271875000001</v>
      </c>
      <c r="CN60" s="1">
        <v>20.295271875000001</v>
      </c>
    </row>
    <row r="61" spans="1:92" x14ac:dyDescent="0.35">
      <c r="A61" t="s">
        <v>42</v>
      </c>
      <c r="B61" s="1">
        <v>5.44</v>
      </c>
      <c r="C61" s="1">
        <v>5.44</v>
      </c>
      <c r="D61" s="1">
        <v>5.44</v>
      </c>
      <c r="E61" s="1">
        <v>5.44</v>
      </c>
      <c r="F61" s="1">
        <v>5.44</v>
      </c>
      <c r="G61" s="1">
        <v>5.44</v>
      </c>
      <c r="H61" s="1">
        <v>5.44</v>
      </c>
      <c r="I61" s="1">
        <v>5.8464203124999994</v>
      </c>
      <c r="J61" s="1">
        <v>5.8464203124999994</v>
      </c>
      <c r="K61" s="1">
        <v>5.8464203124999994</v>
      </c>
      <c r="L61" s="1">
        <v>5.8464203124999994</v>
      </c>
      <c r="M61" s="1">
        <v>5.8464203124999994</v>
      </c>
      <c r="N61" s="1">
        <v>5.8464203124999994</v>
      </c>
      <c r="O61" s="1">
        <v>6.3213703124999991</v>
      </c>
      <c r="P61" s="1">
        <v>6.3213703124999991</v>
      </c>
      <c r="Q61" s="1">
        <v>6.3213703124999991</v>
      </c>
      <c r="R61" s="1">
        <v>6.3213703124999991</v>
      </c>
      <c r="S61" s="1">
        <v>6.7859703124999982</v>
      </c>
      <c r="T61" s="1">
        <v>6.7859703124999982</v>
      </c>
      <c r="U61" s="1">
        <v>6.7859703124999982</v>
      </c>
      <c r="V61" s="1">
        <v>6.7859703124999982</v>
      </c>
      <c r="W61" s="1">
        <v>6.7859703124999982</v>
      </c>
      <c r="X61" s="1">
        <v>6.7859703124999982</v>
      </c>
      <c r="Y61" s="1">
        <v>6.7859703124999982</v>
      </c>
      <c r="Z61" s="1">
        <v>7.4253703125000001</v>
      </c>
      <c r="AA61" s="1">
        <v>7.4253703125000001</v>
      </c>
      <c r="AB61" s="1">
        <v>7.4253703125000001</v>
      </c>
      <c r="AC61" s="1">
        <v>7.4253703125000001</v>
      </c>
      <c r="AD61" s="1">
        <v>7.4253703125000001</v>
      </c>
      <c r="AE61" s="1">
        <v>7.6795203125000002</v>
      </c>
      <c r="AF61" s="1">
        <v>7.6795203125000002</v>
      </c>
      <c r="AG61" s="1">
        <v>7.6795203125000002</v>
      </c>
      <c r="AH61" s="1">
        <v>7.6795203125000002</v>
      </c>
      <c r="AI61" s="1">
        <v>8.7731703124999996</v>
      </c>
      <c r="AJ61" s="1">
        <v>8.7731703124999996</v>
      </c>
      <c r="AK61" s="1">
        <v>8.7731703124999996</v>
      </c>
      <c r="AL61" s="1">
        <v>8.7731703124999996</v>
      </c>
      <c r="AM61" s="1">
        <v>8.7731703124999996</v>
      </c>
      <c r="AN61" s="1">
        <v>8.7731703124999996</v>
      </c>
      <c r="AO61" s="1">
        <v>8.7731703124999996</v>
      </c>
      <c r="AP61" s="1">
        <v>8.7731703124999996</v>
      </c>
      <c r="AQ61" s="1">
        <v>9.2895203124999988</v>
      </c>
      <c r="AR61" s="1">
        <v>9.2895203124999988</v>
      </c>
      <c r="AS61" s="1">
        <v>9.2895203124999988</v>
      </c>
      <c r="AT61" s="1">
        <v>9.2895203124999988</v>
      </c>
      <c r="AU61" s="1">
        <v>9.5195203124999992</v>
      </c>
      <c r="AV61" s="1">
        <v>9.5195203124999992</v>
      </c>
      <c r="AW61" s="1">
        <v>9.5195203124999992</v>
      </c>
      <c r="AX61" s="1">
        <v>9.5195203124999992</v>
      </c>
      <c r="AY61" s="1">
        <v>9.5195203124999992</v>
      </c>
      <c r="AZ61" s="1">
        <v>9.5195203124999992</v>
      </c>
      <c r="BA61" s="1">
        <v>9.5195203124999992</v>
      </c>
      <c r="BB61" s="1">
        <v>9.5195203124999992</v>
      </c>
      <c r="BC61" s="1">
        <v>10.321070312499998</v>
      </c>
      <c r="BD61" s="1">
        <v>10.321070312499998</v>
      </c>
      <c r="BE61" s="1">
        <v>10.321070312499998</v>
      </c>
      <c r="BF61" s="1">
        <v>10.321070312499998</v>
      </c>
      <c r="BG61" s="1">
        <v>10.321070312499998</v>
      </c>
      <c r="BH61" s="1">
        <v>10.321070312499998</v>
      </c>
      <c r="BI61" s="1">
        <v>10.321070312499998</v>
      </c>
      <c r="BJ61" s="1">
        <v>10.321070312499998</v>
      </c>
      <c r="BK61" s="1">
        <v>10.549920312499999</v>
      </c>
      <c r="BL61" s="1">
        <v>10.549920312499999</v>
      </c>
      <c r="BM61" s="1">
        <v>10.549920312499999</v>
      </c>
      <c r="BN61" s="1">
        <v>10.549920312499999</v>
      </c>
      <c r="BO61" s="1">
        <v>11.444620312499998</v>
      </c>
      <c r="BP61" s="1">
        <v>11.444620312499998</v>
      </c>
      <c r="BQ61" s="1">
        <v>11.444620312499998</v>
      </c>
      <c r="BR61" s="1">
        <v>11.444620312499998</v>
      </c>
      <c r="BS61" s="1">
        <v>12.057570312500001</v>
      </c>
      <c r="BT61" s="1">
        <v>12.057570312500001</v>
      </c>
      <c r="BU61" s="1">
        <v>12.057570312500001</v>
      </c>
      <c r="BV61" s="1">
        <v>12.057570312500001</v>
      </c>
      <c r="BW61" s="1">
        <v>13.351140624999998</v>
      </c>
      <c r="BX61" s="1">
        <v>13.351140624999998</v>
      </c>
      <c r="BY61" s="1">
        <v>13.351140624999998</v>
      </c>
      <c r="BZ61" s="1">
        <v>13.351140624999998</v>
      </c>
      <c r="CA61" s="1">
        <v>14.943710937500001</v>
      </c>
      <c r="CB61" s="1">
        <v>14.943710937500001</v>
      </c>
      <c r="CC61" s="1">
        <v>14.943710937500001</v>
      </c>
      <c r="CD61" s="1">
        <v>14.943710937500001</v>
      </c>
      <c r="CE61" s="1">
        <v>16.77778125</v>
      </c>
      <c r="CF61" s="1">
        <v>16.77778125</v>
      </c>
      <c r="CG61" s="1">
        <v>16.77778125</v>
      </c>
      <c r="CH61" s="1">
        <v>16.77778125</v>
      </c>
      <c r="CI61" s="1">
        <v>20.256351562500001</v>
      </c>
      <c r="CJ61" s="1">
        <v>20.256351562500001</v>
      </c>
      <c r="CK61" s="1">
        <v>20.256351562500001</v>
      </c>
      <c r="CL61" s="1">
        <v>20.256351562500001</v>
      </c>
      <c r="CM61" s="1">
        <v>20.295271875000001</v>
      </c>
      <c r="CN61" s="1">
        <v>20.295271875000001</v>
      </c>
    </row>
    <row r="62" spans="1:92" x14ac:dyDescent="0.35">
      <c r="A62" t="s">
        <v>43</v>
      </c>
      <c r="B62" s="1">
        <v>6.4</v>
      </c>
      <c r="C62" s="1">
        <v>6.4</v>
      </c>
      <c r="D62" s="1">
        <v>7.17</v>
      </c>
      <c r="E62" s="1">
        <v>7.17</v>
      </c>
      <c r="F62" s="1">
        <v>7.17</v>
      </c>
      <c r="G62" s="1">
        <v>7.82</v>
      </c>
      <c r="H62" s="1">
        <v>7.82</v>
      </c>
      <c r="I62" s="1">
        <v>7.82</v>
      </c>
      <c r="J62" s="1">
        <v>7.82</v>
      </c>
      <c r="K62" s="1">
        <v>7.82</v>
      </c>
      <c r="L62" s="1">
        <v>7.82</v>
      </c>
      <c r="M62" s="1">
        <v>7.82</v>
      </c>
      <c r="N62" s="1">
        <v>7.82</v>
      </c>
      <c r="O62" s="1">
        <v>8.73</v>
      </c>
      <c r="P62" s="1">
        <v>8.73</v>
      </c>
      <c r="Q62" s="1">
        <v>8.73</v>
      </c>
      <c r="R62" s="1">
        <v>8.73</v>
      </c>
      <c r="S62" s="1">
        <v>10.28</v>
      </c>
      <c r="T62" s="1">
        <v>10.28</v>
      </c>
      <c r="U62" s="1">
        <v>10.28</v>
      </c>
      <c r="V62" s="1">
        <v>10.28</v>
      </c>
      <c r="W62" s="1">
        <v>10.28</v>
      </c>
      <c r="X62" s="1">
        <v>10.28</v>
      </c>
      <c r="Y62" s="1">
        <v>10.28</v>
      </c>
      <c r="Z62" s="1">
        <v>10.28</v>
      </c>
      <c r="AA62" s="1">
        <v>10.87</v>
      </c>
      <c r="AB62" s="1">
        <v>10.87</v>
      </c>
      <c r="AC62" s="1">
        <v>11.11</v>
      </c>
      <c r="AD62" s="1">
        <v>11.11</v>
      </c>
      <c r="AE62" s="1">
        <v>11.33811234375</v>
      </c>
      <c r="AF62" s="1">
        <v>11.33811234375</v>
      </c>
      <c r="AG62" s="1">
        <v>11.33811234375</v>
      </c>
      <c r="AH62" s="1">
        <v>11.33811234375</v>
      </c>
      <c r="AI62" s="1">
        <v>12.365770312499999</v>
      </c>
      <c r="AJ62" s="1">
        <v>12.365770312499999</v>
      </c>
      <c r="AK62" s="1">
        <v>12.365770312499999</v>
      </c>
      <c r="AL62" s="1">
        <v>12.365770312499999</v>
      </c>
      <c r="AM62" s="1">
        <v>13.577870312499998</v>
      </c>
      <c r="AN62" s="1">
        <v>13.577870312499998</v>
      </c>
      <c r="AO62" s="1">
        <v>13.577870312499998</v>
      </c>
      <c r="AP62" s="1">
        <v>13.577870312499998</v>
      </c>
      <c r="AQ62" s="1">
        <v>14.108250312500001</v>
      </c>
      <c r="AR62" s="1">
        <v>14.108250312500001</v>
      </c>
      <c r="AS62" s="1">
        <v>14.108250312500001</v>
      </c>
      <c r="AT62" s="1">
        <v>14.108250312500001</v>
      </c>
      <c r="AU62" s="1">
        <v>14.108250312499997</v>
      </c>
      <c r="AV62" s="1">
        <v>14.108250312499997</v>
      </c>
      <c r="AW62" s="1">
        <v>14.108250312499997</v>
      </c>
      <c r="AX62" s="1">
        <v>14.108250312499997</v>
      </c>
      <c r="AY62" s="1">
        <v>14.108250312499999</v>
      </c>
      <c r="AZ62" s="1">
        <v>14.108250312499999</v>
      </c>
      <c r="BA62" s="1">
        <v>14.459460312500003</v>
      </c>
      <c r="BB62" s="1">
        <v>14.459460312500003</v>
      </c>
      <c r="BC62" s="1">
        <v>14.459460312500003</v>
      </c>
      <c r="BD62" s="1">
        <v>14.459460312500003</v>
      </c>
      <c r="BE62" s="1">
        <v>14.459460312500003</v>
      </c>
      <c r="BF62" s="1">
        <v>14.459460312500003</v>
      </c>
      <c r="BG62" s="1">
        <v>14.674970312500001</v>
      </c>
      <c r="BH62" s="1">
        <v>14.674970312500001</v>
      </c>
      <c r="BI62" s="1">
        <v>14.674970312500001</v>
      </c>
      <c r="BJ62" s="1">
        <v>14.674970312500001</v>
      </c>
      <c r="BK62" s="1">
        <v>14.801470312499998</v>
      </c>
      <c r="BL62" s="1">
        <v>14.801470312499998</v>
      </c>
      <c r="BM62" s="1">
        <v>14.801470312499998</v>
      </c>
      <c r="BN62" s="1">
        <v>14.801470312499998</v>
      </c>
      <c r="BO62" s="1">
        <v>14.697970312500001</v>
      </c>
      <c r="BP62" s="1">
        <v>14.697970312500001</v>
      </c>
      <c r="BQ62" s="1">
        <v>14.697970312500001</v>
      </c>
      <c r="BR62" s="1">
        <v>14.697970312500001</v>
      </c>
      <c r="BS62" s="1">
        <v>14.760070312500002</v>
      </c>
      <c r="BT62" s="1">
        <v>14.760070312500002</v>
      </c>
      <c r="BU62" s="1">
        <v>14.760070312500002</v>
      </c>
      <c r="BV62" s="1">
        <v>14.760070312500002</v>
      </c>
      <c r="BW62" s="1">
        <v>15.034740624999998</v>
      </c>
      <c r="BX62" s="1">
        <v>15.034740624999998</v>
      </c>
      <c r="BY62" s="1">
        <v>15.034740624999998</v>
      </c>
      <c r="BZ62" s="1">
        <v>15.034740624999998</v>
      </c>
      <c r="CA62" s="1">
        <v>15.6682109375</v>
      </c>
      <c r="CB62" s="1">
        <v>15.6682109375</v>
      </c>
      <c r="CC62" s="1">
        <v>15.6682109375</v>
      </c>
      <c r="CD62" s="1">
        <v>15.6682109375</v>
      </c>
      <c r="CE62" s="1">
        <v>16.522481249999998</v>
      </c>
      <c r="CF62" s="1">
        <v>16.522481249999998</v>
      </c>
      <c r="CG62" s="1">
        <v>16.522481249999998</v>
      </c>
      <c r="CH62" s="1">
        <v>16.522481249999998</v>
      </c>
      <c r="CI62" s="1">
        <v>18.041451562500001</v>
      </c>
      <c r="CJ62" s="1">
        <v>18.041451562500001</v>
      </c>
      <c r="CK62" s="1">
        <v>18.041451562500001</v>
      </c>
      <c r="CL62" s="1">
        <v>18.041451562500001</v>
      </c>
      <c r="CM62" s="1">
        <v>19.029121875000001</v>
      </c>
      <c r="CN62" s="1">
        <v>19.029121875000001</v>
      </c>
    </row>
    <row r="63" spans="1:92" x14ac:dyDescent="0.35">
      <c r="A63" t="s">
        <v>46</v>
      </c>
      <c r="B63" s="1">
        <v>6.44</v>
      </c>
      <c r="C63" s="1">
        <v>6.53</v>
      </c>
      <c r="D63" s="1">
        <v>6.53</v>
      </c>
      <c r="E63" s="1">
        <v>6.53</v>
      </c>
      <c r="F63" s="1">
        <v>6.53</v>
      </c>
      <c r="G63" s="1">
        <v>6.72</v>
      </c>
      <c r="H63" s="1">
        <v>6.72</v>
      </c>
      <c r="I63" s="1">
        <v>6.72</v>
      </c>
      <c r="J63" s="1">
        <v>6.72</v>
      </c>
      <c r="K63" s="1">
        <v>6.9</v>
      </c>
      <c r="L63" s="1">
        <v>6.9</v>
      </c>
      <c r="M63" s="1">
        <v>6.9</v>
      </c>
      <c r="N63" s="1">
        <v>6.9</v>
      </c>
      <c r="O63" s="1">
        <v>6.96</v>
      </c>
      <c r="P63" s="1">
        <v>6.96</v>
      </c>
      <c r="Q63" s="1">
        <v>6.96</v>
      </c>
      <c r="R63" s="1">
        <v>6.96</v>
      </c>
      <c r="S63" s="1">
        <v>7.63</v>
      </c>
      <c r="T63" s="1">
        <v>7.63</v>
      </c>
      <c r="U63" s="1">
        <v>7.63</v>
      </c>
      <c r="V63" s="1">
        <v>7.63</v>
      </c>
      <c r="W63" s="1">
        <v>7.24</v>
      </c>
      <c r="X63" s="1">
        <v>7.24</v>
      </c>
      <c r="Y63" s="1">
        <v>7.24</v>
      </c>
      <c r="Z63" s="1">
        <v>7.24</v>
      </c>
      <c r="AA63" s="1">
        <v>7.79</v>
      </c>
      <c r="AB63" s="1">
        <v>7.79</v>
      </c>
      <c r="AC63" s="1">
        <v>7.96</v>
      </c>
      <c r="AD63" s="1">
        <v>7.96</v>
      </c>
      <c r="AE63" s="1">
        <v>8.0739523437500011</v>
      </c>
      <c r="AF63" s="1">
        <v>8.0739523437500011</v>
      </c>
      <c r="AG63" s="1">
        <v>8.0739523437500011</v>
      </c>
      <c r="AH63" s="1">
        <v>8.0739523437500011</v>
      </c>
      <c r="AI63" s="1">
        <v>8.759370312499998</v>
      </c>
      <c r="AJ63" s="1">
        <v>8.759370312499998</v>
      </c>
      <c r="AK63" s="1">
        <v>8.759370312499998</v>
      </c>
      <c r="AL63" s="1">
        <v>8.759370312499998</v>
      </c>
      <c r="AM63" s="1">
        <v>9.1871703124999975</v>
      </c>
      <c r="AN63" s="1">
        <v>9.1871703124999975</v>
      </c>
      <c r="AO63" s="1">
        <v>9.1871703124999975</v>
      </c>
      <c r="AP63" s="1">
        <v>9.1871703124999975</v>
      </c>
      <c r="AQ63" s="1">
        <v>9.987570312499999</v>
      </c>
      <c r="AR63" s="1">
        <v>9.987570312499999</v>
      </c>
      <c r="AS63" s="1">
        <v>9.987570312499999</v>
      </c>
      <c r="AT63" s="1">
        <v>9.987570312499999</v>
      </c>
      <c r="AU63" s="1">
        <v>9.6655703124999999</v>
      </c>
      <c r="AV63" s="1">
        <v>9.6655703124999999</v>
      </c>
      <c r="AW63" s="1">
        <v>9.6655703124999999</v>
      </c>
      <c r="AX63" s="1">
        <v>9.6655703124999999</v>
      </c>
      <c r="AY63" s="1">
        <v>10.033570312499998</v>
      </c>
      <c r="AZ63" s="1">
        <v>10.033570312499998</v>
      </c>
      <c r="BA63" s="1">
        <v>10.033570312499998</v>
      </c>
      <c r="BB63" s="1">
        <v>10.033570312499998</v>
      </c>
      <c r="BC63" s="1">
        <v>9.6927103124999974</v>
      </c>
      <c r="BD63" s="1">
        <v>9.6927103124999974</v>
      </c>
      <c r="BE63" s="1">
        <v>9.6927103124999974</v>
      </c>
      <c r="BF63" s="1">
        <v>9.6927103124999974</v>
      </c>
      <c r="BG63" s="1">
        <v>9.5712703124999994</v>
      </c>
      <c r="BH63" s="1">
        <v>9.5712703124999994</v>
      </c>
      <c r="BI63" s="1">
        <v>9.5712703124999994</v>
      </c>
      <c r="BJ63" s="1">
        <v>9.5712703124999994</v>
      </c>
      <c r="BK63" s="1">
        <v>9.2906703124999996</v>
      </c>
      <c r="BL63" s="1">
        <v>9.2906703124999996</v>
      </c>
      <c r="BM63" s="1">
        <v>9.2906703124999996</v>
      </c>
      <c r="BN63" s="1">
        <v>9.2906703124999996</v>
      </c>
      <c r="BO63" s="1">
        <v>8.7547703124999998</v>
      </c>
      <c r="BP63" s="1">
        <v>8.7547703124999998</v>
      </c>
      <c r="BQ63" s="1">
        <v>8.7547703124999998</v>
      </c>
      <c r="BR63" s="1">
        <v>8.7547703124999998</v>
      </c>
      <c r="BS63" s="1">
        <v>8.5477703124999991</v>
      </c>
      <c r="BT63" s="1">
        <v>8.5477703124999991</v>
      </c>
      <c r="BU63" s="1">
        <v>8.5477703124999991</v>
      </c>
      <c r="BV63" s="1">
        <v>8.5477703124999991</v>
      </c>
      <c r="BW63" s="1">
        <v>8.1876406250000002</v>
      </c>
      <c r="BX63" s="1">
        <v>8.1876406250000002</v>
      </c>
      <c r="BY63" s="1">
        <v>8.1876406250000002</v>
      </c>
      <c r="BZ63" s="1">
        <v>8.1876406250000002</v>
      </c>
      <c r="CA63" s="1">
        <v>7.8137109374999998</v>
      </c>
      <c r="CB63" s="1">
        <v>7.8137109374999998</v>
      </c>
      <c r="CC63" s="1">
        <v>7.8137109374999998</v>
      </c>
      <c r="CD63" s="1">
        <v>7.8137109374999998</v>
      </c>
      <c r="CE63" s="1">
        <v>8.4862812499999993</v>
      </c>
      <c r="CF63" s="1">
        <v>8.4862812499999993</v>
      </c>
      <c r="CG63" s="1">
        <v>8.4862812499999993</v>
      </c>
      <c r="CH63" s="1">
        <v>8.4862812499999993</v>
      </c>
      <c r="CI63" s="1">
        <v>10.517139562500001</v>
      </c>
      <c r="CJ63" s="1">
        <v>10.517139562500001</v>
      </c>
      <c r="CK63" s="1">
        <v>10.517139562500001</v>
      </c>
      <c r="CL63" s="1">
        <v>10.517139562500001</v>
      </c>
      <c r="CM63" s="1">
        <v>11.459821874999999</v>
      </c>
      <c r="CN63" s="1">
        <v>11.459821874999999</v>
      </c>
    </row>
    <row r="64" spans="1:92" x14ac:dyDescent="0.35">
      <c r="A64" t="s">
        <v>47</v>
      </c>
      <c r="B64" s="1">
        <v>5.88</v>
      </c>
      <c r="C64" s="1">
        <v>5.99</v>
      </c>
      <c r="D64" s="1">
        <v>5.99</v>
      </c>
      <c r="E64" s="1">
        <v>5.99</v>
      </c>
      <c r="F64" s="1">
        <v>5.99</v>
      </c>
      <c r="G64" s="1">
        <v>6.29</v>
      </c>
      <c r="H64" s="1">
        <v>6.29</v>
      </c>
      <c r="I64" s="1">
        <v>6.29</v>
      </c>
      <c r="J64" s="1">
        <v>6.29</v>
      </c>
      <c r="K64" s="1">
        <v>6.69</v>
      </c>
      <c r="L64" s="1">
        <v>6.69</v>
      </c>
      <c r="M64" s="1">
        <v>6.69</v>
      </c>
      <c r="N64" s="1">
        <v>6.69</v>
      </c>
      <c r="O64" s="1">
        <v>6.63</v>
      </c>
      <c r="P64" s="1">
        <v>6.63</v>
      </c>
      <c r="Q64" s="1">
        <v>6.63</v>
      </c>
      <c r="R64" s="1">
        <v>6.63</v>
      </c>
      <c r="S64" s="1">
        <v>7.17</v>
      </c>
      <c r="T64" s="1">
        <v>7.17</v>
      </c>
      <c r="U64" s="1">
        <v>7.17</v>
      </c>
      <c r="V64" s="1">
        <v>7.17</v>
      </c>
      <c r="W64" s="1">
        <v>7.38</v>
      </c>
      <c r="X64" s="1">
        <v>7.38</v>
      </c>
      <c r="Y64" s="1">
        <v>7.38</v>
      </c>
      <c r="Z64" s="1">
        <v>7.38</v>
      </c>
      <c r="AA64" s="1">
        <v>7.59</v>
      </c>
      <c r="AB64" s="1">
        <v>7.59</v>
      </c>
      <c r="AC64" s="1">
        <v>7.76</v>
      </c>
      <c r="AD64" s="1">
        <v>7.76</v>
      </c>
      <c r="AE64" s="1">
        <v>7.9129703124999988</v>
      </c>
      <c r="AF64" s="1">
        <v>7.9129703124999988</v>
      </c>
      <c r="AG64" s="1">
        <v>7.9129703124999988</v>
      </c>
      <c r="AH64" s="1">
        <v>7.9129703124999988</v>
      </c>
      <c r="AI64" s="1">
        <v>8.2027703124999984</v>
      </c>
      <c r="AJ64" s="1">
        <v>8.2027703124999984</v>
      </c>
      <c r="AK64" s="1">
        <v>8.2027703124999984</v>
      </c>
      <c r="AL64" s="1">
        <v>8.2027703124999984</v>
      </c>
      <c r="AM64" s="1">
        <v>9.0123703124999981</v>
      </c>
      <c r="AN64" s="1">
        <v>9.0123703124999981</v>
      </c>
      <c r="AO64" s="1">
        <v>9.0123703124999981</v>
      </c>
      <c r="AP64" s="1">
        <v>9.0123703124999981</v>
      </c>
      <c r="AQ64" s="1">
        <v>9.2837703124999997</v>
      </c>
      <c r="AR64" s="1">
        <v>9.2837703124999997</v>
      </c>
      <c r="AS64" s="1">
        <v>9.2837703124999997</v>
      </c>
      <c r="AT64" s="1">
        <v>9.2837703124999997</v>
      </c>
      <c r="AU64" s="1">
        <v>9.0974703124999987</v>
      </c>
      <c r="AV64" s="1">
        <v>9.0974703124999987</v>
      </c>
      <c r="AW64" s="1">
        <v>9.0974703124999987</v>
      </c>
      <c r="AX64" s="1">
        <v>9.0974703124999987</v>
      </c>
      <c r="AY64" s="1">
        <v>9.0974703124999987</v>
      </c>
      <c r="AZ64" s="1">
        <v>9.0974703124999987</v>
      </c>
      <c r="BA64" s="1">
        <v>9.0974703124999987</v>
      </c>
      <c r="BB64" s="1">
        <v>9.0974703124999987</v>
      </c>
      <c r="BC64" s="1">
        <v>9.0974703124999987</v>
      </c>
      <c r="BD64" s="1">
        <v>9.0974703124999987</v>
      </c>
      <c r="BE64" s="1">
        <v>9.0974703124999987</v>
      </c>
      <c r="BF64" s="1">
        <v>9.0974703124999987</v>
      </c>
      <c r="BG64" s="1">
        <v>9.2147703125000007</v>
      </c>
      <c r="BH64" s="1">
        <v>9.2147703125000007</v>
      </c>
      <c r="BI64" s="1">
        <v>9.2147703125000007</v>
      </c>
      <c r="BJ64" s="1">
        <v>9.2147703125000007</v>
      </c>
      <c r="BK64" s="1">
        <v>8.5385703124999974</v>
      </c>
      <c r="BL64" s="1">
        <v>8.5385703124999974</v>
      </c>
      <c r="BM64" s="1">
        <v>8.5385703124999974</v>
      </c>
      <c r="BN64" s="1">
        <v>8.5385703124999974</v>
      </c>
      <c r="BO64" s="1">
        <v>9.0054703125</v>
      </c>
      <c r="BP64" s="1">
        <v>9.0054703125</v>
      </c>
      <c r="BQ64" s="1">
        <v>9.0054703125</v>
      </c>
      <c r="BR64" s="1">
        <v>9.0054703125</v>
      </c>
      <c r="BS64" s="1">
        <v>9.5091703124999984</v>
      </c>
      <c r="BT64" s="1">
        <v>9.5091703124999984</v>
      </c>
      <c r="BU64" s="1">
        <v>9.5091703124999984</v>
      </c>
      <c r="BV64" s="1">
        <v>9.5091703124999984</v>
      </c>
      <c r="BW64" s="1">
        <v>9.7286406250000006</v>
      </c>
      <c r="BX64" s="1">
        <v>9.7286406250000006</v>
      </c>
      <c r="BY64" s="1">
        <v>9.7286406250000006</v>
      </c>
      <c r="BZ64" s="1">
        <v>9.7286406250000006</v>
      </c>
      <c r="CA64" s="1">
        <v>9.7779109374999997</v>
      </c>
      <c r="CB64" s="1">
        <v>9.7779109374999997</v>
      </c>
      <c r="CC64" s="1">
        <v>9.7779109374999997</v>
      </c>
      <c r="CD64" s="1">
        <v>9.7779109374999997</v>
      </c>
      <c r="CE64" s="1">
        <v>10.271224999999999</v>
      </c>
      <c r="CF64" s="1">
        <v>10.271224999999999</v>
      </c>
      <c r="CG64" s="1">
        <v>10.271224999999999</v>
      </c>
      <c r="CH64" s="1">
        <v>10.271224999999999</v>
      </c>
      <c r="CI64" s="1">
        <v>10.89265625</v>
      </c>
      <c r="CJ64" s="1">
        <v>10.89265625</v>
      </c>
      <c r="CK64" s="1">
        <v>10.89265625</v>
      </c>
      <c r="CL64" s="1">
        <v>10.89265625</v>
      </c>
      <c r="CM64" s="1">
        <v>11.886687500000001</v>
      </c>
      <c r="CN64" s="1">
        <v>11.886687500000001</v>
      </c>
    </row>
    <row r="65" spans="1:92" x14ac:dyDescent="0.35">
      <c r="A65" t="s">
        <v>48</v>
      </c>
      <c r="B65" s="1">
        <v>5.5142499999999997</v>
      </c>
      <c r="C65" s="1">
        <v>5.5142499999999997</v>
      </c>
      <c r="D65" s="1">
        <v>5.5142499999999997</v>
      </c>
      <c r="E65" s="1">
        <v>5.5142499999999997</v>
      </c>
      <c r="F65" s="1">
        <v>5.5142499999999997</v>
      </c>
      <c r="G65" s="1">
        <v>5.7623912499999985</v>
      </c>
      <c r="H65" s="1">
        <v>5.7623912499999985</v>
      </c>
      <c r="I65" s="1">
        <v>5.7623912499999985</v>
      </c>
      <c r="J65" s="1">
        <v>5.7623912499999985</v>
      </c>
      <c r="K65" s="1">
        <v>6.8090062499999995</v>
      </c>
      <c r="L65" s="1">
        <v>6.8090062499999995</v>
      </c>
      <c r="M65" s="1">
        <v>6.8090062499999995</v>
      </c>
      <c r="N65" s="1">
        <v>6.8090062499999995</v>
      </c>
      <c r="O65" s="1">
        <v>6.7592112499999999</v>
      </c>
      <c r="P65" s="1">
        <v>6.7592112499999999</v>
      </c>
      <c r="Q65" s="1">
        <v>6.7592112499999999</v>
      </c>
      <c r="R65" s="1">
        <v>6.7592112499999999</v>
      </c>
      <c r="S65" s="1">
        <v>6.9322402499999995</v>
      </c>
      <c r="T65" s="1">
        <v>6.9322402499999995</v>
      </c>
      <c r="U65" s="1">
        <v>6.9322402499999995</v>
      </c>
      <c r="V65" s="1">
        <v>6.9322402499999995</v>
      </c>
      <c r="W65" s="1">
        <v>7.5056187499999982</v>
      </c>
      <c r="X65" s="1">
        <v>7.5056187499999982</v>
      </c>
      <c r="Y65" s="1">
        <v>7.5056187499999982</v>
      </c>
      <c r="Z65" s="1">
        <v>7.5056187499999982</v>
      </c>
      <c r="AA65" s="1">
        <v>8.2482312499999981</v>
      </c>
      <c r="AB65" s="1">
        <v>8.2482312499999981</v>
      </c>
      <c r="AC65" s="1">
        <v>8.2482312499999981</v>
      </c>
      <c r="AD65" s="1">
        <v>8.2482312499999981</v>
      </c>
      <c r="AE65" s="1">
        <v>7.0734958999999993</v>
      </c>
      <c r="AF65" s="1">
        <v>7.0734958999999993</v>
      </c>
      <c r="AG65" s="1">
        <v>7.0734958999999993</v>
      </c>
      <c r="AH65" s="1">
        <v>7.0734958999999993</v>
      </c>
      <c r="AI65" s="1">
        <v>8.0526668499999996</v>
      </c>
      <c r="AJ65" s="1">
        <v>8.0526668499999996</v>
      </c>
      <c r="AK65" s="1">
        <v>8.0526668499999996</v>
      </c>
      <c r="AL65" s="1">
        <v>8.0526668499999996</v>
      </c>
      <c r="AM65" s="1">
        <v>8.373647949999997</v>
      </c>
      <c r="AN65" s="1">
        <v>8.373647949999997</v>
      </c>
      <c r="AO65" s="1">
        <v>8.373647949999997</v>
      </c>
      <c r="AP65" s="1">
        <v>8.373647949999997</v>
      </c>
      <c r="AQ65" s="1">
        <v>8.5422540500000004</v>
      </c>
      <c r="AR65" s="1">
        <v>8.5422540500000004</v>
      </c>
      <c r="AS65" s="1">
        <v>8.5422540500000004</v>
      </c>
      <c r="AT65" s="1">
        <v>8.5422540500000004</v>
      </c>
      <c r="AU65" s="1">
        <v>9.3525532499999997</v>
      </c>
      <c r="AV65" s="1">
        <v>9.3525532499999997</v>
      </c>
      <c r="AW65" s="1">
        <v>9.3525532499999997</v>
      </c>
      <c r="AX65" s="1">
        <v>9.3525532499999997</v>
      </c>
      <c r="AY65" s="1">
        <v>9.6092562499999978</v>
      </c>
      <c r="AZ65" s="1">
        <v>9.6092562499999978</v>
      </c>
      <c r="BA65" s="1">
        <v>9.6092562499999978</v>
      </c>
      <c r="BB65" s="1">
        <v>9.6092562499999978</v>
      </c>
      <c r="BC65" s="1">
        <v>9.7300062499999989</v>
      </c>
      <c r="BD65" s="1">
        <v>9.7300062499999989</v>
      </c>
      <c r="BE65" s="1">
        <v>9.7300062499999989</v>
      </c>
      <c r="BF65" s="1">
        <v>9.7300062499999989</v>
      </c>
      <c r="BG65" s="1">
        <v>9.897561249999999</v>
      </c>
      <c r="BH65" s="1">
        <v>9.897561249999999</v>
      </c>
      <c r="BI65" s="1">
        <v>9.897561249999999</v>
      </c>
      <c r="BJ65" s="1">
        <v>9.897561249999999</v>
      </c>
      <c r="BK65" s="1">
        <v>10.134905078125</v>
      </c>
      <c r="BL65" s="1">
        <v>10.134905078125</v>
      </c>
      <c r="BM65" s="1">
        <v>10.134905078125</v>
      </c>
      <c r="BN65" s="1">
        <v>10.134905078125</v>
      </c>
      <c r="BO65" s="1">
        <v>10.462520312499997</v>
      </c>
      <c r="BP65" s="1">
        <v>10.462520312499997</v>
      </c>
      <c r="BQ65" s="1">
        <v>10.462520312499997</v>
      </c>
      <c r="BR65" s="1">
        <v>10.462520312499997</v>
      </c>
      <c r="BS65" s="1">
        <v>10.7842903125</v>
      </c>
      <c r="BT65" s="1">
        <v>10.7842903125</v>
      </c>
      <c r="BU65" s="1">
        <v>10.7842903125</v>
      </c>
      <c r="BV65" s="1">
        <v>10.7842903125</v>
      </c>
      <c r="BW65" s="1">
        <v>11.887305625</v>
      </c>
      <c r="BX65" s="1">
        <v>11.887305625</v>
      </c>
      <c r="BY65" s="1">
        <v>11.887305625</v>
      </c>
      <c r="BZ65" s="1">
        <v>11.887305625</v>
      </c>
      <c r="CA65" s="1">
        <v>12.501455937499999</v>
      </c>
      <c r="CB65" s="1">
        <v>12.501455937499999</v>
      </c>
      <c r="CC65" s="1">
        <v>12.501455937499999</v>
      </c>
      <c r="CD65" s="1">
        <v>12.501455937499999</v>
      </c>
      <c r="CE65" s="1">
        <v>14.392681250000001</v>
      </c>
      <c r="CF65" s="1">
        <v>14.392681250000001</v>
      </c>
      <c r="CG65" s="1">
        <v>14.392681250000001</v>
      </c>
      <c r="CH65" s="1">
        <v>14.392681250000001</v>
      </c>
      <c r="CI65" s="1">
        <v>17.549711562500001</v>
      </c>
      <c r="CJ65" s="1">
        <v>17.549711562500001</v>
      </c>
      <c r="CK65" s="1">
        <v>17.549711562500001</v>
      </c>
      <c r="CL65" s="1">
        <v>17.549711562500001</v>
      </c>
      <c r="CM65" s="1">
        <v>19.170801874999999</v>
      </c>
      <c r="CN65" s="1">
        <v>19.170801874999999</v>
      </c>
    </row>
    <row r="66" spans="1:92" x14ac:dyDescent="0.35">
      <c r="A66" t="s">
        <v>49</v>
      </c>
      <c r="B66" s="1">
        <v>6.52</v>
      </c>
      <c r="C66" s="1">
        <v>6.85</v>
      </c>
      <c r="D66" s="1">
        <v>6.85</v>
      </c>
      <c r="E66" s="1">
        <v>6.8</v>
      </c>
      <c r="F66" s="1">
        <v>6.8</v>
      </c>
      <c r="G66" s="1">
        <v>6.97</v>
      </c>
      <c r="H66" s="1">
        <v>6.97</v>
      </c>
      <c r="I66" s="1">
        <v>6.97</v>
      </c>
      <c r="J66" s="1">
        <v>6.97</v>
      </c>
      <c r="K66" s="1">
        <v>7.37</v>
      </c>
      <c r="L66" s="1">
        <v>7.37</v>
      </c>
      <c r="M66" s="1">
        <v>7.37</v>
      </c>
      <c r="N66" s="1">
        <v>7.37</v>
      </c>
      <c r="O66" s="1">
        <v>7.54</v>
      </c>
      <c r="P66" s="1">
        <v>7.54</v>
      </c>
      <c r="Q66" s="1">
        <v>7.54</v>
      </c>
      <c r="R66" s="1">
        <v>7.54</v>
      </c>
      <c r="S66" s="1">
        <v>8.2200000000000006</v>
      </c>
      <c r="T66" s="1">
        <v>8.2200000000000006</v>
      </c>
      <c r="U66" s="1">
        <v>8.2200000000000006</v>
      </c>
      <c r="V66" s="1">
        <v>8.2200000000000006</v>
      </c>
      <c r="W66" s="1">
        <v>8.83</v>
      </c>
      <c r="X66" s="1">
        <v>8.83</v>
      </c>
      <c r="Y66" s="1">
        <v>8.83</v>
      </c>
      <c r="Z66" s="1">
        <v>8.83</v>
      </c>
      <c r="AA66" s="1">
        <v>9.1300000000000008</v>
      </c>
      <c r="AB66" s="1">
        <v>9.1300000000000008</v>
      </c>
      <c r="AC66" s="1">
        <v>9.33</v>
      </c>
      <c r="AD66" s="1">
        <v>9.33</v>
      </c>
      <c r="AE66" s="1">
        <v>9.6540703125</v>
      </c>
      <c r="AF66" s="1">
        <v>9.6540703125</v>
      </c>
      <c r="AG66" s="1">
        <v>9.6540703125</v>
      </c>
      <c r="AH66" s="1">
        <v>9.6540703125</v>
      </c>
      <c r="AI66" s="1">
        <v>10.436070312499998</v>
      </c>
      <c r="AJ66" s="1">
        <v>10.436070312499998</v>
      </c>
      <c r="AK66" s="1">
        <v>10.436070312499998</v>
      </c>
      <c r="AL66" s="1">
        <v>10.436070312499998</v>
      </c>
      <c r="AM66" s="1">
        <v>10.873070312499999</v>
      </c>
      <c r="AN66" s="1">
        <v>10.873070312499999</v>
      </c>
      <c r="AO66" s="1">
        <v>10.873070312499999</v>
      </c>
      <c r="AP66" s="1">
        <v>10.873070312499999</v>
      </c>
      <c r="AQ66" s="1">
        <v>11.2525703125</v>
      </c>
      <c r="AR66" s="1">
        <v>11.2525703125</v>
      </c>
      <c r="AS66" s="1">
        <v>11.2525703125</v>
      </c>
      <c r="AT66" s="1">
        <v>11.2525703125</v>
      </c>
      <c r="AU66" s="1">
        <v>11.2525703125</v>
      </c>
      <c r="AV66" s="1">
        <v>11.2525703125</v>
      </c>
      <c r="AW66" s="1">
        <v>11.2525703125</v>
      </c>
      <c r="AX66" s="1">
        <v>11.2525703125</v>
      </c>
      <c r="AY66" s="1">
        <v>11.459570312499999</v>
      </c>
      <c r="AZ66" s="1">
        <v>11.459570312499999</v>
      </c>
      <c r="BA66" s="1">
        <v>11.459570312499999</v>
      </c>
      <c r="BB66" s="1">
        <v>11.459570312499999</v>
      </c>
      <c r="BC66" s="1">
        <v>12.057570312499999</v>
      </c>
      <c r="BD66" s="1">
        <v>12.057570312499999</v>
      </c>
      <c r="BE66" s="1">
        <v>12.057570312499999</v>
      </c>
      <c r="BF66" s="1">
        <v>12.057570312499999</v>
      </c>
      <c r="BG66" s="1">
        <v>12.057570312499999</v>
      </c>
      <c r="BH66" s="1">
        <v>12.057570312499999</v>
      </c>
      <c r="BI66" s="1">
        <v>12.057570312499999</v>
      </c>
      <c r="BJ66" s="1">
        <v>12.057570312499999</v>
      </c>
      <c r="BK66" s="1">
        <v>12.057570312499999</v>
      </c>
      <c r="BL66" s="1">
        <v>12.057570312499999</v>
      </c>
      <c r="BM66" s="1">
        <v>12.057570312499999</v>
      </c>
      <c r="BN66" s="1">
        <v>12.057570312499999</v>
      </c>
      <c r="BO66" s="1">
        <v>12.057570312499998</v>
      </c>
      <c r="BP66" s="1">
        <v>12.057570312499998</v>
      </c>
      <c r="BQ66" s="1">
        <v>12.057570312499998</v>
      </c>
      <c r="BR66" s="1">
        <v>12.057570312499998</v>
      </c>
      <c r="BS66" s="1">
        <v>12.025370312499998</v>
      </c>
      <c r="BT66" s="1">
        <v>12.025370312499998</v>
      </c>
      <c r="BU66" s="1">
        <v>12.025370312499998</v>
      </c>
      <c r="BV66" s="1">
        <v>12.025370312499998</v>
      </c>
      <c r="BW66" s="1">
        <v>12.369565671875</v>
      </c>
      <c r="BX66" s="1">
        <v>12.369565671875</v>
      </c>
      <c r="BY66" s="1">
        <v>12.369565671875</v>
      </c>
      <c r="BZ66" s="1">
        <v>12.369565671875</v>
      </c>
      <c r="CA66" s="1">
        <v>13.083010937499999</v>
      </c>
      <c r="CB66" s="1">
        <v>13.083010937499999</v>
      </c>
      <c r="CC66" s="1">
        <v>13.083010937499999</v>
      </c>
      <c r="CD66" s="1">
        <v>13.083010937499999</v>
      </c>
      <c r="CE66" s="1">
        <v>14.47778125</v>
      </c>
      <c r="CF66" s="1">
        <v>14.47778125</v>
      </c>
      <c r="CG66" s="1">
        <v>14.47778125</v>
      </c>
      <c r="CH66" s="1">
        <v>14.47778125</v>
      </c>
      <c r="CI66" s="1">
        <v>16.569451562499999</v>
      </c>
      <c r="CJ66" s="1">
        <v>16.569451562499999</v>
      </c>
      <c r="CK66" s="1">
        <v>16.569451562499999</v>
      </c>
      <c r="CL66" s="1">
        <v>16.569451562499999</v>
      </c>
      <c r="CM66" s="1">
        <v>17.925121874999999</v>
      </c>
      <c r="CN66" s="1">
        <v>17.925121874999999</v>
      </c>
    </row>
    <row r="67" spans="1:92" x14ac:dyDescent="0.35">
      <c r="A67" t="s">
        <v>66</v>
      </c>
      <c r="B67" s="1">
        <v>5.99</v>
      </c>
      <c r="C67" s="1">
        <v>6.29</v>
      </c>
      <c r="D67" s="1">
        <v>6.29</v>
      </c>
      <c r="E67" s="1">
        <v>6.29</v>
      </c>
      <c r="F67" s="1">
        <v>6.29</v>
      </c>
      <c r="G67" s="1">
        <v>6.37</v>
      </c>
      <c r="H67" s="1">
        <v>6.37</v>
      </c>
      <c r="I67" s="1">
        <v>6.37</v>
      </c>
      <c r="J67" s="1">
        <v>6.37</v>
      </c>
      <c r="K67" s="1">
        <v>6.8</v>
      </c>
      <c r="L67" s="1">
        <v>6.8</v>
      </c>
      <c r="M67" s="1">
        <v>6.8</v>
      </c>
      <c r="N67" s="1">
        <v>6.8</v>
      </c>
      <c r="O67" s="1">
        <v>7.1</v>
      </c>
      <c r="P67" s="1">
        <v>7.1</v>
      </c>
      <c r="Q67" s="1">
        <v>7.1</v>
      </c>
      <c r="R67" s="1">
        <v>7.1</v>
      </c>
      <c r="S67" s="1">
        <v>7.47</v>
      </c>
      <c r="T67" s="1">
        <v>7.47</v>
      </c>
      <c r="U67" s="1">
        <v>7.47</v>
      </c>
      <c r="V67" s="1">
        <v>7.47</v>
      </c>
      <c r="W67" s="1">
        <v>7.93</v>
      </c>
      <c r="X67" s="1">
        <v>7.93</v>
      </c>
      <c r="Y67" s="1">
        <v>7.93</v>
      </c>
      <c r="Z67" s="1">
        <v>7.93</v>
      </c>
      <c r="AA67" s="1">
        <v>8.0299999999999994</v>
      </c>
      <c r="AB67" s="1">
        <v>8.0299999999999994</v>
      </c>
      <c r="AC67" s="1">
        <v>8.2100000000000009</v>
      </c>
      <c r="AD67" s="1">
        <v>8.2100000000000009</v>
      </c>
      <c r="AE67" s="1">
        <v>8.4294681800000006</v>
      </c>
      <c r="AF67" s="1">
        <v>8.4294681795640045</v>
      </c>
      <c r="AG67" s="1">
        <v>8.4294681795640045</v>
      </c>
      <c r="AH67" s="1">
        <v>8.4294681795640045</v>
      </c>
      <c r="AI67" s="1">
        <v>9.4602598946755112</v>
      </c>
      <c r="AJ67" s="1">
        <v>9.4602598946755112</v>
      </c>
      <c r="AK67" s="1">
        <v>9.4602598946755112</v>
      </c>
      <c r="AL67" s="1">
        <v>9.4602598946755112</v>
      </c>
      <c r="AM67" s="1">
        <v>9.8188161880865614</v>
      </c>
      <c r="AN67" s="1">
        <v>9.8188161880865614</v>
      </c>
      <c r="AO67" s="1">
        <v>9.8188161880865614</v>
      </c>
      <c r="AP67" s="1">
        <v>9.8188161880865614</v>
      </c>
      <c r="AQ67" s="1">
        <v>10.922309090066561</v>
      </c>
      <c r="AR67" s="1">
        <v>10.922309090066561</v>
      </c>
      <c r="AS67" s="1">
        <v>10.922309090066561</v>
      </c>
      <c r="AT67" s="1">
        <v>10.922309090066561</v>
      </c>
      <c r="AU67" s="1">
        <v>11.002031908322186</v>
      </c>
      <c r="AV67" s="1">
        <v>11.002031908322186</v>
      </c>
      <c r="AW67" s="1">
        <v>11.002031908322186</v>
      </c>
      <c r="AX67" s="1">
        <v>11.002031908322186</v>
      </c>
      <c r="AY67" s="1">
        <v>11.249336008117186</v>
      </c>
      <c r="AZ67" s="1">
        <v>11.249336008117186</v>
      </c>
      <c r="BA67" s="1">
        <v>11.249336008117186</v>
      </c>
      <c r="BB67" s="1">
        <v>11.249336008117186</v>
      </c>
      <c r="BC67" s="1">
        <v>11.317216943728123</v>
      </c>
      <c r="BD67" s="1">
        <v>11.317216943728123</v>
      </c>
      <c r="BE67" s="1">
        <v>11.317216943728123</v>
      </c>
      <c r="BF67" s="1">
        <v>11.317216943728123</v>
      </c>
      <c r="BG67" s="1">
        <v>11.518710047482186</v>
      </c>
      <c r="BH67" s="1">
        <v>11.518710047482186</v>
      </c>
      <c r="BI67" s="1">
        <v>11.518710047482186</v>
      </c>
      <c r="BJ67" s="1">
        <v>11.518710047482186</v>
      </c>
      <c r="BK67" s="1">
        <v>10.78358330552375</v>
      </c>
      <c r="BL67" s="1">
        <v>10.78358330552375</v>
      </c>
      <c r="BM67" s="1">
        <v>10.78358330552375</v>
      </c>
      <c r="BN67" s="1">
        <v>10.78358330552375</v>
      </c>
      <c r="BO67" s="1">
        <v>10.131303143862498</v>
      </c>
      <c r="BP67" s="1">
        <v>10.131303143862498</v>
      </c>
      <c r="BQ67" s="1">
        <v>10.131303143862498</v>
      </c>
      <c r="BR67" s="1">
        <v>10.131303143862498</v>
      </c>
      <c r="BS67" s="1">
        <v>10.052216115620311</v>
      </c>
      <c r="BT67" s="1">
        <v>10.052216115620311</v>
      </c>
      <c r="BU67" s="1">
        <v>10.052216115620311</v>
      </c>
      <c r="BV67" s="1">
        <v>10.052216115620311</v>
      </c>
      <c r="BW67" s="1">
        <v>10.033653710931251</v>
      </c>
      <c r="BX67" s="1">
        <v>10.033653710931251</v>
      </c>
      <c r="BY67" s="1">
        <v>10.033653710931251</v>
      </c>
      <c r="BZ67" s="1">
        <v>10.033653710931251</v>
      </c>
      <c r="CA67" s="1">
        <v>9.7424583393699997</v>
      </c>
      <c r="CB67" s="1">
        <v>9.7424583393699997</v>
      </c>
      <c r="CC67" s="1">
        <v>9.7424583393699997</v>
      </c>
      <c r="CD67" s="1">
        <v>9.7424583393699997</v>
      </c>
      <c r="CE67" s="1">
        <v>10.587861553939</v>
      </c>
      <c r="CF67" s="1">
        <v>10.587861553939</v>
      </c>
      <c r="CG67" s="1">
        <v>10.587861553939</v>
      </c>
      <c r="CH67" s="1">
        <v>10.587861553939</v>
      </c>
      <c r="CI67" s="1">
        <v>13.241842067141199</v>
      </c>
      <c r="CJ67" s="1">
        <v>13.241842067141199</v>
      </c>
      <c r="CK67" s="1">
        <v>13.241842067141199</v>
      </c>
      <c r="CL67" s="1">
        <v>13.241842067141199</v>
      </c>
      <c r="CM67" s="1">
        <v>14.615251369215001</v>
      </c>
      <c r="CN67" s="1">
        <v>14.615251369215001</v>
      </c>
    </row>
    <row r="68" spans="1:92" x14ac:dyDescent="0.35">
      <c r="A68" t="s">
        <v>50</v>
      </c>
      <c r="B68" s="1">
        <v>6.29</v>
      </c>
      <c r="C68" s="1">
        <v>6.67</v>
      </c>
      <c r="D68" s="1">
        <v>6.67</v>
      </c>
      <c r="E68" s="1">
        <v>6.67</v>
      </c>
      <c r="F68" s="1">
        <v>6.67</v>
      </c>
      <c r="G68" s="1">
        <v>6.56</v>
      </c>
      <c r="H68" s="1">
        <v>8.92</v>
      </c>
      <c r="I68" s="1">
        <v>8.92</v>
      </c>
      <c r="J68" s="1">
        <v>8.92</v>
      </c>
      <c r="K68" s="1">
        <v>9.75</v>
      </c>
      <c r="L68" s="1">
        <v>9.75</v>
      </c>
      <c r="M68" s="1">
        <v>9.75</v>
      </c>
      <c r="N68" s="1">
        <v>9.75</v>
      </c>
      <c r="O68" s="1">
        <v>12.62</v>
      </c>
      <c r="P68" s="1">
        <v>12.62</v>
      </c>
      <c r="Q68" s="1">
        <v>12.62</v>
      </c>
      <c r="R68" s="1">
        <v>12.62</v>
      </c>
      <c r="S68" s="1">
        <v>12.62</v>
      </c>
      <c r="T68" s="1">
        <v>13.49</v>
      </c>
      <c r="U68" s="1">
        <v>13.49</v>
      </c>
      <c r="V68" s="1">
        <v>13.49</v>
      </c>
      <c r="W68" s="1">
        <v>13.27</v>
      </c>
      <c r="X68" s="1">
        <v>13.27</v>
      </c>
      <c r="Y68" s="1">
        <v>13.27</v>
      </c>
      <c r="Z68" s="1">
        <v>13.27</v>
      </c>
      <c r="AA68" s="1">
        <v>15.29</v>
      </c>
      <c r="AB68" s="1">
        <v>15.29</v>
      </c>
      <c r="AC68" s="1">
        <v>15.63</v>
      </c>
      <c r="AD68" s="1">
        <v>15.63</v>
      </c>
      <c r="AE68" s="1">
        <v>17.397746249999997</v>
      </c>
      <c r="AF68" s="1">
        <v>17.397746249999997</v>
      </c>
      <c r="AG68" s="1">
        <v>17.397746249999997</v>
      </c>
      <c r="AH68" s="1">
        <v>17.397746249999997</v>
      </c>
      <c r="AI68" s="1">
        <v>16.936049999999998</v>
      </c>
      <c r="AJ68" s="1">
        <v>16.936049999999998</v>
      </c>
      <c r="AK68" s="1">
        <v>16.936049999999998</v>
      </c>
      <c r="AL68" s="1">
        <v>16.936049999999998</v>
      </c>
      <c r="AM68" s="1">
        <v>17.864214999999998</v>
      </c>
      <c r="AN68" s="1">
        <v>17.864214999999998</v>
      </c>
      <c r="AO68" s="1">
        <v>17.864214999999998</v>
      </c>
      <c r="AP68" s="1">
        <v>17.864214999999998</v>
      </c>
      <c r="AQ68" s="1">
        <v>19.586620312499996</v>
      </c>
      <c r="AR68" s="1">
        <v>19.586620312499996</v>
      </c>
      <c r="AS68" s="1">
        <v>19.586620312499996</v>
      </c>
      <c r="AT68" s="1">
        <v>19.586620312499996</v>
      </c>
      <c r="AU68" s="1">
        <v>19.586620312499999</v>
      </c>
      <c r="AV68" s="1">
        <v>19.586620312499999</v>
      </c>
      <c r="AW68" s="1">
        <v>19.586620312499999</v>
      </c>
      <c r="AX68" s="1">
        <v>19.586620312499999</v>
      </c>
      <c r="AY68" s="1">
        <v>20.021320312499995</v>
      </c>
      <c r="AZ68" s="1">
        <v>20.021320312499995</v>
      </c>
      <c r="BA68" s="1">
        <v>20.021320312499995</v>
      </c>
      <c r="BB68" s="1">
        <v>20.021320312499995</v>
      </c>
      <c r="BC68" s="1">
        <v>20.9102703125</v>
      </c>
      <c r="BD68" s="1">
        <v>20.9102703125</v>
      </c>
      <c r="BE68" s="1">
        <v>20.9102703125</v>
      </c>
      <c r="BF68" s="1">
        <v>20.9102703125</v>
      </c>
      <c r="BG68" s="1">
        <v>21.477220312499998</v>
      </c>
      <c r="BH68" s="1">
        <v>21.477220312499998</v>
      </c>
      <c r="BI68" s="1">
        <v>21.477220312499998</v>
      </c>
      <c r="BJ68" s="1">
        <v>21.477220312499998</v>
      </c>
      <c r="BK68" s="1">
        <v>21.437522312500001</v>
      </c>
      <c r="BL68" s="1">
        <v>21.437522312500001</v>
      </c>
      <c r="BM68" s="1">
        <v>21.437522312500001</v>
      </c>
      <c r="BN68" s="1">
        <v>21.437522312500001</v>
      </c>
      <c r="BO68" s="1">
        <v>19.197862812499999</v>
      </c>
      <c r="BP68" s="1">
        <v>19.197862812499999</v>
      </c>
      <c r="BQ68" s="1">
        <v>19.197862812499999</v>
      </c>
      <c r="BR68" s="1">
        <v>19.197862812499999</v>
      </c>
      <c r="BS68" s="1">
        <v>17.998412812499996</v>
      </c>
      <c r="BT68" s="1">
        <v>17.998412812499996</v>
      </c>
      <c r="BU68" s="1">
        <v>17.998412812499996</v>
      </c>
      <c r="BV68" s="1">
        <v>17.998412812499996</v>
      </c>
      <c r="BW68" s="1">
        <v>17.177288489999999</v>
      </c>
      <c r="BX68" s="1">
        <v>17.177288489999999</v>
      </c>
      <c r="BY68" s="1">
        <v>17.177288489999999</v>
      </c>
      <c r="BZ68" s="1">
        <v>17.177288489999999</v>
      </c>
      <c r="CA68" s="1">
        <v>17.7748926025</v>
      </c>
      <c r="CB68" s="1">
        <v>17.7748926025</v>
      </c>
      <c r="CC68" s="1">
        <v>17.7748926025</v>
      </c>
      <c r="CD68" s="1">
        <v>17.7748926025</v>
      </c>
      <c r="CE68" s="1">
        <v>18.90982674</v>
      </c>
      <c r="CF68" s="1">
        <v>18.90982674</v>
      </c>
      <c r="CG68" s="1">
        <v>18.90982674</v>
      </c>
      <c r="CH68" s="1">
        <v>18.90982674</v>
      </c>
      <c r="CI68" s="1">
        <v>22.7971352275</v>
      </c>
      <c r="CJ68" s="1">
        <v>22.7971352275</v>
      </c>
      <c r="CK68" s="1">
        <v>22.7971352275</v>
      </c>
      <c r="CL68" s="1">
        <v>22.7971352275</v>
      </c>
      <c r="CM68" s="1">
        <v>25.627532765000002</v>
      </c>
      <c r="CN68" s="1">
        <v>25.627532765000002</v>
      </c>
    </row>
    <row r="69" spans="1:92" x14ac:dyDescent="0.35">
      <c r="A69" t="s">
        <v>61</v>
      </c>
      <c r="B69" s="1">
        <v>10.26</v>
      </c>
      <c r="C69" s="1">
        <v>10.65</v>
      </c>
      <c r="D69" s="1">
        <v>10.65</v>
      </c>
      <c r="E69" s="1">
        <v>10.65</v>
      </c>
      <c r="F69" s="1">
        <v>10.65</v>
      </c>
      <c r="G69" s="1">
        <v>10.44</v>
      </c>
      <c r="H69" s="1">
        <v>10.44</v>
      </c>
      <c r="I69" s="1">
        <v>10.44</v>
      </c>
      <c r="J69" s="1">
        <v>10.44</v>
      </c>
      <c r="K69" s="1">
        <v>10.55</v>
      </c>
      <c r="L69" s="1">
        <v>10.55</v>
      </c>
      <c r="M69" s="1">
        <v>10.55</v>
      </c>
      <c r="N69" s="1">
        <v>10.55</v>
      </c>
      <c r="O69" s="1">
        <v>10.45</v>
      </c>
      <c r="P69" s="1">
        <v>10.45</v>
      </c>
      <c r="Q69" s="1">
        <v>10.45</v>
      </c>
      <c r="R69" s="1">
        <v>10.45</v>
      </c>
      <c r="S69" s="1">
        <v>10.58</v>
      </c>
      <c r="T69" s="1">
        <v>10.58</v>
      </c>
      <c r="U69" s="1">
        <v>10.58</v>
      </c>
      <c r="V69" s="1">
        <v>10.58</v>
      </c>
      <c r="W69" s="1">
        <v>10.94</v>
      </c>
      <c r="X69" s="1">
        <v>10.94</v>
      </c>
      <c r="Y69" s="1">
        <v>10.94</v>
      </c>
      <c r="Z69" s="1">
        <v>10.94</v>
      </c>
      <c r="AA69" s="1">
        <v>11.09</v>
      </c>
      <c r="AB69" s="1">
        <v>11.09</v>
      </c>
      <c r="AC69" s="1">
        <v>11.34</v>
      </c>
      <c r="AD69" s="1">
        <v>11.34</v>
      </c>
      <c r="AE69" s="1">
        <v>11.634461137253542</v>
      </c>
      <c r="AF69" s="1">
        <v>11.634461137253542</v>
      </c>
      <c r="AG69" s="1">
        <v>11.634461137253542</v>
      </c>
      <c r="AH69" s="1">
        <v>11.634461137253542</v>
      </c>
      <c r="AI69" s="1">
        <v>12.921087571860408</v>
      </c>
      <c r="AJ69" s="1">
        <v>12.921087571860408</v>
      </c>
      <c r="AK69" s="1">
        <v>12.921087571860408</v>
      </c>
      <c r="AL69" s="1">
        <v>12.921087571860408</v>
      </c>
      <c r="AM69" s="1">
        <v>13.060815234143787</v>
      </c>
      <c r="AN69" s="1">
        <v>13.060815234143787</v>
      </c>
      <c r="AO69" s="1">
        <v>13.060815234143787</v>
      </c>
      <c r="AP69" s="1">
        <v>13.060815234143787</v>
      </c>
      <c r="AQ69" s="1">
        <v>13.815126121306809</v>
      </c>
      <c r="AR69" s="1">
        <v>13.815126121306809</v>
      </c>
      <c r="AS69" s="1">
        <v>13.815126121306809</v>
      </c>
      <c r="AT69" s="1">
        <v>13.815126121306809</v>
      </c>
      <c r="AU69" s="1">
        <v>13.827962961488527</v>
      </c>
      <c r="AV69" s="1">
        <v>13.827962961488527</v>
      </c>
      <c r="AW69" s="1">
        <v>13.827962961488527</v>
      </c>
      <c r="AX69" s="1">
        <v>13.827962961488527</v>
      </c>
      <c r="AY69" s="1">
        <v>14.000733524190125</v>
      </c>
      <c r="AZ69" s="1">
        <v>14.000733524190125</v>
      </c>
      <c r="BA69" s="1">
        <v>14.000733524190125</v>
      </c>
      <c r="BB69" s="1">
        <v>14.000733524190125</v>
      </c>
      <c r="BC69" s="1">
        <v>14.307025837598243</v>
      </c>
      <c r="BD69" s="1">
        <v>14.307025837598243</v>
      </c>
      <c r="BE69" s="1">
        <v>14.307025837598243</v>
      </c>
      <c r="BF69" s="1">
        <v>14.307025837598243</v>
      </c>
      <c r="BG69" s="1">
        <v>14.596905427031581</v>
      </c>
      <c r="BH69" s="1">
        <v>14.596905427031581</v>
      </c>
      <c r="BI69" s="1">
        <v>14.596905427031581</v>
      </c>
      <c r="BJ69" s="1">
        <v>14.596905427031581</v>
      </c>
      <c r="BK69" s="1">
        <v>13.913504999999999</v>
      </c>
      <c r="BL69" s="1">
        <v>13.913504999999999</v>
      </c>
      <c r="BM69" s="1">
        <v>13.913504999999999</v>
      </c>
      <c r="BN69" s="1">
        <v>13.913504999999999</v>
      </c>
      <c r="BO69" s="1">
        <v>11.930403600000002</v>
      </c>
      <c r="BP69" s="1">
        <v>11.930403600000002</v>
      </c>
      <c r="BQ69" s="1">
        <v>11.930403600000002</v>
      </c>
      <c r="BR69" s="1">
        <v>11.930403600000002</v>
      </c>
      <c r="BS69" s="1">
        <v>12.273443999999998</v>
      </c>
      <c r="BT69" s="1">
        <v>12.273443999999998</v>
      </c>
      <c r="BU69" s="1">
        <v>12.273443999999998</v>
      </c>
      <c r="BV69" s="1">
        <v>12.273443999999998</v>
      </c>
      <c r="BW69" s="1">
        <v>13.513226512499999</v>
      </c>
      <c r="BX69" s="1">
        <v>13.513226512499999</v>
      </c>
      <c r="BY69" s="1">
        <v>13.513226512499999</v>
      </c>
      <c r="BZ69" s="1">
        <v>13.513226512499999</v>
      </c>
      <c r="CA69" s="1">
        <v>14.871620025</v>
      </c>
      <c r="CB69" s="1">
        <v>14.871620025</v>
      </c>
      <c r="CC69" s="1">
        <v>14.871620025</v>
      </c>
      <c r="CD69" s="1">
        <v>14.871620025</v>
      </c>
      <c r="CE69" s="1">
        <v>17.385671250000001</v>
      </c>
      <c r="CF69" s="1">
        <v>17.385671250000001</v>
      </c>
      <c r="CG69" s="1">
        <v>17.385671250000001</v>
      </c>
      <c r="CH69" s="1">
        <v>17.385671250000001</v>
      </c>
      <c r="CI69" s="1">
        <v>21.288591562499999</v>
      </c>
      <c r="CJ69" s="1">
        <v>21.288591562499999</v>
      </c>
      <c r="CK69" s="1">
        <v>21.288591562499999</v>
      </c>
      <c r="CL69" s="1">
        <v>21.288591562499999</v>
      </c>
      <c r="CM69" s="1">
        <v>24.502316875000002</v>
      </c>
      <c r="CN69" s="1">
        <v>24.502316875000002</v>
      </c>
    </row>
    <row r="70" spans="1:92" x14ac:dyDescent="0.35">
      <c r="A70" t="s">
        <v>56</v>
      </c>
      <c r="B70" s="1">
        <v>9.7100000000000009</v>
      </c>
      <c r="C70" s="1">
        <v>8.5</v>
      </c>
      <c r="D70" s="1">
        <v>8.5</v>
      </c>
      <c r="E70" s="1">
        <v>8.5</v>
      </c>
      <c r="F70" s="1">
        <v>8.5</v>
      </c>
      <c r="G70" s="1">
        <v>8.52</v>
      </c>
      <c r="H70" s="1">
        <v>8.52</v>
      </c>
      <c r="I70" s="1">
        <v>8.52</v>
      </c>
      <c r="J70" s="1">
        <v>8.52</v>
      </c>
      <c r="K70" s="1">
        <v>8.49</v>
      </c>
      <c r="L70" s="1">
        <v>8.49</v>
      </c>
      <c r="M70" s="1">
        <v>8.49</v>
      </c>
      <c r="N70" s="1">
        <v>8.49</v>
      </c>
      <c r="O70" s="1">
        <v>8.41</v>
      </c>
      <c r="P70" s="1">
        <v>8.41</v>
      </c>
      <c r="Q70" s="1">
        <v>8.41</v>
      </c>
      <c r="R70" s="1">
        <v>8.41</v>
      </c>
      <c r="S70" s="1">
        <v>8.5500000000000007</v>
      </c>
      <c r="T70" s="1">
        <v>8.5500000000000007</v>
      </c>
      <c r="U70" s="1">
        <v>8.5500000000000007</v>
      </c>
      <c r="V70" s="1">
        <v>8.5500000000000007</v>
      </c>
      <c r="W70" s="1">
        <v>8.68</v>
      </c>
      <c r="X70" s="1">
        <v>8.68</v>
      </c>
      <c r="Y70" s="1">
        <v>8.68</v>
      </c>
      <c r="Z70" s="1">
        <v>8.68</v>
      </c>
      <c r="AA70" s="1">
        <v>8.9600000000000009</v>
      </c>
      <c r="AB70" s="1">
        <v>8.9600000000000009</v>
      </c>
      <c r="AC70" s="1">
        <v>9.16</v>
      </c>
      <c r="AD70" s="1">
        <v>9.16</v>
      </c>
      <c r="AE70" s="1">
        <v>9.3951286835521763</v>
      </c>
      <c r="AF70" s="1">
        <v>9.3951286835521781</v>
      </c>
      <c r="AG70" s="1">
        <v>9.3951286835521781</v>
      </c>
      <c r="AH70" s="1">
        <v>9.3951286835521781</v>
      </c>
      <c r="AI70" s="1">
        <v>10.701928393962119</v>
      </c>
      <c r="AJ70" s="1">
        <v>10.701928393962119</v>
      </c>
      <c r="AK70" s="1">
        <v>10.701928393962119</v>
      </c>
      <c r="AL70" s="1">
        <v>10.701928393962119</v>
      </c>
      <c r="AM70" s="1">
        <v>10.723570905573098</v>
      </c>
      <c r="AN70" s="1">
        <v>10.723570905573098</v>
      </c>
      <c r="AO70" s="1">
        <v>10.723570905573098</v>
      </c>
      <c r="AP70" s="1">
        <v>10.723570905573098</v>
      </c>
      <c r="AQ70" s="1">
        <v>11.365433253288749</v>
      </c>
      <c r="AR70" s="1">
        <v>11.365433253288749</v>
      </c>
      <c r="AS70" s="1">
        <v>11.365433253288749</v>
      </c>
      <c r="AT70" s="1">
        <v>11.365433253288749</v>
      </c>
      <c r="AU70" s="1">
        <v>11.30283374754427</v>
      </c>
      <c r="AV70" s="1">
        <v>11.30283374754427</v>
      </c>
      <c r="AW70" s="1">
        <v>11.30283374754427</v>
      </c>
      <c r="AX70" s="1">
        <v>11.30283374754427</v>
      </c>
      <c r="AY70" s="1">
        <v>11.462720921538027</v>
      </c>
      <c r="AZ70" s="1">
        <v>11.462720921538027</v>
      </c>
      <c r="BA70" s="1">
        <v>11.462720921538027</v>
      </c>
      <c r="BB70" s="1">
        <v>11.462720921538027</v>
      </c>
      <c r="BC70" s="1">
        <v>11.748032545195697</v>
      </c>
      <c r="BD70" s="1">
        <v>11.748032545195697</v>
      </c>
      <c r="BE70" s="1">
        <v>11.748032545195697</v>
      </c>
      <c r="BF70" s="1">
        <v>11.748032545195697</v>
      </c>
      <c r="BG70" s="1">
        <v>11.933440115411708</v>
      </c>
      <c r="BH70" s="1">
        <v>11.933440115411708</v>
      </c>
      <c r="BI70" s="1">
        <v>11.933440115411708</v>
      </c>
      <c r="BJ70" s="1">
        <v>11.933440115411708</v>
      </c>
      <c r="BK70" s="1">
        <v>11.599162199999999</v>
      </c>
      <c r="BL70" s="1">
        <v>11.599162199999999</v>
      </c>
      <c r="BM70" s="1">
        <v>11.599162199999999</v>
      </c>
      <c r="BN70" s="1">
        <v>11.599162199999999</v>
      </c>
      <c r="BO70" s="1">
        <v>9.9482957999999986</v>
      </c>
      <c r="BP70" s="1">
        <v>9.9482957999999986</v>
      </c>
      <c r="BQ70" s="1">
        <v>9.9482957999999986</v>
      </c>
      <c r="BR70" s="1">
        <v>9.9482957999999986</v>
      </c>
      <c r="BS70" s="1">
        <v>10.170738</v>
      </c>
      <c r="BT70" s="1">
        <v>10.170738</v>
      </c>
      <c r="BU70" s="1">
        <v>10.170738</v>
      </c>
      <c r="BV70" s="1">
        <v>10.170738</v>
      </c>
      <c r="BW70" s="1">
        <v>11.208198712500002</v>
      </c>
      <c r="BX70" s="1">
        <v>11.208198712500002</v>
      </c>
      <c r="BY70" s="1">
        <v>11.208198712500002</v>
      </c>
      <c r="BZ70" s="1">
        <v>11.208198712500002</v>
      </c>
      <c r="CA70" s="1">
        <v>12.138599025</v>
      </c>
      <c r="CB70" s="1">
        <v>12.138599025</v>
      </c>
      <c r="CC70" s="1">
        <v>12.138599025</v>
      </c>
      <c r="CD70" s="1">
        <v>12.138599025</v>
      </c>
      <c r="CE70" s="1">
        <v>13.93578625</v>
      </c>
      <c r="CF70" s="1">
        <v>13.93578625</v>
      </c>
      <c r="CG70" s="1">
        <v>13.93578625</v>
      </c>
      <c r="CH70" s="1">
        <v>13.93578625</v>
      </c>
      <c r="CI70" s="1">
        <v>18.201646562499999</v>
      </c>
      <c r="CJ70" s="1">
        <v>18.201646562499999</v>
      </c>
      <c r="CK70" s="1">
        <v>18.201646562499999</v>
      </c>
      <c r="CL70" s="1">
        <v>18.201646562499999</v>
      </c>
      <c r="CM70" s="1">
        <v>19.662944374999999</v>
      </c>
      <c r="CN70" s="1">
        <v>19.662944374999999</v>
      </c>
    </row>
    <row r="71" spans="1:92" x14ac:dyDescent="0.35">
      <c r="A71" t="s">
        <v>52</v>
      </c>
      <c r="B71" s="1">
        <v>7.73</v>
      </c>
      <c r="C71" s="1">
        <v>8.17</v>
      </c>
      <c r="D71" s="1">
        <v>8.17</v>
      </c>
      <c r="E71" s="1">
        <v>8.17</v>
      </c>
      <c r="F71" s="1">
        <v>8.17</v>
      </c>
      <c r="G71" s="1">
        <v>8.15</v>
      </c>
      <c r="H71" s="1">
        <v>8.15</v>
      </c>
      <c r="I71" s="1">
        <v>8.15</v>
      </c>
      <c r="J71" s="1">
        <v>8.15</v>
      </c>
      <c r="K71" s="1">
        <v>8.2899999999999991</v>
      </c>
      <c r="L71" s="1">
        <v>8.2899999999999991</v>
      </c>
      <c r="M71" s="1">
        <v>8.2899999999999991</v>
      </c>
      <c r="N71" s="1">
        <v>8.2899999999999991</v>
      </c>
      <c r="O71" s="1">
        <v>8.2100000000000009</v>
      </c>
      <c r="P71" s="1">
        <v>8.2100000000000009</v>
      </c>
      <c r="Q71" s="1">
        <v>8.2100000000000009</v>
      </c>
      <c r="R71" s="1">
        <v>8.2100000000000009</v>
      </c>
      <c r="S71" s="1">
        <v>8.35</v>
      </c>
      <c r="T71" s="1">
        <v>8.35</v>
      </c>
      <c r="U71" s="1">
        <v>8.35</v>
      </c>
      <c r="V71" s="1">
        <v>8.35</v>
      </c>
      <c r="W71" s="1">
        <v>8.48</v>
      </c>
      <c r="X71" s="1">
        <v>8.48</v>
      </c>
      <c r="Y71" s="1">
        <v>8.48</v>
      </c>
      <c r="Z71" s="1">
        <v>8.48</v>
      </c>
      <c r="AA71" s="1">
        <v>8.75</v>
      </c>
      <c r="AB71" s="1">
        <v>8.75</v>
      </c>
      <c r="AC71" s="1">
        <v>8.9499999999999993</v>
      </c>
      <c r="AD71" s="1">
        <v>8.9499999999999993</v>
      </c>
      <c r="AE71" s="1">
        <v>9.176754848575154</v>
      </c>
      <c r="AF71" s="1">
        <v>9.1767548485751558</v>
      </c>
      <c r="AG71" s="1">
        <v>9.1767548485751558</v>
      </c>
      <c r="AH71" s="1">
        <v>9.1767548485751558</v>
      </c>
      <c r="AI71" s="1">
        <v>10.701928393962119</v>
      </c>
      <c r="AJ71" s="1">
        <v>10.701928393962119</v>
      </c>
      <c r="AK71" s="1">
        <v>10.701928393962119</v>
      </c>
      <c r="AL71" s="1">
        <v>10.701928393962119</v>
      </c>
      <c r="AM71" s="1">
        <v>10.723570905573098</v>
      </c>
      <c r="AN71" s="1">
        <v>10.723570905573098</v>
      </c>
      <c r="AO71" s="1">
        <v>10.723570905573098</v>
      </c>
      <c r="AP71" s="1">
        <v>10.723570905573098</v>
      </c>
      <c r="AQ71" s="1">
        <v>11.365433253288749</v>
      </c>
      <c r="AR71" s="1">
        <v>11.365433253288749</v>
      </c>
      <c r="AS71" s="1">
        <v>11.365433253288749</v>
      </c>
      <c r="AT71" s="1">
        <v>11.365433253288749</v>
      </c>
      <c r="AU71" s="1">
        <v>11.30283374754427</v>
      </c>
      <c r="AV71" s="1">
        <v>11.30283374754427</v>
      </c>
      <c r="AW71" s="1">
        <v>11.30283374754427</v>
      </c>
      <c r="AX71" s="1">
        <v>11.30283374754427</v>
      </c>
      <c r="AY71" s="1">
        <v>11.462720921538027</v>
      </c>
      <c r="AZ71" s="1">
        <v>11.462720921538027</v>
      </c>
      <c r="BA71" s="1">
        <v>11.462720921538027</v>
      </c>
      <c r="BB71" s="1">
        <v>11.462720921538027</v>
      </c>
      <c r="BC71" s="1">
        <v>11.748032545195697</v>
      </c>
      <c r="BD71" s="1">
        <v>11.748032545195697</v>
      </c>
      <c r="BE71" s="1">
        <v>11.748032545195697</v>
      </c>
      <c r="BF71" s="1">
        <v>11.748032545195697</v>
      </c>
      <c r="BG71" s="1">
        <v>11.933440115411708</v>
      </c>
      <c r="BH71" s="1">
        <v>11.933440115411708</v>
      </c>
      <c r="BI71" s="1">
        <v>11.933440115411708</v>
      </c>
      <c r="BJ71" s="1">
        <v>11.933440115411708</v>
      </c>
      <c r="BK71" s="1">
        <v>11.599162199999999</v>
      </c>
      <c r="BL71" s="1">
        <v>11.599162199999999</v>
      </c>
      <c r="BM71" s="1">
        <v>11.599162199999999</v>
      </c>
      <c r="BN71" s="1">
        <v>11.599162199999999</v>
      </c>
      <c r="BO71" s="1">
        <v>9.9482957999999986</v>
      </c>
      <c r="BP71" s="1">
        <v>9.9482957999999986</v>
      </c>
      <c r="BQ71" s="1">
        <v>9.9482957999999986</v>
      </c>
      <c r="BR71" s="1">
        <v>9.9482957999999986</v>
      </c>
      <c r="BS71" s="1">
        <v>10.170738</v>
      </c>
      <c r="BT71" s="1">
        <v>10.170738</v>
      </c>
      <c r="BU71" s="1">
        <v>10.170738</v>
      </c>
      <c r="BV71" s="1">
        <v>10.170738</v>
      </c>
      <c r="BW71" s="1">
        <v>11.208198712500002</v>
      </c>
      <c r="BX71" s="1">
        <v>11.208198712500002</v>
      </c>
      <c r="BY71" s="1">
        <v>11.208198712500002</v>
      </c>
      <c r="BZ71" s="1">
        <v>11.208198712500002</v>
      </c>
      <c r="CA71" s="1">
        <v>12.138599025</v>
      </c>
      <c r="CB71" s="1">
        <v>12.138599025</v>
      </c>
      <c r="CC71" s="1">
        <v>12.138599025</v>
      </c>
      <c r="CD71" s="1">
        <v>12.138599025</v>
      </c>
      <c r="CE71" s="1">
        <v>13.93578625</v>
      </c>
      <c r="CF71" s="1">
        <v>13.93578625</v>
      </c>
      <c r="CG71" s="1">
        <v>13.93578625</v>
      </c>
      <c r="CH71" s="1">
        <v>13.93578625</v>
      </c>
      <c r="CI71" s="1">
        <v>18.201646562499999</v>
      </c>
      <c r="CJ71" s="1">
        <v>18.201646562499999</v>
      </c>
      <c r="CK71" s="1">
        <v>18.201646562499999</v>
      </c>
      <c r="CL71" s="1">
        <v>18.201646562499999</v>
      </c>
      <c r="CM71" s="1">
        <v>19.662944374999999</v>
      </c>
      <c r="CN71" s="1">
        <v>19.662944374999999</v>
      </c>
    </row>
    <row r="72" spans="1:92" x14ac:dyDescent="0.35">
      <c r="A72" t="s">
        <v>69</v>
      </c>
      <c r="B72" s="1">
        <v>6.75</v>
      </c>
      <c r="C72" s="1">
        <v>6.76</v>
      </c>
      <c r="D72" s="1">
        <v>6.76</v>
      </c>
      <c r="E72" s="1">
        <v>6.76</v>
      </c>
      <c r="F72" s="1">
        <v>6.76</v>
      </c>
      <c r="G72" s="1">
        <v>7.02</v>
      </c>
      <c r="H72" s="1">
        <v>7.02</v>
      </c>
      <c r="I72" s="1">
        <v>7.02</v>
      </c>
      <c r="J72" s="1">
        <v>7.02</v>
      </c>
      <c r="K72" s="1">
        <v>7.65</v>
      </c>
      <c r="L72" s="1">
        <v>7.65</v>
      </c>
      <c r="M72" s="1">
        <v>7.65</v>
      </c>
      <c r="N72" s="1">
        <v>7.65</v>
      </c>
      <c r="O72" s="1">
        <v>7.83</v>
      </c>
      <c r="P72" s="1">
        <v>7.83</v>
      </c>
      <c r="Q72" s="1">
        <v>7.83</v>
      </c>
      <c r="R72" s="1">
        <v>7.83</v>
      </c>
      <c r="S72" s="1">
        <v>7.86</v>
      </c>
      <c r="T72" s="1">
        <v>7.86</v>
      </c>
      <c r="U72" s="1">
        <v>7.86</v>
      </c>
      <c r="V72" s="1">
        <v>7.86</v>
      </c>
      <c r="W72" s="1">
        <v>8.15</v>
      </c>
      <c r="X72" s="1">
        <v>8.15</v>
      </c>
      <c r="Y72" s="1">
        <v>8.15</v>
      </c>
      <c r="Z72" s="1">
        <v>8.15</v>
      </c>
      <c r="AA72" s="1">
        <v>8.2200000000000006</v>
      </c>
      <c r="AB72" s="1">
        <v>8.2200000000000006</v>
      </c>
      <c r="AC72" s="1">
        <v>8.41</v>
      </c>
      <c r="AD72" s="1">
        <v>8.41</v>
      </c>
      <c r="AE72" s="1">
        <v>8.7292863124999993</v>
      </c>
      <c r="AF72" s="1">
        <v>8.7292863124999993</v>
      </c>
      <c r="AG72" s="1">
        <v>8.7292863124999993</v>
      </c>
      <c r="AH72" s="1">
        <v>8.7292863124999993</v>
      </c>
      <c r="AI72" s="1">
        <v>9.6649263124999987</v>
      </c>
      <c r="AJ72" s="1">
        <v>9.6649263124999987</v>
      </c>
      <c r="AK72" s="1">
        <v>9.6649263124999987</v>
      </c>
      <c r="AL72" s="1">
        <v>9.6649263124999987</v>
      </c>
      <c r="AM72" s="1">
        <v>10.1715703125</v>
      </c>
      <c r="AN72" s="1">
        <v>10.1715703125</v>
      </c>
      <c r="AO72" s="1">
        <v>10.1715703125</v>
      </c>
      <c r="AP72" s="1">
        <v>10.1715703125</v>
      </c>
      <c r="AQ72" s="1">
        <v>10.9696703125</v>
      </c>
      <c r="AR72" s="1">
        <v>10.9696703125</v>
      </c>
      <c r="AS72" s="1">
        <v>10.9696703125</v>
      </c>
      <c r="AT72" s="1">
        <v>10.9696703125</v>
      </c>
      <c r="AU72" s="1">
        <v>11.696470312499999</v>
      </c>
      <c r="AV72" s="1">
        <v>11.696470312499999</v>
      </c>
      <c r="AW72" s="1">
        <v>11.696470312499999</v>
      </c>
      <c r="AX72" s="1">
        <v>11.696470312499999</v>
      </c>
      <c r="AY72" s="1">
        <v>11.965570312499999</v>
      </c>
      <c r="AZ72" s="1">
        <v>11.965570312499999</v>
      </c>
      <c r="BA72" s="1">
        <v>11.965570312499999</v>
      </c>
      <c r="BB72" s="1">
        <v>11.965570312499999</v>
      </c>
      <c r="BC72" s="1">
        <v>11.995470312499998</v>
      </c>
      <c r="BD72" s="1">
        <v>11.995470312499998</v>
      </c>
      <c r="BE72" s="1">
        <v>11.995470312499998</v>
      </c>
      <c r="BF72" s="1">
        <v>11.995470312499998</v>
      </c>
      <c r="BG72" s="1">
        <v>12.087470312500001</v>
      </c>
      <c r="BH72" s="1">
        <v>12.087470312500001</v>
      </c>
      <c r="BI72" s="1">
        <v>12.087470312500001</v>
      </c>
      <c r="BJ72" s="1">
        <v>12.087470312500001</v>
      </c>
      <c r="BK72" s="1">
        <v>12.050670312499999</v>
      </c>
      <c r="BL72" s="1">
        <v>12.050670312499999</v>
      </c>
      <c r="BM72" s="1">
        <v>12.050670312499999</v>
      </c>
      <c r="BN72" s="1">
        <v>12.050670312499999</v>
      </c>
      <c r="BO72" s="1">
        <v>10.638470312499999</v>
      </c>
      <c r="BP72" s="1">
        <v>10.638470312499999</v>
      </c>
      <c r="BQ72" s="1">
        <v>10.638470312499999</v>
      </c>
      <c r="BR72" s="1">
        <v>10.638470312499999</v>
      </c>
      <c r="BS72" s="1">
        <v>10.695970312499998</v>
      </c>
      <c r="BT72" s="1">
        <v>10.695970312499998</v>
      </c>
      <c r="BU72" s="1">
        <v>10.695970312499998</v>
      </c>
      <c r="BV72" s="1">
        <v>10.695970312499998</v>
      </c>
      <c r="BW72" s="1">
        <v>11.189140624999999</v>
      </c>
      <c r="BX72" s="1">
        <v>11.189140624999999</v>
      </c>
      <c r="BY72" s="1">
        <v>11.189140624999999</v>
      </c>
      <c r="BZ72" s="1">
        <v>11.189140624999999</v>
      </c>
      <c r="CA72" s="1">
        <v>11.2177109375</v>
      </c>
      <c r="CB72" s="1">
        <v>11.2177109375</v>
      </c>
      <c r="CC72" s="1">
        <v>11.2177109375</v>
      </c>
      <c r="CD72" s="1">
        <v>11.2177109375</v>
      </c>
      <c r="CE72" s="1">
        <v>11.47168125</v>
      </c>
      <c r="CF72" s="1">
        <v>11.47168125</v>
      </c>
      <c r="CG72" s="1">
        <v>11.47168125</v>
      </c>
      <c r="CH72" s="1">
        <v>11.47168125</v>
      </c>
      <c r="CI72" s="1">
        <v>14.487951562499999</v>
      </c>
      <c r="CJ72" s="1">
        <v>14.487951562499999</v>
      </c>
      <c r="CK72" s="1">
        <v>14.487951562499999</v>
      </c>
      <c r="CL72" s="1">
        <v>14.487951562499999</v>
      </c>
      <c r="CM72" s="1">
        <v>15.579121875</v>
      </c>
      <c r="CN72" s="1">
        <v>15.579121875</v>
      </c>
    </row>
    <row r="73" spans="1:92" x14ac:dyDescent="0.35">
      <c r="A73" t="s">
        <v>70</v>
      </c>
      <c r="B73" s="1">
        <v>8.89</v>
      </c>
      <c r="C73" s="1">
        <v>8.8800000000000008</v>
      </c>
      <c r="D73" s="1">
        <v>8.8800000000000008</v>
      </c>
      <c r="E73" s="1">
        <v>8.8800000000000008</v>
      </c>
      <c r="F73" s="1">
        <v>8.8800000000000008</v>
      </c>
      <c r="G73" s="1">
        <v>9.2100000000000009</v>
      </c>
      <c r="H73" s="1">
        <v>9.2100000000000009</v>
      </c>
      <c r="I73" s="1">
        <v>9.2100000000000009</v>
      </c>
      <c r="J73" s="1">
        <v>9.2100000000000009</v>
      </c>
      <c r="K73" s="1">
        <v>9.6199999999999992</v>
      </c>
      <c r="L73" s="1">
        <v>9.6199999999999992</v>
      </c>
      <c r="M73" s="1">
        <v>9.6199999999999992</v>
      </c>
      <c r="N73" s="1">
        <v>9.6199999999999992</v>
      </c>
      <c r="O73" s="1">
        <v>9.65</v>
      </c>
      <c r="P73" s="1">
        <v>9.65</v>
      </c>
      <c r="Q73" s="1">
        <v>9.65</v>
      </c>
      <c r="R73" s="1">
        <v>9.65</v>
      </c>
      <c r="S73" s="1">
        <v>9.65</v>
      </c>
      <c r="T73" s="1">
        <v>9.65</v>
      </c>
      <c r="U73" s="1">
        <v>9.65</v>
      </c>
      <c r="V73" s="1">
        <v>9.65</v>
      </c>
      <c r="W73" s="1">
        <v>9.9600000000000009</v>
      </c>
      <c r="X73" s="1">
        <v>9.9600000000000009</v>
      </c>
      <c r="Y73" s="1">
        <v>9.9600000000000009</v>
      </c>
      <c r="Z73" s="1">
        <v>9.9600000000000009</v>
      </c>
      <c r="AA73" s="1">
        <v>10.3</v>
      </c>
      <c r="AB73" s="1">
        <v>10.3</v>
      </c>
      <c r="AC73" s="1">
        <v>10.53</v>
      </c>
      <c r="AD73" s="1">
        <v>10.53</v>
      </c>
      <c r="AE73" s="1">
        <v>10.928201312499997</v>
      </c>
      <c r="AF73" s="1">
        <v>10.928201312499997</v>
      </c>
      <c r="AG73" s="1">
        <v>10.928201312499997</v>
      </c>
      <c r="AH73" s="1">
        <v>10.928201312499997</v>
      </c>
      <c r="AI73" s="1">
        <v>12.099568312500001</v>
      </c>
      <c r="AJ73" s="1">
        <v>12.099568312500001</v>
      </c>
      <c r="AK73" s="1">
        <v>12.099568312500001</v>
      </c>
      <c r="AL73" s="1">
        <v>12.099568312500001</v>
      </c>
      <c r="AM73" s="1">
        <v>12.466970312499996</v>
      </c>
      <c r="AN73" s="1">
        <v>12.466970312499996</v>
      </c>
      <c r="AO73" s="1">
        <v>12.466970312499996</v>
      </c>
      <c r="AP73" s="1">
        <v>12.466970312499996</v>
      </c>
      <c r="AQ73" s="1">
        <v>12.998270312499997</v>
      </c>
      <c r="AR73" s="1">
        <v>12.998270312499997</v>
      </c>
      <c r="AS73" s="1">
        <v>12.998270312499997</v>
      </c>
      <c r="AT73" s="1">
        <v>12.998270312499997</v>
      </c>
      <c r="AU73" s="1">
        <v>12.837270312499999</v>
      </c>
      <c r="AV73" s="1">
        <v>12.837270312499999</v>
      </c>
      <c r="AW73" s="1">
        <v>12.837270312499999</v>
      </c>
      <c r="AX73" s="1">
        <v>12.837270312499999</v>
      </c>
      <c r="AY73" s="1">
        <v>13.037370312499998</v>
      </c>
      <c r="AZ73" s="1">
        <v>13.037370312499998</v>
      </c>
      <c r="BA73" s="1">
        <v>13.037370312499998</v>
      </c>
      <c r="BB73" s="1">
        <v>13.037370312499998</v>
      </c>
      <c r="BC73" s="1">
        <v>13.067270312499998</v>
      </c>
      <c r="BD73" s="1">
        <v>13.067270312499998</v>
      </c>
      <c r="BE73" s="1">
        <v>13.067270312499998</v>
      </c>
      <c r="BF73" s="1">
        <v>13.067270312499998</v>
      </c>
      <c r="BG73" s="1">
        <v>13.1937703125</v>
      </c>
      <c r="BH73" s="1">
        <v>13.1937703125</v>
      </c>
      <c r="BI73" s="1">
        <v>13.1937703125</v>
      </c>
      <c r="BJ73" s="1">
        <v>13.1937703125</v>
      </c>
      <c r="BK73" s="1">
        <v>13.057587312499997</v>
      </c>
      <c r="BL73" s="1">
        <v>13.057587312499997</v>
      </c>
      <c r="BM73" s="1">
        <v>13.057587312499997</v>
      </c>
      <c r="BN73" s="1">
        <v>13.057587312499997</v>
      </c>
      <c r="BO73" s="1">
        <v>11.3664433125</v>
      </c>
      <c r="BP73" s="1">
        <v>11.3664433125</v>
      </c>
      <c r="BQ73" s="1">
        <v>11.3664433125</v>
      </c>
      <c r="BR73" s="1">
        <v>11.3664433125</v>
      </c>
      <c r="BS73" s="1">
        <v>11.364787312499999</v>
      </c>
      <c r="BT73" s="1">
        <v>11.364787312499999</v>
      </c>
      <c r="BU73" s="1">
        <v>11.364787312499999</v>
      </c>
      <c r="BV73" s="1">
        <v>11.364787312499999</v>
      </c>
      <c r="BW73" s="1">
        <v>11.918608624999999</v>
      </c>
      <c r="BX73" s="1">
        <v>11.918608624999999</v>
      </c>
      <c r="BY73" s="1">
        <v>11.918608624999999</v>
      </c>
      <c r="BZ73" s="1">
        <v>11.918608624999999</v>
      </c>
      <c r="CA73" s="1">
        <v>12.7871389375</v>
      </c>
      <c r="CB73" s="1">
        <v>12.7871389375</v>
      </c>
      <c r="CC73" s="1">
        <v>12.7871389375</v>
      </c>
      <c r="CD73" s="1">
        <v>12.7871389375</v>
      </c>
      <c r="CE73" s="1">
        <v>13.14302225</v>
      </c>
      <c r="CF73" s="1">
        <v>13.14302225</v>
      </c>
      <c r="CG73" s="1">
        <v>13.14302225</v>
      </c>
      <c r="CH73" s="1">
        <v>13.14302225</v>
      </c>
      <c r="CI73" s="1">
        <v>16.9598075625</v>
      </c>
      <c r="CJ73" s="1">
        <v>16.9598075625</v>
      </c>
      <c r="CK73" s="1">
        <v>16.9598075625</v>
      </c>
      <c r="CL73" s="1">
        <v>16.9598075625</v>
      </c>
      <c r="CM73" s="1">
        <v>18.448877875000001</v>
      </c>
      <c r="CN73" s="1">
        <v>18.448877875000001</v>
      </c>
    </row>
    <row r="74" spans="1:92" x14ac:dyDescent="0.35">
      <c r="A74" t="s">
        <v>58</v>
      </c>
      <c r="B74" s="1">
        <v>9.5299999999999994</v>
      </c>
      <c r="C74" s="1">
        <v>9.89</v>
      </c>
      <c r="D74" s="1">
        <v>9.89</v>
      </c>
      <c r="E74" s="1">
        <v>9.89</v>
      </c>
      <c r="F74" s="1">
        <v>9.89</v>
      </c>
      <c r="G74" s="1">
        <v>9.86</v>
      </c>
      <c r="H74" s="1">
        <v>9.86</v>
      </c>
      <c r="I74" s="1">
        <v>9.86</v>
      </c>
      <c r="J74" s="1">
        <v>9.86</v>
      </c>
      <c r="K74" s="1">
        <v>10.14</v>
      </c>
      <c r="L74" s="1">
        <v>10.14</v>
      </c>
      <c r="M74" s="1">
        <v>10.14</v>
      </c>
      <c r="N74" s="1">
        <v>10.14</v>
      </c>
      <c r="O74" s="1">
        <v>10.039999999999999</v>
      </c>
      <c r="P74" s="1">
        <v>10.039999999999999</v>
      </c>
      <c r="Q74" s="1">
        <v>10.039999999999999</v>
      </c>
      <c r="R74" s="1">
        <v>10.039999999999999</v>
      </c>
      <c r="S74" s="1">
        <v>10.17</v>
      </c>
      <c r="T74" s="1">
        <v>10.17</v>
      </c>
      <c r="U74" s="1">
        <v>10.17</v>
      </c>
      <c r="V74" s="1">
        <v>10.17</v>
      </c>
      <c r="W74" s="1">
        <v>10.51</v>
      </c>
      <c r="X74" s="1">
        <v>10.51</v>
      </c>
      <c r="Y74" s="1">
        <v>10.51</v>
      </c>
      <c r="Z74" s="1">
        <v>10.51</v>
      </c>
      <c r="AA74" s="1">
        <v>10.65</v>
      </c>
      <c r="AB74" s="1">
        <v>10.65</v>
      </c>
      <c r="AC74" s="1">
        <v>10.89</v>
      </c>
      <c r="AD74" s="1">
        <v>10.89</v>
      </c>
      <c r="AE74" s="1">
        <v>11.175110518001601</v>
      </c>
      <c r="AF74" s="1">
        <v>11.175110518001599</v>
      </c>
      <c r="AG74" s="1">
        <v>11.175110518001599</v>
      </c>
      <c r="AH74" s="1">
        <v>11.175110518001599</v>
      </c>
      <c r="AI74" s="1">
        <v>12.921343251808569</v>
      </c>
      <c r="AJ74" s="1">
        <v>12.921343251808569</v>
      </c>
      <c r="AK74" s="1">
        <v>12.921343251808569</v>
      </c>
      <c r="AL74" s="1">
        <v>12.921343251808569</v>
      </c>
      <c r="AM74" s="1">
        <v>13.060815234143787</v>
      </c>
      <c r="AN74" s="1">
        <v>13.060815234143787</v>
      </c>
      <c r="AO74" s="1">
        <v>13.060815234143787</v>
      </c>
      <c r="AP74" s="1">
        <v>13.060815234143787</v>
      </c>
      <c r="AQ74" s="1">
        <v>13.815126121306809</v>
      </c>
      <c r="AR74" s="1">
        <v>13.815126121306809</v>
      </c>
      <c r="AS74" s="1">
        <v>13.815126121306809</v>
      </c>
      <c r="AT74" s="1">
        <v>13.815126121306809</v>
      </c>
      <c r="AU74" s="1">
        <v>13.827962961488527</v>
      </c>
      <c r="AV74" s="1">
        <v>13.827962961488527</v>
      </c>
      <c r="AW74" s="1">
        <v>13.827962961488527</v>
      </c>
      <c r="AX74" s="1">
        <v>13.827962961488527</v>
      </c>
      <c r="AY74" s="1">
        <v>14.000733524190125</v>
      </c>
      <c r="AZ74" s="1">
        <v>14.000733524190125</v>
      </c>
      <c r="BA74" s="1">
        <v>14.000733524190125</v>
      </c>
      <c r="BB74" s="1">
        <v>14.000733524190125</v>
      </c>
      <c r="BC74" s="1">
        <v>14.307025837598243</v>
      </c>
      <c r="BD74" s="1">
        <v>14.307025837598243</v>
      </c>
      <c r="BE74" s="1">
        <v>14.307025837598243</v>
      </c>
      <c r="BF74" s="1">
        <v>14.307025837598243</v>
      </c>
      <c r="BG74" s="1">
        <v>14.596905427031581</v>
      </c>
      <c r="BH74" s="1">
        <v>14.596905427031581</v>
      </c>
      <c r="BI74" s="1">
        <v>14.596905427031581</v>
      </c>
      <c r="BJ74" s="1">
        <v>14.596905427031581</v>
      </c>
      <c r="BK74" s="1">
        <v>13.913504999999999</v>
      </c>
      <c r="BL74" s="1">
        <v>13.913504999999999</v>
      </c>
      <c r="BM74" s="1">
        <v>13.913504999999999</v>
      </c>
      <c r="BN74" s="1">
        <v>13.913504999999999</v>
      </c>
      <c r="BO74" s="1">
        <v>11.930403600000002</v>
      </c>
      <c r="BP74" s="1">
        <v>11.930403600000002</v>
      </c>
      <c r="BQ74" s="1">
        <v>11.930403600000002</v>
      </c>
      <c r="BR74" s="1">
        <v>11.930403600000002</v>
      </c>
      <c r="BS74" s="1">
        <v>12.273443999999998</v>
      </c>
      <c r="BT74" s="1">
        <v>12.273443999999998</v>
      </c>
      <c r="BU74" s="1">
        <v>12.273443999999998</v>
      </c>
      <c r="BV74" s="1">
        <v>12.273443999999998</v>
      </c>
      <c r="BW74" s="1">
        <v>13.513226512499999</v>
      </c>
      <c r="BX74" s="1">
        <v>13.513226512499999</v>
      </c>
      <c r="BY74" s="1">
        <v>13.513226512499999</v>
      </c>
      <c r="BZ74" s="1">
        <v>13.513226512499999</v>
      </c>
      <c r="CA74" s="1">
        <v>14.871620025</v>
      </c>
      <c r="CB74" s="1">
        <v>14.871620025</v>
      </c>
      <c r="CC74" s="1">
        <v>14.871620025</v>
      </c>
      <c r="CD74" s="1">
        <v>14.871620025</v>
      </c>
      <c r="CE74" s="1">
        <v>17.385671250000001</v>
      </c>
      <c r="CF74" s="1">
        <v>17.385671250000001</v>
      </c>
      <c r="CG74" s="1">
        <v>17.385671250000001</v>
      </c>
      <c r="CH74" s="1">
        <v>17.385671250000001</v>
      </c>
      <c r="CI74" s="1">
        <v>21.288591562499999</v>
      </c>
      <c r="CJ74" s="1">
        <v>21.288591562499999</v>
      </c>
      <c r="CK74" s="1">
        <v>21.288591562499999</v>
      </c>
      <c r="CL74" s="1">
        <v>21.288591562499999</v>
      </c>
      <c r="CM74" s="1">
        <v>24.502316875000002</v>
      </c>
      <c r="CN74" s="1">
        <v>24.502316875000002</v>
      </c>
    </row>
    <row r="75" spans="1:92" x14ac:dyDescent="0.35">
      <c r="A75" t="s">
        <v>55</v>
      </c>
      <c r="B75" s="1">
        <v>8.19</v>
      </c>
      <c r="C75" s="1">
        <v>8.27</v>
      </c>
      <c r="D75" s="1">
        <v>8.27</v>
      </c>
      <c r="E75" s="1">
        <v>8.27</v>
      </c>
      <c r="F75" s="1">
        <v>8.27</v>
      </c>
      <c r="G75" s="1">
        <v>8.49</v>
      </c>
      <c r="H75" s="1">
        <v>8.49</v>
      </c>
      <c r="I75" s="1">
        <v>8.49</v>
      </c>
      <c r="J75" s="1">
        <v>8.49</v>
      </c>
      <c r="K75" s="1">
        <v>8.49</v>
      </c>
      <c r="L75" s="1">
        <v>8.49</v>
      </c>
      <c r="M75" s="1">
        <v>8.49</v>
      </c>
      <c r="N75" s="1">
        <v>8.49</v>
      </c>
      <c r="O75" s="1">
        <v>8.41</v>
      </c>
      <c r="P75" s="1">
        <v>8.41</v>
      </c>
      <c r="Q75" s="1">
        <v>8.41</v>
      </c>
      <c r="R75" s="1">
        <v>8.41</v>
      </c>
      <c r="S75" s="1">
        <v>8.5399999999999991</v>
      </c>
      <c r="T75" s="1">
        <v>8.5399999999999991</v>
      </c>
      <c r="U75" s="1">
        <v>8.5399999999999991</v>
      </c>
      <c r="V75" s="1">
        <v>8.5399999999999991</v>
      </c>
      <c r="W75" s="1">
        <v>8.7200000000000006</v>
      </c>
      <c r="X75" s="1">
        <v>8.7200000000000006</v>
      </c>
      <c r="Y75" s="1">
        <v>8.7200000000000006</v>
      </c>
      <c r="Z75" s="1">
        <v>8.7200000000000006</v>
      </c>
      <c r="AA75" s="1">
        <v>8.99</v>
      </c>
      <c r="AB75" s="1">
        <v>8.99</v>
      </c>
      <c r="AC75" s="1">
        <v>9.19</v>
      </c>
      <c r="AD75" s="1">
        <v>9.19</v>
      </c>
      <c r="AE75" s="1">
        <v>9.4237863941408211</v>
      </c>
      <c r="AF75" s="1">
        <v>9.4237863941408229</v>
      </c>
      <c r="AG75" s="1">
        <v>9.4237863941408229</v>
      </c>
      <c r="AH75" s="1">
        <v>9.4237863941408229</v>
      </c>
      <c r="AI75" s="1">
        <v>10.701928393962119</v>
      </c>
      <c r="AJ75" s="1">
        <v>10.701928393962119</v>
      </c>
      <c r="AK75" s="1">
        <v>10.701928393962119</v>
      </c>
      <c r="AL75" s="1">
        <v>10.701928393962119</v>
      </c>
      <c r="AM75" s="1">
        <v>10.723570905573098</v>
      </c>
      <c r="AN75" s="1">
        <v>10.723570905573098</v>
      </c>
      <c r="AO75" s="1">
        <v>10.723570905573098</v>
      </c>
      <c r="AP75" s="1">
        <v>10.723570905573098</v>
      </c>
      <c r="AQ75" s="1">
        <v>11.365433253288749</v>
      </c>
      <c r="AR75" s="1">
        <v>11.365433253288749</v>
      </c>
      <c r="AS75" s="1">
        <v>11.365433253288749</v>
      </c>
      <c r="AT75" s="1">
        <v>11.365433253288749</v>
      </c>
      <c r="AU75" s="1">
        <v>11.30283374754427</v>
      </c>
      <c r="AV75" s="1">
        <v>11.30283374754427</v>
      </c>
      <c r="AW75" s="1">
        <v>11.30283374754427</v>
      </c>
      <c r="AX75" s="1">
        <v>11.30283374754427</v>
      </c>
      <c r="AY75" s="1">
        <v>11.462720921538027</v>
      </c>
      <c r="AZ75" s="1">
        <v>11.462720921538027</v>
      </c>
      <c r="BA75" s="1">
        <v>11.462720921538027</v>
      </c>
      <c r="BB75" s="1">
        <v>11.462720921538027</v>
      </c>
      <c r="BC75" s="1">
        <v>11.748032545195697</v>
      </c>
      <c r="BD75" s="1">
        <v>11.748032545195697</v>
      </c>
      <c r="BE75" s="1">
        <v>11.748032545195697</v>
      </c>
      <c r="BF75" s="1">
        <v>11.748032545195697</v>
      </c>
      <c r="BG75" s="1">
        <v>11.933440115411708</v>
      </c>
      <c r="BH75" s="1">
        <v>11.933440115411708</v>
      </c>
      <c r="BI75" s="1">
        <v>11.933440115411708</v>
      </c>
      <c r="BJ75" s="1">
        <v>11.933440115411708</v>
      </c>
      <c r="BK75" s="1">
        <v>11.599162199999999</v>
      </c>
      <c r="BL75" s="1">
        <v>11.599162199999999</v>
      </c>
      <c r="BM75" s="1">
        <v>11.599162199999999</v>
      </c>
      <c r="BN75" s="1">
        <v>11.599162199999999</v>
      </c>
      <c r="BO75" s="1">
        <v>9.9482957999999986</v>
      </c>
      <c r="BP75" s="1">
        <v>9.9482957999999986</v>
      </c>
      <c r="BQ75" s="1">
        <v>9.9482957999999986</v>
      </c>
      <c r="BR75" s="1">
        <v>9.9482957999999986</v>
      </c>
      <c r="BS75" s="1">
        <v>10.170738</v>
      </c>
      <c r="BT75" s="1">
        <v>10.170738</v>
      </c>
      <c r="BU75" s="1">
        <v>10.170738</v>
      </c>
      <c r="BV75" s="1">
        <v>10.170738</v>
      </c>
      <c r="BW75" s="1">
        <v>11.208198712500002</v>
      </c>
      <c r="BX75" s="1">
        <v>11.208198712500002</v>
      </c>
      <c r="BY75" s="1">
        <v>11.208198712500002</v>
      </c>
      <c r="BZ75" s="1">
        <v>11.208198712500002</v>
      </c>
      <c r="CA75" s="1">
        <v>12.138599025</v>
      </c>
      <c r="CB75" s="1">
        <v>12.138599025</v>
      </c>
      <c r="CC75" s="1">
        <v>12.138599025</v>
      </c>
      <c r="CD75" s="1">
        <v>12.138599025</v>
      </c>
      <c r="CE75" s="1">
        <v>13.93578625</v>
      </c>
      <c r="CF75" s="1">
        <v>13.93578625</v>
      </c>
      <c r="CG75" s="1">
        <v>13.93578625</v>
      </c>
      <c r="CH75" s="1">
        <v>13.93578625</v>
      </c>
      <c r="CI75" s="1">
        <v>18.201646562499999</v>
      </c>
      <c r="CJ75" s="1">
        <v>18.201646562499999</v>
      </c>
      <c r="CK75" s="1">
        <v>18.201646562499999</v>
      </c>
      <c r="CL75" s="1">
        <v>18.201646562499999</v>
      </c>
      <c r="CM75" s="1">
        <v>19.662944374999999</v>
      </c>
      <c r="CN75" s="1">
        <v>19.662944374999999</v>
      </c>
    </row>
    <row r="76" spans="1:92" x14ac:dyDescent="0.35">
      <c r="A76" t="s">
        <v>62</v>
      </c>
      <c r="B76" s="1">
        <v>6.99</v>
      </c>
      <c r="C76" s="1">
        <v>6.99</v>
      </c>
      <c r="D76" s="1">
        <v>7.43</v>
      </c>
      <c r="E76" s="1">
        <v>7.43</v>
      </c>
      <c r="F76" s="1">
        <v>7.43</v>
      </c>
      <c r="G76" s="1">
        <v>8.1301114724999977</v>
      </c>
      <c r="H76" s="1">
        <v>8.1301114724999977</v>
      </c>
      <c r="I76" s="1">
        <v>8.1301114724999977</v>
      </c>
      <c r="J76" s="1">
        <v>8.1301114724999977</v>
      </c>
      <c r="K76" s="1">
        <v>8.1301114724999977</v>
      </c>
      <c r="L76" s="1">
        <v>8.1301114724999977</v>
      </c>
      <c r="M76" s="1">
        <v>8.1301114724999977</v>
      </c>
      <c r="N76" s="1">
        <v>8.1301114724999977</v>
      </c>
      <c r="O76" s="1">
        <v>8.1301114724999977</v>
      </c>
      <c r="P76" s="1">
        <v>8.1301114724999977</v>
      </c>
      <c r="Q76" s="1">
        <v>8.1301114724999977</v>
      </c>
      <c r="R76" s="1">
        <v>8.1301114724999977</v>
      </c>
      <c r="S76" s="1">
        <v>8.4602921125000012</v>
      </c>
      <c r="T76" s="1">
        <v>8.4602921125000012</v>
      </c>
      <c r="U76" s="1">
        <v>8.4602921125000012</v>
      </c>
      <c r="V76" s="1">
        <v>8.4602921125000012</v>
      </c>
      <c r="W76" s="1">
        <v>8.9187658324999983</v>
      </c>
      <c r="X76" s="1">
        <v>8.9187658324999983</v>
      </c>
      <c r="Y76" s="1">
        <v>8.9187658324999983</v>
      </c>
      <c r="Z76" s="1">
        <v>8.9187658324999983</v>
      </c>
      <c r="AA76" s="1">
        <v>9.4369107524999993</v>
      </c>
      <c r="AB76" s="1">
        <v>9.4369107524999993</v>
      </c>
      <c r="AC76" s="1">
        <v>9.4369107524999993</v>
      </c>
      <c r="AD76" s="1">
        <v>9.4369107524999993</v>
      </c>
      <c r="AE76" s="1">
        <v>9.9386460924999991</v>
      </c>
      <c r="AF76" s="1">
        <v>9.9386460924999991</v>
      </c>
      <c r="AG76" s="1">
        <v>9.9386460924999991</v>
      </c>
      <c r="AH76" s="1">
        <v>9.9386460924999991</v>
      </c>
      <c r="AI76" s="1">
        <v>11.055492052499998</v>
      </c>
      <c r="AJ76" s="1">
        <v>11.055492052499998</v>
      </c>
      <c r="AK76" s="1">
        <v>11.055492052499998</v>
      </c>
      <c r="AL76" s="1">
        <v>11.055492052499998</v>
      </c>
      <c r="AM76" s="1">
        <v>12.137529812499999</v>
      </c>
      <c r="AN76" s="1">
        <v>12.137529812499999</v>
      </c>
      <c r="AO76" s="1">
        <v>12.137529812499999</v>
      </c>
      <c r="AP76" s="1">
        <v>12.137529812499999</v>
      </c>
      <c r="AQ76" s="1">
        <v>12.726782912499999</v>
      </c>
      <c r="AR76" s="1">
        <v>12.726782912499999</v>
      </c>
      <c r="AS76" s="1">
        <v>12.726782912499999</v>
      </c>
      <c r="AT76" s="1">
        <v>12.726782912499999</v>
      </c>
      <c r="AU76" s="1">
        <v>13.740198792499999</v>
      </c>
      <c r="AV76" s="1">
        <v>13.740198792499999</v>
      </c>
      <c r="AW76" s="1">
        <v>13.740198792499999</v>
      </c>
      <c r="AX76" s="1">
        <v>13.740198792499999</v>
      </c>
      <c r="AY76" s="1">
        <v>14.226519072499997</v>
      </c>
      <c r="AZ76" s="1">
        <v>14.226519072499997</v>
      </c>
      <c r="BA76" s="1">
        <v>14.226519072499997</v>
      </c>
      <c r="BB76" s="1">
        <v>14.226519072499997</v>
      </c>
      <c r="BC76" s="1">
        <v>14.666096912499999</v>
      </c>
      <c r="BD76" s="1">
        <v>14.666096912499999</v>
      </c>
      <c r="BE76" s="1">
        <v>14.666096912499999</v>
      </c>
      <c r="BF76" s="1">
        <v>14.666096912499999</v>
      </c>
      <c r="BG76" s="1">
        <v>14.666096912499999</v>
      </c>
      <c r="BH76" s="1">
        <v>14.666096912499999</v>
      </c>
      <c r="BI76" s="1">
        <v>14.666096912499999</v>
      </c>
      <c r="BJ76" s="1">
        <v>14.666096912499999</v>
      </c>
      <c r="BK76" s="1">
        <v>15.1026911925</v>
      </c>
      <c r="BL76" s="1">
        <v>15.1026911925</v>
      </c>
      <c r="BM76" s="1">
        <v>15.1026911925</v>
      </c>
      <c r="BN76" s="1">
        <v>15.1026911925</v>
      </c>
      <c r="BO76" s="1">
        <v>15.102691192499998</v>
      </c>
      <c r="BP76" s="1">
        <v>15.102691192499998</v>
      </c>
      <c r="BQ76" s="1">
        <v>15.102691192499998</v>
      </c>
      <c r="BR76" s="1">
        <v>15.102691192499998</v>
      </c>
      <c r="BS76" s="1">
        <v>15.102691192499996</v>
      </c>
      <c r="BT76" s="1">
        <v>15.102691192499996</v>
      </c>
      <c r="BU76" s="1">
        <v>15.102691192499996</v>
      </c>
      <c r="BV76" s="1">
        <v>15.102691192499996</v>
      </c>
      <c r="BW76" s="1">
        <v>15.890261504999998</v>
      </c>
      <c r="BX76" s="1">
        <v>15.890261504999998</v>
      </c>
      <c r="BY76" s="1">
        <v>15.890261504999998</v>
      </c>
      <c r="BZ76" s="1">
        <v>15.890261504999998</v>
      </c>
      <c r="CA76" s="1">
        <v>18.105465277499999</v>
      </c>
      <c r="CB76" s="1">
        <v>18.105465277499999</v>
      </c>
      <c r="CC76" s="1">
        <v>18.105465277499999</v>
      </c>
      <c r="CD76" s="1">
        <v>18.105465277499999</v>
      </c>
      <c r="CE76" s="1">
        <v>17.856745750000002</v>
      </c>
      <c r="CF76" s="1">
        <v>17.856745750000002</v>
      </c>
      <c r="CG76" s="1">
        <v>17.856745750000002</v>
      </c>
      <c r="CH76" s="1">
        <v>17.856745750000002</v>
      </c>
      <c r="CI76" s="1">
        <v>19.6015415625</v>
      </c>
      <c r="CJ76" s="1">
        <v>19.6015415625</v>
      </c>
      <c r="CK76" s="1">
        <v>19.6015415625</v>
      </c>
      <c r="CL76" s="1">
        <v>19.6015415625</v>
      </c>
      <c r="CM76" s="1">
        <v>20.575584374999998</v>
      </c>
      <c r="CN76" s="1">
        <v>20.575584374999998</v>
      </c>
    </row>
    <row r="77" spans="1:92" x14ac:dyDescent="0.35">
      <c r="A77" t="s">
        <v>64</v>
      </c>
      <c r="B77" s="1">
        <v>7.01</v>
      </c>
      <c r="C77" s="1">
        <v>7.27</v>
      </c>
      <c r="D77" s="1">
        <v>7.27</v>
      </c>
      <c r="E77" s="1">
        <v>7.38</v>
      </c>
      <c r="F77" s="1">
        <v>7.38</v>
      </c>
      <c r="G77" s="1">
        <v>7.38</v>
      </c>
      <c r="H77" s="1">
        <v>7.38</v>
      </c>
      <c r="I77" s="1">
        <v>7.38</v>
      </c>
      <c r="J77" s="1">
        <v>7.38</v>
      </c>
      <c r="K77" s="1">
        <v>7.38</v>
      </c>
      <c r="L77" s="1">
        <v>7.38</v>
      </c>
      <c r="M77" s="1">
        <v>7.38</v>
      </c>
      <c r="N77" s="1">
        <v>7.38</v>
      </c>
      <c r="O77" s="1">
        <v>7.38</v>
      </c>
      <c r="P77" s="1">
        <v>7.38</v>
      </c>
      <c r="Q77" s="1">
        <v>7.38</v>
      </c>
      <c r="R77" s="1">
        <v>7.38</v>
      </c>
      <c r="S77" s="1">
        <v>7.93</v>
      </c>
      <c r="T77" s="1">
        <v>7.93</v>
      </c>
      <c r="U77" s="1">
        <v>7.96</v>
      </c>
      <c r="V77" s="1">
        <v>7.96</v>
      </c>
      <c r="W77" s="1">
        <v>10.06</v>
      </c>
      <c r="X77" s="1">
        <v>10.06</v>
      </c>
      <c r="Y77" s="1">
        <v>10.06</v>
      </c>
      <c r="Z77" s="1">
        <v>10.06</v>
      </c>
      <c r="AA77" s="1">
        <v>10.37</v>
      </c>
      <c r="AB77" s="1">
        <v>10.37</v>
      </c>
      <c r="AC77" s="1">
        <v>10.6</v>
      </c>
      <c r="AD77" s="1">
        <v>10.6</v>
      </c>
      <c r="AE77" s="1">
        <v>10.597054499999999</v>
      </c>
      <c r="AF77" s="1">
        <v>10.597054499999999</v>
      </c>
      <c r="AG77" s="1">
        <v>10.8398655</v>
      </c>
      <c r="AH77" s="1">
        <v>10.8398655</v>
      </c>
      <c r="AI77" s="1">
        <v>11.119922758822499</v>
      </c>
      <c r="AJ77" s="1">
        <v>11.119922758822499</v>
      </c>
      <c r="AK77" s="1">
        <v>11.119922758822499</v>
      </c>
      <c r="AL77" s="1">
        <v>11.119922758822499</v>
      </c>
      <c r="AM77" s="1">
        <v>11.807622373860001</v>
      </c>
      <c r="AN77" s="1">
        <v>11.807622373860001</v>
      </c>
      <c r="AO77" s="1">
        <v>11.807622373860001</v>
      </c>
      <c r="AP77" s="1">
        <v>11.807622373860001</v>
      </c>
      <c r="AQ77" s="1">
        <v>12.634555499999998</v>
      </c>
      <c r="AR77" s="1">
        <v>13.205875499999998</v>
      </c>
      <c r="AS77" s="1">
        <v>13.205875499999998</v>
      </c>
      <c r="AT77" s="1">
        <v>13.205875499999998</v>
      </c>
      <c r="AU77" s="1">
        <v>13.6455435</v>
      </c>
      <c r="AV77" s="1">
        <v>13.6455435</v>
      </c>
      <c r="AW77" s="1">
        <v>13.6455435</v>
      </c>
      <c r="AX77" s="1">
        <v>13.6455435</v>
      </c>
      <c r="AY77" s="1">
        <v>14.557093874999996</v>
      </c>
      <c r="AZ77" s="1">
        <v>14.557093874999996</v>
      </c>
      <c r="BA77" s="1">
        <v>14.557093874999996</v>
      </c>
      <c r="BB77" s="1">
        <v>14.557093874999996</v>
      </c>
      <c r="BC77" s="1">
        <v>15.453973124999999</v>
      </c>
      <c r="BD77" s="1">
        <v>15.453973124999999</v>
      </c>
      <c r="BE77" s="1">
        <v>15.453973124999999</v>
      </c>
      <c r="BF77" s="1">
        <v>15.453973124999999</v>
      </c>
      <c r="BG77" s="1">
        <v>15.902412749999996</v>
      </c>
      <c r="BH77" s="1">
        <v>15.902412749999996</v>
      </c>
      <c r="BI77" s="1">
        <v>15.894519516562497</v>
      </c>
      <c r="BJ77" s="1">
        <v>15.894519516562497</v>
      </c>
      <c r="BK77" s="1">
        <v>15.8945195165625</v>
      </c>
      <c r="BL77" s="1">
        <v>15.8945195165625</v>
      </c>
      <c r="BM77" s="1">
        <v>15.8945195165625</v>
      </c>
      <c r="BN77" s="1">
        <v>15.8945195165625</v>
      </c>
      <c r="BO77" s="1">
        <v>14.415751112500001</v>
      </c>
      <c r="BP77" s="1">
        <v>14.415751112500001</v>
      </c>
      <c r="BQ77" s="1">
        <v>14.415751112500001</v>
      </c>
      <c r="BR77" s="1">
        <v>14.415751112500001</v>
      </c>
      <c r="BS77" s="1">
        <v>15.179660462499999</v>
      </c>
      <c r="BT77" s="1">
        <v>15.179660462499999</v>
      </c>
      <c r="BU77" s="1">
        <v>15.179660462499999</v>
      </c>
      <c r="BV77" s="1">
        <v>15.179660462499999</v>
      </c>
      <c r="BW77" s="1">
        <v>16.103533375000001</v>
      </c>
      <c r="BX77" s="1">
        <v>16.103533375000001</v>
      </c>
      <c r="BY77" s="1">
        <v>16.103533375000001</v>
      </c>
      <c r="BZ77" s="1">
        <v>16.103533375000001</v>
      </c>
      <c r="CA77" s="1">
        <v>15.399831987500001</v>
      </c>
      <c r="CB77" s="1">
        <v>15.399831987500001</v>
      </c>
      <c r="CC77" s="1">
        <v>15.399831987500001</v>
      </c>
      <c r="CD77" s="1">
        <v>15.399831987500001</v>
      </c>
      <c r="CE77" s="1">
        <v>17.167619999999999</v>
      </c>
      <c r="CF77" s="1">
        <v>17.167619999999999</v>
      </c>
      <c r="CG77" s="1">
        <v>17.167619999999999</v>
      </c>
      <c r="CH77" s="1">
        <v>17.167619999999999</v>
      </c>
      <c r="CI77" s="1">
        <v>18.851409212499998</v>
      </c>
      <c r="CJ77" s="1">
        <v>18.851409212499998</v>
      </c>
      <c r="CK77" s="1">
        <v>18.851409212499998</v>
      </c>
      <c r="CL77" s="1">
        <v>18.851409212499998</v>
      </c>
      <c r="CM77" s="1">
        <v>20.717513924999999</v>
      </c>
      <c r="CN77" s="1">
        <v>20.717513924999999</v>
      </c>
    </row>
    <row r="78" spans="1:92" x14ac:dyDescent="0.35">
      <c r="A78" t="s">
        <v>63</v>
      </c>
      <c r="B78" s="1">
        <v>6.68</v>
      </c>
      <c r="C78" s="1">
        <v>6.95</v>
      </c>
      <c r="D78" s="1">
        <v>6.95</v>
      </c>
      <c r="E78" s="1">
        <v>7.06</v>
      </c>
      <c r="F78" s="1">
        <v>7.06</v>
      </c>
      <c r="G78" s="1">
        <v>7.06</v>
      </c>
      <c r="H78" s="1">
        <v>7.06</v>
      </c>
      <c r="I78" s="1">
        <v>7.06</v>
      </c>
      <c r="J78" s="1">
        <v>7.06</v>
      </c>
      <c r="K78" s="1">
        <v>7.06</v>
      </c>
      <c r="L78" s="1">
        <v>7.06</v>
      </c>
      <c r="M78" s="1">
        <v>7.06</v>
      </c>
      <c r="N78" s="1">
        <v>7.06</v>
      </c>
      <c r="O78" s="1">
        <v>7.32</v>
      </c>
      <c r="P78" s="1">
        <v>7.32</v>
      </c>
      <c r="Q78" s="1">
        <v>7.32</v>
      </c>
      <c r="R78" s="1">
        <v>7.32</v>
      </c>
      <c r="S78" s="1">
        <v>7.69</v>
      </c>
      <c r="T78" s="1">
        <v>7.69</v>
      </c>
      <c r="U78" s="1">
        <v>7.73</v>
      </c>
      <c r="V78" s="1">
        <v>7.73</v>
      </c>
      <c r="W78" s="1">
        <v>9.76</v>
      </c>
      <c r="X78" s="1">
        <v>9.76</v>
      </c>
      <c r="Y78" s="1">
        <v>9.76</v>
      </c>
      <c r="Z78" s="1">
        <v>9.76</v>
      </c>
      <c r="AA78" s="1">
        <v>9.77</v>
      </c>
      <c r="AB78" s="1">
        <v>9.77</v>
      </c>
      <c r="AC78" s="1">
        <v>9.98</v>
      </c>
      <c r="AD78" s="1">
        <v>9.98</v>
      </c>
      <c r="AE78" s="1">
        <v>9.9822644999999977</v>
      </c>
      <c r="AF78" s="1">
        <v>9.9822644999999977</v>
      </c>
      <c r="AG78" s="1">
        <v>10.214829000000002</v>
      </c>
      <c r="AH78" s="1">
        <v>10.214829000000002</v>
      </c>
      <c r="AI78" s="1">
        <v>10.551677419867499</v>
      </c>
      <c r="AJ78" s="1">
        <v>10.551677419867499</v>
      </c>
      <c r="AK78" s="1">
        <v>10.551677419867499</v>
      </c>
      <c r="AL78" s="1">
        <v>10.551677419867499</v>
      </c>
      <c r="AM78" s="1">
        <v>11.253069693675</v>
      </c>
      <c r="AN78" s="1">
        <v>11.253069693675</v>
      </c>
      <c r="AO78" s="1">
        <v>11.253069693675</v>
      </c>
      <c r="AP78" s="1">
        <v>11.253069693675</v>
      </c>
      <c r="AQ78" s="1">
        <v>11.099027282512496</v>
      </c>
      <c r="AR78" s="1">
        <v>12.464401499999999</v>
      </c>
      <c r="AS78" s="1">
        <v>12.464401499999999</v>
      </c>
      <c r="AT78" s="1">
        <v>12.464401499999999</v>
      </c>
      <c r="AU78" s="1">
        <v>12.870535500000001</v>
      </c>
      <c r="AV78" s="1">
        <v>12.870535500000001</v>
      </c>
      <c r="AW78" s="1">
        <v>12.870535500000001</v>
      </c>
      <c r="AX78" s="1">
        <v>12.870535500000001</v>
      </c>
      <c r="AY78" s="1">
        <v>13.689013499999996</v>
      </c>
      <c r="AZ78" s="1">
        <v>13.689013499999996</v>
      </c>
      <c r="BA78" s="1">
        <v>13.689013499999996</v>
      </c>
      <c r="BB78" s="1">
        <v>13.689013499999996</v>
      </c>
      <c r="BC78" s="1">
        <v>13.997572874999998</v>
      </c>
      <c r="BD78" s="1">
        <v>13.997572874999998</v>
      </c>
      <c r="BE78" s="1">
        <v>13.997572874999998</v>
      </c>
      <c r="BF78" s="1">
        <v>13.997572874999998</v>
      </c>
      <c r="BG78" s="1">
        <v>14.470697249999997</v>
      </c>
      <c r="BH78" s="1">
        <v>14.470697249999997</v>
      </c>
      <c r="BI78" s="1">
        <v>15.894519516562497</v>
      </c>
      <c r="BJ78" s="1">
        <v>15.894519516562497</v>
      </c>
      <c r="BK78" s="1">
        <v>15.8945195165625</v>
      </c>
      <c r="BL78" s="1">
        <v>15.8945195165625</v>
      </c>
      <c r="BM78" s="1">
        <v>15.8945195165625</v>
      </c>
      <c r="BN78" s="1">
        <v>15.8945195165625</v>
      </c>
      <c r="BO78" s="1">
        <v>14.415751112500001</v>
      </c>
      <c r="BP78" s="1">
        <v>14.415751112500001</v>
      </c>
      <c r="BQ78" s="1">
        <v>14.415751112500001</v>
      </c>
      <c r="BR78" s="1">
        <v>14.415751112500001</v>
      </c>
      <c r="BS78" s="1">
        <v>15.179660462499999</v>
      </c>
      <c r="BT78" s="1">
        <v>15.179660462499999</v>
      </c>
      <c r="BU78" s="1">
        <v>15.179660462499999</v>
      </c>
      <c r="BV78" s="1">
        <v>15.179660462499999</v>
      </c>
      <c r="BW78" s="1">
        <v>16.103533375000001</v>
      </c>
      <c r="BX78" s="1">
        <v>16.103533375000001</v>
      </c>
      <c r="BY78" s="1">
        <v>16.103533375000001</v>
      </c>
      <c r="BZ78" s="1">
        <v>16.103533375000001</v>
      </c>
      <c r="CA78" s="1">
        <v>15.399831987500001</v>
      </c>
      <c r="CB78" s="1">
        <v>15.399831987500001</v>
      </c>
      <c r="CC78" s="1">
        <v>15.399831987500001</v>
      </c>
      <c r="CD78" s="1">
        <v>15.399831987500001</v>
      </c>
      <c r="CE78" s="1">
        <v>17.167619999999999</v>
      </c>
      <c r="CF78" s="1">
        <v>17.167619999999999</v>
      </c>
      <c r="CG78" s="1">
        <v>17.167619999999999</v>
      </c>
      <c r="CH78" s="1">
        <v>17.167619999999999</v>
      </c>
      <c r="CI78" s="1">
        <v>18.851409212499998</v>
      </c>
      <c r="CJ78" s="1">
        <v>18.851409212499998</v>
      </c>
      <c r="CK78" s="1">
        <v>18.851409212499998</v>
      </c>
      <c r="CL78" s="1">
        <v>18.851409212499998</v>
      </c>
      <c r="CM78" s="1">
        <v>20.717513924999999</v>
      </c>
      <c r="CN78" s="1">
        <v>20.717513924999999</v>
      </c>
    </row>
    <row r="79" spans="1:92" x14ac:dyDescent="0.35">
      <c r="A79" t="s">
        <v>65</v>
      </c>
      <c r="B79" s="1">
        <v>6.54</v>
      </c>
      <c r="C79" s="1">
        <v>6.56</v>
      </c>
      <c r="D79" s="1">
        <v>6.56</v>
      </c>
      <c r="E79" s="1">
        <v>6.51</v>
      </c>
      <c r="F79" s="1">
        <v>6.51</v>
      </c>
      <c r="G79" s="1">
        <v>7.31</v>
      </c>
      <c r="H79" s="1">
        <v>7.31</v>
      </c>
      <c r="I79" s="1">
        <v>7.31</v>
      </c>
      <c r="J79" s="1">
        <v>7.31</v>
      </c>
      <c r="K79" s="1">
        <v>8.08</v>
      </c>
      <c r="L79" s="1">
        <v>8.08</v>
      </c>
      <c r="M79" s="1">
        <v>8.08</v>
      </c>
      <c r="N79" s="1">
        <v>8.08</v>
      </c>
      <c r="O79" s="1">
        <v>8.67</v>
      </c>
      <c r="P79" s="1">
        <v>8.67</v>
      </c>
      <c r="Q79" s="1">
        <v>8.67</v>
      </c>
      <c r="R79" s="1">
        <v>8.67</v>
      </c>
      <c r="S79" s="1">
        <v>9.56</v>
      </c>
      <c r="T79" s="1">
        <v>9.56</v>
      </c>
      <c r="U79" s="1">
        <v>9.56</v>
      </c>
      <c r="V79" s="1">
        <v>9.56</v>
      </c>
      <c r="W79" s="1">
        <v>9.76</v>
      </c>
      <c r="X79" s="1">
        <v>9.76</v>
      </c>
      <c r="Y79" s="1">
        <v>9.76</v>
      </c>
      <c r="Z79" s="1">
        <v>9.76</v>
      </c>
      <c r="AA79" s="1">
        <v>10.1</v>
      </c>
      <c r="AB79" s="1">
        <v>10.1</v>
      </c>
      <c r="AC79" s="1">
        <v>10.32</v>
      </c>
      <c r="AD79" s="1">
        <v>10.32</v>
      </c>
      <c r="AE79" s="1">
        <v>10.714325607677486</v>
      </c>
      <c r="AF79" s="1">
        <v>10.714325607677486</v>
      </c>
      <c r="AG79" s="1">
        <v>10.714325607677486</v>
      </c>
      <c r="AH79" s="1">
        <v>10.714325607677486</v>
      </c>
      <c r="AI79" s="1">
        <v>11.570447464246499</v>
      </c>
      <c r="AJ79" s="1">
        <v>11.570447464246499</v>
      </c>
      <c r="AK79" s="1">
        <v>11.570447464246499</v>
      </c>
      <c r="AL79" s="1">
        <v>11.570447464246499</v>
      </c>
      <c r="AM79" s="1">
        <v>11.733691500000001</v>
      </c>
      <c r="AN79" s="1">
        <v>11.733691500000001</v>
      </c>
      <c r="AO79" s="1">
        <v>11.733691500000001</v>
      </c>
      <c r="AP79" s="1">
        <v>11.733691500000001</v>
      </c>
      <c r="AQ79" s="1">
        <v>12.219043527293548</v>
      </c>
      <c r="AR79" s="1">
        <v>12.219043527293548</v>
      </c>
      <c r="AS79" s="1">
        <v>12.219043527293548</v>
      </c>
      <c r="AT79" s="1">
        <v>12.219043527293548</v>
      </c>
      <c r="AU79" s="1">
        <v>12.53307481270156</v>
      </c>
      <c r="AV79" s="1">
        <v>12.53307481270156</v>
      </c>
      <c r="AW79" s="1">
        <v>12.53307481270156</v>
      </c>
      <c r="AX79" s="1">
        <v>12.53307481270156</v>
      </c>
      <c r="AY79" s="1">
        <v>12.790984555427254</v>
      </c>
      <c r="AZ79" s="1">
        <v>12.790984555427254</v>
      </c>
      <c r="BA79" s="1">
        <v>12.790984555427254</v>
      </c>
      <c r="BB79" s="1">
        <v>12.790984555427254</v>
      </c>
      <c r="BC79" s="1">
        <v>13.174632875</v>
      </c>
      <c r="BD79" s="1">
        <v>13.174632875</v>
      </c>
      <c r="BE79" s="1">
        <v>13.174632875</v>
      </c>
      <c r="BF79" s="1">
        <v>13.174632875</v>
      </c>
      <c r="BG79" s="1">
        <v>13.392902874999997</v>
      </c>
      <c r="BH79" s="1">
        <v>13.392902874999997</v>
      </c>
      <c r="BI79" s="1">
        <v>13.392902874999997</v>
      </c>
      <c r="BJ79" s="1">
        <v>13.392902874999997</v>
      </c>
      <c r="BK79" s="1">
        <v>13.748011374999999</v>
      </c>
      <c r="BL79" s="1">
        <v>13.748011374999999</v>
      </c>
      <c r="BM79" s="1">
        <v>13.748011374999999</v>
      </c>
      <c r="BN79" s="1">
        <v>13.748011374999999</v>
      </c>
      <c r="BO79" s="1">
        <v>14.067021374999998</v>
      </c>
      <c r="BP79" s="1">
        <v>14.067021374999998</v>
      </c>
      <c r="BQ79" s="1">
        <v>14.067021374999998</v>
      </c>
      <c r="BR79" s="1">
        <v>14.067021374999998</v>
      </c>
      <c r="BS79" s="1">
        <v>14.370920374999999</v>
      </c>
      <c r="BT79" s="1">
        <v>14.370920374999999</v>
      </c>
      <c r="BU79" s="1">
        <v>14.370920374999999</v>
      </c>
      <c r="BV79" s="1">
        <v>14.370920374999999</v>
      </c>
      <c r="BW79" s="1">
        <v>15.088477440792413</v>
      </c>
      <c r="BX79" s="1">
        <v>15.088477440792413</v>
      </c>
      <c r="BY79" s="1">
        <v>15.088477440792413</v>
      </c>
      <c r="BZ79" s="1">
        <v>15.088477440792413</v>
      </c>
      <c r="CA79" s="1">
        <v>15.387820078925101</v>
      </c>
      <c r="CB79" s="1">
        <v>15.387820078925101</v>
      </c>
      <c r="CC79" s="1">
        <v>15.387820078925101</v>
      </c>
      <c r="CD79" s="1">
        <v>15.387820078925101</v>
      </c>
      <c r="CE79" s="1">
        <v>16.451867222077901</v>
      </c>
      <c r="CF79" s="1">
        <v>16.451867222077901</v>
      </c>
      <c r="CG79" s="1">
        <v>16.451867222077901</v>
      </c>
      <c r="CH79" s="1">
        <v>16.451867222077901</v>
      </c>
      <c r="CI79" s="1">
        <v>17.07453501618</v>
      </c>
      <c r="CJ79" s="1">
        <v>17.07453501618</v>
      </c>
      <c r="CK79" s="1">
        <v>17.07453501618</v>
      </c>
      <c r="CL79" s="1">
        <v>17.07453501618</v>
      </c>
      <c r="CM79" s="1">
        <v>19.236434084957999</v>
      </c>
      <c r="CN79" s="1">
        <v>19.236434084957999</v>
      </c>
    </row>
    <row r="80" spans="1:92" x14ac:dyDescent="0.35">
      <c r="A80" t="s">
        <v>86</v>
      </c>
      <c r="B80" s="1">
        <v>7.86</v>
      </c>
      <c r="C80" s="1">
        <v>8.08</v>
      </c>
      <c r="D80" s="1">
        <v>8.08</v>
      </c>
      <c r="E80" s="1">
        <v>8.08</v>
      </c>
      <c r="F80" s="1">
        <v>8.08</v>
      </c>
      <c r="G80" s="1">
        <v>8.42</v>
      </c>
      <c r="H80" s="1">
        <v>8.42</v>
      </c>
      <c r="I80" s="1">
        <v>8.42</v>
      </c>
      <c r="J80" s="1">
        <v>8.42</v>
      </c>
      <c r="K80" s="1">
        <v>8.8699999999999992</v>
      </c>
      <c r="L80" s="1">
        <v>8.8699999999999992</v>
      </c>
      <c r="M80" s="1">
        <v>8.8699999999999992</v>
      </c>
      <c r="N80" s="1">
        <v>8.8699999999999992</v>
      </c>
      <c r="O80" s="1">
        <v>8.64</v>
      </c>
      <c r="P80" s="1">
        <v>8.64</v>
      </c>
      <c r="Q80" s="1">
        <v>8.64</v>
      </c>
      <c r="R80" s="1">
        <v>8.64</v>
      </c>
      <c r="S80" s="1">
        <v>9.43</v>
      </c>
      <c r="T80" s="1">
        <v>9.43</v>
      </c>
      <c r="U80" s="1">
        <v>9.43</v>
      </c>
      <c r="V80" s="1">
        <v>9.43</v>
      </c>
      <c r="W80" s="1">
        <v>9.66</v>
      </c>
      <c r="X80" s="1">
        <v>9.66</v>
      </c>
      <c r="Y80" s="1">
        <v>9.66</v>
      </c>
      <c r="Z80" s="1">
        <v>11.68</v>
      </c>
      <c r="AA80" s="1">
        <v>11.68</v>
      </c>
      <c r="AB80" s="1">
        <v>11.68</v>
      </c>
      <c r="AC80" s="1">
        <v>11.94</v>
      </c>
      <c r="AD80" s="1">
        <v>11.94</v>
      </c>
      <c r="AE80" s="1">
        <v>13.092570312499999</v>
      </c>
      <c r="AF80" s="1">
        <v>13.092570312499999</v>
      </c>
      <c r="AG80" s="1">
        <v>13.092570312499999</v>
      </c>
      <c r="AH80" s="1">
        <v>13.092570312499999</v>
      </c>
      <c r="AI80" s="1">
        <v>16.303370312499997</v>
      </c>
      <c r="AJ80" s="1">
        <v>16.303370312499997</v>
      </c>
      <c r="AK80" s="1">
        <v>16.303370312499997</v>
      </c>
      <c r="AL80" s="1">
        <v>16.303370312499997</v>
      </c>
      <c r="AM80" s="1">
        <v>16.817420312499998</v>
      </c>
      <c r="AN80" s="1">
        <v>16.817420312499998</v>
      </c>
      <c r="AO80" s="1">
        <v>16.817420312499998</v>
      </c>
      <c r="AP80" s="1">
        <v>16.817420312499998</v>
      </c>
      <c r="AQ80" s="1">
        <v>17.776520312499997</v>
      </c>
      <c r="AR80" s="1">
        <v>17.776520312499997</v>
      </c>
      <c r="AS80" s="1">
        <v>17.776520312499997</v>
      </c>
      <c r="AT80" s="1">
        <v>17.776520312499997</v>
      </c>
      <c r="AU80" s="1">
        <v>19.0702703125</v>
      </c>
      <c r="AV80" s="1">
        <v>19.0702703125</v>
      </c>
      <c r="AW80" s="1">
        <v>19.0702703125</v>
      </c>
      <c r="AX80" s="1">
        <v>19.0702703125</v>
      </c>
      <c r="AY80" s="1">
        <v>20.079970312499999</v>
      </c>
      <c r="AZ80" s="1">
        <v>20.079970312499999</v>
      </c>
      <c r="BA80" s="1">
        <v>20.079970312499999</v>
      </c>
      <c r="BB80" s="1">
        <v>20.079970312499999</v>
      </c>
      <c r="BC80" s="1">
        <v>19.889070312499999</v>
      </c>
      <c r="BD80" s="1">
        <v>19.889070312499999</v>
      </c>
      <c r="BE80" s="1">
        <v>19.889070312499999</v>
      </c>
      <c r="BF80" s="1">
        <v>19.889070312499999</v>
      </c>
      <c r="BG80" s="1">
        <v>22.373070312500005</v>
      </c>
      <c r="BH80" s="1">
        <v>22.373070312500005</v>
      </c>
      <c r="BI80" s="1">
        <v>22.373070312500005</v>
      </c>
      <c r="BJ80" s="1">
        <v>22.373070312500005</v>
      </c>
      <c r="BK80" s="1">
        <v>24.5810703125</v>
      </c>
      <c r="BL80" s="1">
        <v>24.5810703125</v>
      </c>
      <c r="BM80" s="1">
        <v>24.5810703125</v>
      </c>
      <c r="BN80" s="1">
        <v>24.5810703125</v>
      </c>
      <c r="BO80" s="1">
        <v>21.602570312499996</v>
      </c>
      <c r="BP80" s="1">
        <v>21.602570312499996</v>
      </c>
      <c r="BQ80" s="1">
        <v>21.602570312499996</v>
      </c>
      <c r="BR80" s="1">
        <v>21.602570312499996</v>
      </c>
      <c r="BS80" s="1">
        <v>21.6830703125</v>
      </c>
      <c r="BT80" s="1">
        <v>21.6830703125</v>
      </c>
      <c r="BU80" s="1">
        <v>21.6830703125</v>
      </c>
      <c r="BV80" s="1">
        <v>21.6830703125</v>
      </c>
      <c r="BW80" s="1">
        <v>18.618140624999999</v>
      </c>
      <c r="BX80" s="1">
        <v>18.618140624999999</v>
      </c>
      <c r="BY80" s="1">
        <v>18.618140624999999</v>
      </c>
      <c r="BZ80" s="1">
        <v>18.618140624999999</v>
      </c>
      <c r="CA80" s="1">
        <v>18.485710937499999</v>
      </c>
      <c r="CB80" s="1">
        <v>18.485710937499999</v>
      </c>
      <c r="CC80" s="1">
        <v>18.485710937499999</v>
      </c>
      <c r="CD80" s="1">
        <v>18.485710937499999</v>
      </c>
      <c r="CE80" s="1">
        <v>19.434281250000002</v>
      </c>
      <c r="CF80" s="1">
        <v>19.434281250000002</v>
      </c>
      <c r="CG80" s="1">
        <v>19.434281250000002</v>
      </c>
      <c r="CH80" s="1">
        <v>19.434281250000002</v>
      </c>
      <c r="CI80" s="1">
        <v>22.061851562499999</v>
      </c>
      <c r="CJ80" s="1">
        <v>22.061851562499999</v>
      </c>
      <c r="CK80" s="1">
        <v>22.061851562499999</v>
      </c>
      <c r="CL80" s="1">
        <v>22.061851562499999</v>
      </c>
      <c r="CM80" s="1">
        <v>23.263421874999999</v>
      </c>
      <c r="CN80" s="1">
        <v>23.263421874999999</v>
      </c>
    </row>
    <row r="81" spans="1:92" x14ac:dyDescent="0.35">
      <c r="A81" t="s">
        <v>37</v>
      </c>
      <c r="B81" s="1">
        <v>6.06</v>
      </c>
      <c r="C81" s="1">
        <v>7.32</v>
      </c>
      <c r="D81" s="1">
        <v>7.32</v>
      </c>
      <c r="E81" s="1">
        <v>7.32</v>
      </c>
      <c r="F81" s="1">
        <v>7.32</v>
      </c>
      <c r="G81" s="1">
        <v>7.32</v>
      </c>
      <c r="H81" s="1">
        <v>7.32</v>
      </c>
      <c r="I81" s="1">
        <v>7.04</v>
      </c>
      <c r="J81" s="1">
        <v>7.04</v>
      </c>
      <c r="K81" s="1">
        <v>7.37</v>
      </c>
      <c r="L81" s="1">
        <v>7.37</v>
      </c>
      <c r="M81" s="1">
        <v>7.37</v>
      </c>
      <c r="N81" s="1">
        <v>6.96</v>
      </c>
      <c r="O81" s="1">
        <v>7.87</v>
      </c>
      <c r="P81" s="1">
        <v>7.87</v>
      </c>
      <c r="Q81" s="1">
        <v>7.87</v>
      </c>
      <c r="R81" s="1">
        <v>7.87</v>
      </c>
      <c r="S81" s="1">
        <v>8.26</v>
      </c>
      <c r="T81" s="1">
        <v>8.26</v>
      </c>
      <c r="U81" s="1">
        <v>8.26</v>
      </c>
      <c r="V81" s="1">
        <v>8.26</v>
      </c>
      <c r="W81" s="1">
        <v>9.19</v>
      </c>
      <c r="X81" s="1">
        <v>9.19</v>
      </c>
      <c r="Y81" s="1">
        <v>9.19</v>
      </c>
      <c r="Z81" s="1">
        <v>9.19</v>
      </c>
      <c r="AA81" s="1">
        <v>9.59</v>
      </c>
      <c r="AB81" s="1">
        <v>9.59</v>
      </c>
      <c r="AC81" s="1">
        <v>9.81</v>
      </c>
      <c r="AD81" s="1">
        <v>9.81</v>
      </c>
      <c r="AE81" s="1">
        <v>10.7005703125</v>
      </c>
      <c r="AF81" s="1">
        <v>10.7005703125</v>
      </c>
      <c r="AG81" s="1">
        <v>10.7005703125</v>
      </c>
      <c r="AH81" s="1">
        <v>10.7005703125</v>
      </c>
      <c r="AI81" s="1">
        <v>11.505570312499998</v>
      </c>
      <c r="AJ81" s="1">
        <v>11.505570312499998</v>
      </c>
      <c r="AK81" s="1">
        <v>11.505570312499998</v>
      </c>
      <c r="AL81" s="1">
        <v>11.505570312499998</v>
      </c>
      <c r="AM81" s="1">
        <v>12.172570312499998</v>
      </c>
      <c r="AN81" s="1">
        <v>12.172570312499998</v>
      </c>
      <c r="AO81" s="1">
        <v>12.172570312499998</v>
      </c>
      <c r="AP81" s="1">
        <v>12.172570312499998</v>
      </c>
      <c r="AQ81" s="1">
        <v>13.920570312499997</v>
      </c>
      <c r="AR81" s="1">
        <v>13.920570312499997</v>
      </c>
      <c r="AS81" s="1">
        <v>13.920570312499997</v>
      </c>
      <c r="AT81" s="1">
        <v>13.920570312499997</v>
      </c>
      <c r="AU81" s="1">
        <v>14.1275703125</v>
      </c>
      <c r="AV81" s="1">
        <v>14.1275703125</v>
      </c>
      <c r="AW81" s="1">
        <v>14.1275703125</v>
      </c>
      <c r="AX81" s="1">
        <v>14.1275703125</v>
      </c>
      <c r="AY81" s="1">
        <v>14.5875703125</v>
      </c>
      <c r="AZ81" s="1">
        <v>14.5875703125</v>
      </c>
      <c r="BA81" s="1">
        <v>14.5875703125</v>
      </c>
      <c r="BB81" s="1">
        <v>14.5875703125</v>
      </c>
      <c r="BC81" s="1">
        <v>14.817570312499997</v>
      </c>
      <c r="BD81" s="1">
        <v>14.817570312499997</v>
      </c>
      <c r="BE81" s="1">
        <v>14.817570312499997</v>
      </c>
      <c r="BF81" s="1">
        <v>14.817570312499997</v>
      </c>
      <c r="BG81" s="1">
        <v>14.817570312499997</v>
      </c>
      <c r="BH81" s="1">
        <v>14.817570312499997</v>
      </c>
      <c r="BI81" s="1">
        <v>14.817570312499997</v>
      </c>
      <c r="BJ81" s="1">
        <v>14.817570312499997</v>
      </c>
      <c r="BK81" s="1">
        <v>13.932070312499999</v>
      </c>
      <c r="BL81" s="1">
        <v>13.932070312499999</v>
      </c>
      <c r="BM81" s="1">
        <v>13.932070312499999</v>
      </c>
      <c r="BN81" s="1">
        <v>13.932070312499999</v>
      </c>
      <c r="BO81" s="1">
        <v>12.000070312499998</v>
      </c>
      <c r="BP81" s="1">
        <v>12.000070312499998</v>
      </c>
      <c r="BQ81" s="1">
        <v>12.000070312499998</v>
      </c>
      <c r="BR81" s="1">
        <v>12.000070312499998</v>
      </c>
      <c r="BS81" s="1">
        <v>12.000070312499998</v>
      </c>
      <c r="BT81" s="1">
        <v>12.000070312499998</v>
      </c>
      <c r="BU81" s="1">
        <v>12.000070312499998</v>
      </c>
      <c r="BV81" s="1">
        <v>12.000070312499998</v>
      </c>
      <c r="BW81" s="1">
        <v>12.040140624999998</v>
      </c>
      <c r="BX81" s="1">
        <v>12.040140624999998</v>
      </c>
      <c r="BY81" s="1">
        <v>12.040140624999998</v>
      </c>
      <c r="BZ81" s="1">
        <v>12.040140624999998</v>
      </c>
      <c r="CA81" s="1">
        <v>12.1377109375</v>
      </c>
      <c r="CB81" s="1">
        <v>12.1377109375</v>
      </c>
      <c r="CC81" s="1">
        <v>12.1377109375</v>
      </c>
      <c r="CD81" s="1">
        <v>12.1377109375</v>
      </c>
      <c r="CE81" s="1">
        <v>11.890281249999999</v>
      </c>
      <c r="CF81" s="1">
        <v>11.890281249999999</v>
      </c>
      <c r="CG81" s="1">
        <v>11.890281249999999</v>
      </c>
      <c r="CH81" s="1">
        <v>11.890281249999999</v>
      </c>
      <c r="CI81" s="1">
        <v>14.2878515625</v>
      </c>
      <c r="CJ81" s="1">
        <v>14.2878515625</v>
      </c>
      <c r="CK81" s="1">
        <v>14.2878515625</v>
      </c>
      <c r="CL81" s="1">
        <v>14.2878515625</v>
      </c>
      <c r="CM81" s="1">
        <v>16.685421874999999</v>
      </c>
      <c r="CN81" s="1">
        <v>16.685421874999999</v>
      </c>
    </row>
    <row r="82" spans="1:92" x14ac:dyDescent="0.35">
      <c r="A82" t="s">
        <v>67</v>
      </c>
      <c r="B82" s="1">
        <v>7.33</v>
      </c>
      <c r="C82" s="1">
        <v>7.32</v>
      </c>
      <c r="D82" s="1">
        <v>7.32</v>
      </c>
      <c r="E82" s="1">
        <v>7.32</v>
      </c>
      <c r="F82" s="1">
        <v>7.32</v>
      </c>
      <c r="G82" s="1">
        <v>7.32</v>
      </c>
      <c r="H82" s="1">
        <v>7.32</v>
      </c>
      <c r="I82" s="1">
        <v>7.04</v>
      </c>
      <c r="J82" s="1">
        <v>7.04</v>
      </c>
      <c r="K82" s="1">
        <v>7.04</v>
      </c>
      <c r="L82" s="1">
        <v>7.04</v>
      </c>
      <c r="M82" s="1">
        <v>7.04</v>
      </c>
      <c r="N82" s="1">
        <v>7.04</v>
      </c>
      <c r="O82" s="1">
        <v>8.06</v>
      </c>
      <c r="P82" s="1">
        <v>8.06</v>
      </c>
      <c r="Q82" s="1">
        <v>8.06</v>
      </c>
      <c r="R82" s="1">
        <v>8.06</v>
      </c>
      <c r="S82" s="1">
        <v>8.35</v>
      </c>
      <c r="T82" s="1">
        <v>8.35</v>
      </c>
      <c r="U82" s="1">
        <v>8.35</v>
      </c>
      <c r="V82" s="1">
        <v>8.35</v>
      </c>
      <c r="W82" s="1">
        <v>9.43</v>
      </c>
      <c r="X82" s="1">
        <v>9.43</v>
      </c>
      <c r="Y82" s="1">
        <v>9.43</v>
      </c>
      <c r="Z82" s="1">
        <v>9.43</v>
      </c>
      <c r="AA82" s="1">
        <v>9.41</v>
      </c>
      <c r="AB82" s="1">
        <v>9.41</v>
      </c>
      <c r="AC82" s="1">
        <v>9.6199999999999992</v>
      </c>
      <c r="AD82" s="1">
        <v>9.6199999999999992</v>
      </c>
      <c r="AE82" s="1">
        <v>10.217570312499998</v>
      </c>
      <c r="AF82" s="1">
        <v>10.217570312499998</v>
      </c>
      <c r="AG82" s="1">
        <v>10.217570312499998</v>
      </c>
      <c r="AH82" s="1">
        <v>10.217570312499998</v>
      </c>
      <c r="AI82" s="1">
        <v>11.528570312499998</v>
      </c>
      <c r="AJ82" s="1">
        <v>11.528570312499998</v>
      </c>
      <c r="AK82" s="1">
        <v>11.528570312499998</v>
      </c>
      <c r="AL82" s="1">
        <v>11.528570312499998</v>
      </c>
      <c r="AM82" s="1">
        <v>11.678070312499999</v>
      </c>
      <c r="AN82" s="1">
        <v>11.678070312499999</v>
      </c>
      <c r="AO82" s="1">
        <v>11.678070312499999</v>
      </c>
      <c r="AP82" s="1">
        <v>11.678070312499999</v>
      </c>
      <c r="AQ82" s="1">
        <v>13.3340703125</v>
      </c>
      <c r="AR82" s="1">
        <v>13.3340703125</v>
      </c>
      <c r="AS82" s="1">
        <v>13.3340703125</v>
      </c>
      <c r="AT82" s="1">
        <v>13.3340703125</v>
      </c>
      <c r="AU82" s="1">
        <v>13.552570312499999</v>
      </c>
      <c r="AV82" s="1">
        <v>13.552570312499999</v>
      </c>
      <c r="AW82" s="1">
        <v>13.552570312499999</v>
      </c>
      <c r="AX82" s="1">
        <v>13.552570312499999</v>
      </c>
      <c r="AY82" s="1">
        <v>13.667570312500001</v>
      </c>
      <c r="AZ82" s="1">
        <v>13.667570312500001</v>
      </c>
      <c r="BA82" s="1">
        <v>13.667570312500001</v>
      </c>
      <c r="BB82" s="1">
        <v>13.667570312500001</v>
      </c>
      <c r="BC82" s="1">
        <v>13.782570312499999</v>
      </c>
      <c r="BD82" s="1">
        <v>13.782570312499999</v>
      </c>
      <c r="BE82" s="1">
        <v>13.782570312499999</v>
      </c>
      <c r="BF82" s="1">
        <v>13.782570312499999</v>
      </c>
      <c r="BG82" s="1">
        <v>13.667570312500001</v>
      </c>
      <c r="BH82" s="1">
        <v>13.667570312500001</v>
      </c>
      <c r="BI82" s="1">
        <v>13.667570312500001</v>
      </c>
      <c r="BJ82" s="1">
        <v>13.667570312500001</v>
      </c>
      <c r="BK82" s="1">
        <v>13.207570312500003</v>
      </c>
      <c r="BL82" s="1">
        <v>13.207570312500003</v>
      </c>
      <c r="BM82" s="1">
        <v>13.207570312500003</v>
      </c>
      <c r="BN82" s="1">
        <v>13.207570312500003</v>
      </c>
      <c r="BO82" s="1">
        <v>11.425070312499997</v>
      </c>
      <c r="BP82" s="1">
        <v>11.425070312499997</v>
      </c>
      <c r="BQ82" s="1">
        <v>11.425070312499997</v>
      </c>
      <c r="BR82" s="1">
        <v>11.425070312499997</v>
      </c>
      <c r="BS82" s="1">
        <v>11.080070312499998</v>
      </c>
      <c r="BT82" s="1">
        <v>11.080070312499998</v>
      </c>
      <c r="BU82" s="1">
        <v>11.080070312499998</v>
      </c>
      <c r="BV82" s="1">
        <v>11.080070312499998</v>
      </c>
      <c r="BW82" s="1">
        <v>11.120140624999999</v>
      </c>
      <c r="BX82" s="1">
        <v>11.120140624999999</v>
      </c>
      <c r="BY82" s="1">
        <v>11.120140624999999</v>
      </c>
      <c r="BZ82" s="1">
        <v>11.120140624999999</v>
      </c>
      <c r="CA82" s="1">
        <v>11.2177109375</v>
      </c>
      <c r="CB82" s="1">
        <v>11.2177109375</v>
      </c>
      <c r="CC82" s="1">
        <v>11.2177109375</v>
      </c>
      <c r="CD82" s="1">
        <v>11.2177109375</v>
      </c>
      <c r="CE82" s="1">
        <v>10.970281249999999</v>
      </c>
      <c r="CF82" s="1">
        <v>10.970281249999999</v>
      </c>
      <c r="CG82" s="1">
        <v>10.970281249999999</v>
      </c>
      <c r="CH82" s="1">
        <v>10.970281249999999</v>
      </c>
      <c r="CI82" s="1">
        <v>13.597851562500001</v>
      </c>
      <c r="CJ82" s="1">
        <v>13.597851562500001</v>
      </c>
      <c r="CK82" s="1">
        <v>13.597851562500001</v>
      </c>
      <c r="CL82" s="1">
        <v>13.597851562500001</v>
      </c>
      <c r="CM82" s="1">
        <v>15.328421875</v>
      </c>
      <c r="CN82" s="1">
        <v>15.328421875</v>
      </c>
    </row>
    <row r="83" spans="1:92" x14ac:dyDescent="0.35">
      <c r="A83" t="s">
        <v>68</v>
      </c>
      <c r="B83" s="1">
        <v>7.09</v>
      </c>
      <c r="C83" s="1">
        <v>7.32</v>
      </c>
      <c r="D83" s="1">
        <v>7.32</v>
      </c>
      <c r="E83" s="1">
        <v>7.32</v>
      </c>
      <c r="F83" s="1">
        <v>7.32</v>
      </c>
      <c r="G83" s="1">
        <v>7.32</v>
      </c>
      <c r="H83" s="1">
        <v>7.32</v>
      </c>
      <c r="I83" s="1">
        <v>7.04</v>
      </c>
      <c r="J83" s="1">
        <v>7.04</v>
      </c>
      <c r="K83" s="1">
        <v>7</v>
      </c>
      <c r="L83" s="1">
        <v>7</v>
      </c>
      <c r="M83" s="1">
        <v>7</v>
      </c>
      <c r="N83" s="1">
        <v>7</v>
      </c>
      <c r="O83" s="1">
        <v>8.06</v>
      </c>
      <c r="P83" s="1">
        <v>8.06</v>
      </c>
      <c r="Q83" s="1">
        <v>8.06</v>
      </c>
      <c r="R83" s="1">
        <v>8.06</v>
      </c>
      <c r="S83" s="1">
        <v>8.35</v>
      </c>
      <c r="T83" s="1">
        <v>8.35</v>
      </c>
      <c r="U83" s="1">
        <v>8.35</v>
      </c>
      <c r="V83" s="1">
        <v>8.35</v>
      </c>
      <c r="W83" s="1">
        <v>9.43</v>
      </c>
      <c r="X83" s="1">
        <v>9.43</v>
      </c>
      <c r="Y83" s="1">
        <v>9.43</v>
      </c>
      <c r="Z83" s="1">
        <v>9.43</v>
      </c>
      <c r="AA83" s="1">
        <v>9.41</v>
      </c>
      <c r="AB83" s="1">
        <v>9.41</v>
      </c>
      <c r="AC83" s="1">
        <v>9.6199999999999992</v>
      </c>
      <c r="AD83" s="1">
        <v>9.6199999999999992</v>
      </c>
      <c r="AE83" s="1">
        <v>10.217570312499998</v>
      </c>
      <c r="AF83" s="1">
        <v>10.217570312499998</v>
      </c>
      <c r="AG83" s="1">
        <v>10.217570312499998</v>
      </c>
      <c r="AH83" s="1">
        <v>10.217570312499998</v>
      </c>
      <c r="AI83" s="1">
        <v>11.528570312499998</v>
      </c>
      <c r="AJ83" s="1">
        <v>11.528570312499998</v>
      </c>
      <c r="AK83" s="1">
        <v>11.528570312499998</v>
      </c>
      <c r="AL83" s="1">
        <v>11.528570312499998</v>
      </c>
      <c r="AM83" s="1">
        <v>11.678070312499999</v>
      </c>
      <c r="AN83" s="1">
        <v>11.678070312499999</v>
      </c>
      <c r="AO83" s="1">
        <v>11.678070312499999</v>
      </c>
      <c r="AP83" s="1">
        <v>11.678070312499999</v>
      </c>
      <c r="AQ83" s="1">
        <v>13.3340703125</v>
      </c>
      <c r="AR83" s="1">
        <v>13.3340703125</v>
      </c>
      <c r="AS83" s="1">
        <v>13.3340703125</v>
      </c>
      <c r="AT83" s="1">
        <v>13.3340703125</v>
      </c>
      <c r="AU83" s="1">
        <v>13.552570312499999</v>
      </c>
      <c r="AV83" s="1">
        <v>13.552570312499999</v>
      </c>
      <c r="AW83" s="1">
        <v>13.552570312499999</v>
      </c>
      <c r="AX83" s="1">
        <v>13.552570312499999</v>
      </c>
      <c r="AY83" s="1">
        <v>13.667570312500001</v>
      </c>
      <c r="AZ83" s="1">
        <v>13.667570312500001</v>
      </c>
      <c r="BA83" s="1">
        <v>13.667570312500001</v>
      </c>
      <c r="BB83" s="1">
        <v>13.667570312500001</v>
      </c>
      <c r="BC83" s="1">
        <v>13.782570312499999</v>
      </c>
      <c r="BD83" s="1">
        <v>13.782570312499999</v>
      </c>
      <c r="BE83" s="1">
        <v>13.782570312499999</v>
      </c>
      <c r="BF83" s="1">
        <v>13.782570312499999</v>
      </c>
      <c r="BG83" s="1">
        <v>13.667570312500001</v>
      </c>
      <c r="BH83" s="1">
        <v>13.667570312500001</v>
      </c>
      <c r="BI83" s="1">
        <v>13.667570312500001</v>
      </c>
      <c r="BJ83" s="1">
        <v>13.667570312500001</v>
      </c>
      <c r="BK83" s="1">
        <v>13.207570312500003</v>
      </c>
      <c r="BL83" s="1">
        <v>13.207570312500003</v>
      </c>
      <c r="BM83" s="1">
        <v>13.207570312500003</v>
      </c>
      <c r="BN83" s="1">
        <v>13.207570312500003</v>
      </c>
      <c r="BO83" s="1">
        <v>11.425070312499997</v>
      </c>
      <c r="BP83" s="1">
        <v>11.425070312499997</v>
      </c>
      <c r="BQ83" s="1">
        <v>11.425070312499997</v>
      </c>
      <c r="BR83" s="1">
        <v>11.425070312499997</v>
      </c>
      <c r="BS83" s="1">
        <v>11.080070312499998</v>
      </c>
      <c r="BT83" s="1">
        <v>11.080070312499998</v>
      </c>
      <c r="BU83" s="1">
        <v>11.080070312499998</v>
      </c>
      <c r="BV83" s="1">
        <v>11.080070312499998</v>
      </c>
      <c r="BW83" s="1">
        <v>11.120140624999999</v>
      </c>
      <c r="BX83" s="1">
        <v>11.120140624999999</v>
      </c>
      <c r="BY83" s="1">
        <v>11.120140624999999</v>
      </c>
      <c r="BZ83" s="1">
        <v>11.120140624999999</v>
      </c>
      <c r="CA83" s="1">
        <v>11.2177109375</v>
      </c>
      <c r="CB83" s="1">
        <v>11.2177109375</v>
      </c>
      <c r="CC83" s="1">
        <v>11.2177109375</v>
      </c>
      <c r="CD83" s="1">
        <v>11.2177109375</v>
      </c>
      <c r="CE83" s="1">
        <v>10.970281249999999</v>
      </c>
      <c r="CF83" s="1">
        <v>10.970281249999999</v>
      </c>
      <c r="CG83" s="1">
        <v>10.970281249999999</v>
      </c>
      <c r="CH83" s="1">
        <v>10.970281249999999</v>
      </c>
      <c r="CI83" s="1">
        <v>13.597851562500001</v>
      </c>
      <c r="CJ83" s="1">
        <v>13.597851562500001</v>
      </c>
      <c r="CK83" s="1">
        <v>13.597851562500001</v>
      </c>
      <c r="CL83" s="1">
        <v>13.597851562500001</v>
      </c>
      <c r="CM83" s="1">
        <v>15.328421875</v>
      </c>
      <c r="CN83" s="1">
        <v>15.328421875</v>
      </c>
    </row>
    <row r="84" spans="1:92" x14ac:dyDescent="0.35">
      <c r="A84" t="s">
        <v>72</v>
      </c>
      <c r="B84" s="1">
        <v>6.89</v>
      </c>
      <c r="C84" s="1">
        <v>7.21</v>
      </c>
      <c r="D84" s="1">
        <v>7.21</v>
      </c>
      <c r="E84" s="1">
        <v>7.21</v>
      </c>
      <c r="F84" s="1">
        <v>7.21</v>
      </c>
      <c r="G84" s="1">
        <v>7.18</v>
      </c>
      <c r="H84" s="1">
        <v>7.18</v>
      </c>
      <c r="I84" s="1">
        <v>7.18</v>
      </c>
      <c r="J84" s="1">
        <v>7.18</v>
      </c>
      <c r="K84" s="1">
        <v>7.56</v>
      </c>
      <c r="L84" s="1">
        <v>7.56</v>
      </c>
      <c r="M84" s="1">
        <v>7.56</v>
      </c>
      <c r="N84" s="1">
        <v>7.56</v>
      </c>
      <c r="O84" s="1">
        <v>8.42</v>
      </c>
      <c r="P84" s="1">
        <v>8.42</v>
      </c>
      <c r="Q84" s="1">
        <v>8.42</v>
      </c>
      <c r="R84" s="1">
        <v>8.42</v>
      </c>
      <c r="S84" s="1">
        <v>9.74</v>
      </c>
      <c r="T84" s="1">
        <v>9.74</v>
      </c>
      <c r="U84" s="1">
        <v>9.74</v>
      </c>
      <c r="V84" s="1">
        <v>9.74</v>
      </c>
      <c r="W84" s="1">
        <v>10.33</v>
      </c>
      <c r="X84" s="1">
        <v>10.33</v>
      </c>
      <c r="Y84" s="1">
        <v>10.33</v>
      </c>
      <c r="Z84" s="1">
        <v>10.33</v>
      </c>
      <c r="AA84" s="1">
        <v>10.74</v>
      </c>
      <c r="AB84" s="1">
        <v>10.74</v>
      </c>
      <c r="AC84" s="1">
        <v>10.98</v>
      </c>
      <c r="AD84" s="1">
        <v>10.98</v>
      </c>
      <c r="AE84" s="1">
        <v>10.976570312499998</v>
      </c>
      <c r="AF84" s="1">
        <v>10.976570312499998</v>
      </c>
      <c r="AG84" s="1">
        <v>10.976570312499998</v>
      </c>
      <c r="AH84" s="1">
        <v>10.976570312499998</v>
      </c>
      <c r="AI84" s="1">
        <v>12.057570312499999</v>
      </c>
      <c r="AJ84" s="1">
        <v>12.057570312499999</v>
      </c>
      <c r="AK84" s="1">
        <v>12.057570312499999</v>
      </c>
      <c r="AL84" s="1">
        <v>12.057570312499999</v>
      </c>
      <c r="AM84" s="1">
        <v>11.287070312499999</v>
      </c>
      <c r="AN84" s="1">
        <v>11.287070312499999</v>
      </c>
      <c r="AO84" s="1">
        <v>11.287070312499999</v>
      </c>
      <c r="AP84" s="1">
        <v>11.287070312499999</v>
      </c>
      <c r="AQ84" s="1">
        <v>11.482570312499998</v>
      </c>
      <c r="AR84" s="1">
        <v>11.482570312499998</v>
      </c>
      <c r="AS84" s="1">
        <v>11.482570312499998</v>
      </c>
      <c r="AT84" s="1">
        <v>11.482570312499998</v>
      </c>
      <c r="AU84" s="1">
        <v>11.482570312499998</v>
      </c>
      <c r="AV84" s="1">
        <v>11.482570312499998</v>
      </c>
      <c r="AW84" s="1">
        <v>11.482570312499998</v>
      </c>
      <c r="AX84" s="1">
        <v>11.482570312499998</v>
      </c>
      <c r="AY84" s="1">
        <v>11.574570312499999</v>
      </c>
      <c r="AZ84" s="1">
        <v>11.574570312499999</v>
      </c>
      <c r="BA84" s="1">
        <v>11.574570312499999</v>
      </c>
      <c r="BB84" s="1">
        <v>11.574570312499999</v>
      </c>
      <c r="BC84" s="1">
        <v>11.793070312499999</v>
      </c>
      <c r="BD84" s="1">
        <v>11.793070312499999</v>
      </c>
      <c r="BE84" s="1">
        <v>11.793070312499999</v>
      </c>
      <c r="BF84" s="1">
        <v>11.793070312499999</v>
      </c>
      <c r="BG84" s="1">
        <v>11.632070312499998</v>
      </c>
      <c r="BH84" s="1">
        <v>11.632070312499998</v>
      </c>
      <c r="BI84" s="1">
        <v>11.632070312499998</v>
      </c>
      <c r="BJ84" s="1">
        <v>11.632070312499998</v>
      </c>
      <c r="BK84" s="1">
        <v>11.4595703125</v>
      </c>
      <c r="BL84" s="1">
        <v>11.4595703125</v>
      </c>
      <c r="BM84" s="1">
        <v>11.4595703125</v>
      </c>
      <c r="BN84" s="1">
        <v>11.4595703125</v>
      </c>
      <c r="BO84" s="1">
        <v>10.5843628125</v>
      </c>
      <c r="BP84" s="1">
        <v>10.5843628125</v>
      </c>
      <c r="BQ84" s="1">
        <v>10.5843628125</v>
      </c>
      <c r="BR84" s="1">
        <v>10.5843628125</v>
      </c>
      <c r="BS84" s="1">
        <v>11.1456663125</v>
      </c>
      <c r="BT84" s="1">
        <v>11.1456663125</v>
      </c>
      <c r="BU84" s="1">
        <v>11.1456663125</v>
      </c>
      <c r="BV84" s="1">
        <v>11.1456663125</v>
      </c>
      <c r="BW84" s="1">
        <v>11.254690624999999</v>
      </c>
      <c r="BX84" s="1">
        <v>11.254690624999999</v>
      </c>
      <c r="BY84" s="1">
        <v>11.254690624999999</v>
      </c>
      <c r="BZ84" s="1">
        <v>11.254690624999999</v>
      </c>
      <c r="CA84" s="1">
        <v>11.3706609375</v>
      </c>
      <c r="CB84" s="1">
        <v>11.3706609375</v>
      </c>
      <c r="CC84" s="1">
        <v>11.3706609375</v>
      </c>
      <c r="CD84" s="1">
        <v>11.3706609375</v>
      </c>
      <c r="CE84" s="1">
        <v>11.94904625</v>
      </c>
      <c r="CF84" s="1">
        <v>11.94904625</v>
      </c>
      <c r="CG84" s="1">
        <v>11.94904625</v>
      </c>
      <c r="CH84" s="1">
        <v>11.94904625</v>
      </c>
      <c r="CI84" s="1">
        <v>14.3024565625</v>
      </c>
      <c r="CJ84" s="1">
        <v>14.3024565625</v>
      </c>
      <c r="CK84" s="1">
        <v>14.3024565625</v>
      </c>
      <c r="CL84" s="1">
        <v>14.3024565625</v>
      </c>
      <c r="CM84" s="1">
        <v>16.090791374999998</v>
      </c>
      <c r="CN84" s="1">
        <v>16.090791374999998</v>
      </c>
    </row>
    <row r="85" spans="1:92" x14ac:dyDescent="0.35">
      <c r="A85" t="s">
        <v>73</v>
      </c>
      <c r="B85" s="1">
        <v>5.22</v>
      </c>
      <c r="C85" s="1">
        <v>5.47</v>
      </c>
      <c r="D85" s="1">
        <v>5.47</v>
      </c>
      <c r="E85" s="1">
        <v>5.47</v>
      </c>
      <c r="F85" s="1">
        <v>5.47</v>
      </c>
      <c r="G85" s="1">
        <v>5.98</v>
      </c>
      <c r="H85" s="1">
        <v>5.98</v>
      </c>
      <c r="I85" s="1">
        <v>5.98</v>
      </c>
      <c r="J85" s="1">
        <v>5.98</v>
      </c>
      <c r="K85" s="1">
        <v>6.75</v>
      </c>
      <c r="L85" s="1">
        <v>6.75</v>
      </c>
      <c r="M85" s="1">
        <v>6.75</v>
      </c>
      <c r="N85" s="1">
        <v>6.75</v>
      </c>
      <c r="O85" s="1">
        <v>7.65</v>
      </c>
      <c r="P85" s="1">
        <v>7.65</v>
      </c>
      <c r="Q85" s="1">
        <v>7.65</v>
      </c>
      <c r="R85" s="1">
        <v>7.65</v>
      </c>
      <c r="S85" s="1">
        <v>8.93</v>
      </c>
      <c r="T85" s="1">
        <v>8.93</v>
      </c>
      <c r="U85" s="1">
        <v>8.93</v>
      </c>
      <c r="V85" s="1">
        <v>8.93</v>
      </c>
      <c r="W85" s="1">
        <v>9.41</v>
      </c>
      <c r="X85" s="1">
        <v>9.41</v>
      </c>
      <c r="Y85" s="1">
        <v>9.41</v>
      </c>
      <c r="Z85" s="1">
        <v>9.41</v>
      </c>
      <c r="AA85" s="1">
        <v>9.6199999999999992</v>
      </c>
      <c r="AB85" s="1">
        <v>9.6199999999999992</v>
      </c>
      <c r="AC85" s="1">
        <v>9.83</v>
      </c>
      <c r="AD85" s="1">
        <v>9.83</v>
      </c>
      <c r="AE85" s="1">
        <v>9.8336278265625001</v>
      </c>
      <c r="AF85" s="1">
        <v>9.8336278265625001</v>
      </c>
      <c r="AG85" s="1">
        <v>9.8336278265625001</v>
      </c>
      <c r="AH85" s="1">
        <v>9.8336278265625001</v>
      </c>
      <c r="AI85" s="1">
        <v>10.754777826562501</v>
      </c>
      <c r="AJ85" s="1">
        <v>10.754777826562501</v>
      </c>
      <c r="AK85" s="1">
        <v>10.754777826562501</v>
      </c>
      <c r="AL85" s="1">
        <v>10.754777826562501</v>
      </c>
      <c r="AM85" s="1">
        <v>10.8893278265625</v>
      </c>
      <c r="AN85" s="1">
        <v>10.8893278265625</v>
      </c>
      <c r="AO85" s="1">
        <v>10.8893278265625</v>
      </c>
      <c r="AP85" s="1">
        <v>10.8893278265625</v>
      </c>
      <c r="AQ85" s="1">
        <v>11.261927826562498</v>
      </c>
      <c r="AR85" s="1">
        <v>11.261927826562498</v>
      </c>
      <c r="AS85" s="1">
        <v>11.264070312499999</v>
      </c>
      <c r="AT85" s="1">
        <v>11.264070312499999</v>
      </c>
      <c r="AU85" s="1">
        <v>11.482570312499998</v>
      </c>
      <c r="AV85" s="1">
        <v>11.482570312499998</v>
      </c>
      <c r="AW85" s="1">
        <v>11.482570312499998</v>
      </c>
      <c r="AX85" s="1">
        <v>11.482570312499998</v>
      </c>
      <c r="AY85" s="1">
        <v>11.574570312499999</v>
      </c>
      <c r="AZ85" s="1">
        <v>11.574570312499999</v>
      </c>
      <c r="BA85" s="1">
        <v>11.574570312499999</v>
      </c>
      <c r="BB85" s="1">
        <v>11.574570312499999</v>
      </c>
      <c r="BC85" s="1">
        <v>11.793070312499999</v>
      </c>
      <c r="BD85" s="1">
        <v>11.793070312499999</v>
      </c>
      <c r="BE85" s="1">
        <v>11.793070312499999</v>
      </c>
      <c r="BF85" s="1">
        <v>11.793070312499999</v>
      </c>
      <c r="BG85" s="1">
        <v>11.6320703125</v>
      </c>
      <c r="BH85" s="1">
        <v>11.6320703125</v>
      </c>
      <c r="BI85" s="1">
        <v>11.6320703125</v>
      </c>
      <c r="BJ85" s="1">
        <v>11.6320703125</v>
      </c>
      <c r="BK85" s="1">
        <v>11.4595703125</v>
      </c>
      <c r="BL85" s="1">
        <v>11.4595703125</v>
      </c>
      <c r="BM85" s="1">
        <v>11.4595703125</v>
      </c>
      <c r="BN85" s="1">
        <v>11.4595703125</v>
      </c>
      <c r="BO85" s="1">
        <v>10.5843628125</v>
      </c>
      <c r="BP85" s="1">
        <v>10.5843628125</v>
      </c>
      <c r="BQ85" s="1">
        <v>10.5843628125</v>
      </c>
      <c r="BR85" s="1">
        <v>10.5843628125</v>
      </c>
      <c r="BS85" s="1">
        <v>11.1456663125</v>
      </c>
      <c r="BT85" s="1">
        <v>11.1456663125</v>
      </c>
      <c r="BU85" s="1">
        <v>11.1456663125</v>
      </c>
      <c r="BV85" s="1">
        <v>11.1456663125</v>
      </c>
      <c r="BW85" s="1">
        <v>11.254690624999999</v>
      </c>
      <c r="BX85" s="1">
        <v>11.254690624999999</v>
      </c>
      <c r="BY85" s="1">
        <v>11.254690624999999</v>
      </c>
      <c r="BZ85" s="1">
        <v>11.254690624999999</v>
      </c>
      <c r="CA85" s="1">
        <v>11.221160937500001</v>
      </c>
      <c r="CB85" s="1">
        <v>11.221160937500001</v>
      </c>
      <c r="CC85" s="1">
        <v>11.221160937500001</v>
      </c>
      <c r="CD85" s="1">
        <v>11.221160937500001</v>
      </c>
      <c r="CE85" s="1">
        <v>11.880046249999999</v>
      </c>
      <c r="CF85" s="1">
        <v>11.880046249999999</v>
      </c>
      <c r="CG85" s="1">
        <v>11.880046249999999</v>
      </c>
      <c r="CH85" s="1">
        <v>11.880046249999999</v>
      </c>
      <c r="CI85" s="1">
        <v>14.244956562500001</v>
      </c>
      <c r="CJ85" s="1">
        <v>14.244956562500001</v>
      </c>
      <c r="CK85" s="1">
        <v>14.244956562500001</v>
      </c>
      <c r="CL85" s="1">
        <v>14.244956562500001</v>
      </c>
      <c r="CM85" s="1">
        <v>16.148291374999999</v>
      </c>
      <c r="CN85" s="1">
        <v>16.148291374999999</v>
      </c>
    </row>
    <row r="86" spans="1:92" x14ac:dyDescent="0.35">
      <c r="A86" t="s">
        <v>82</v>
      </c>
      <c r="B86" s="1">
        <v>4.51</v>
      </c>
      <c r="C86" s="1">
        <v>4.51</v>
      </c>
      <c r="D86" s="1">
        <v>4.62</v>
      </c>
      <c r="E86" s="1">
        <v>4.62</v>
      </c>
      <c r="F86" s="1">
        <v>4.62</v>
      </c>
      <c r="G86" s="1">
        <v>4.96</v>
      </c>
      <c r="H86" s="1">
        <v>4.96</v>
      </c>
      <c r="I86" s="1">
        <v>4.96</v>
      </c>
      <c r="J86" s="1">
        <v>4.96</v>
      </c>
      <c r="K86" s="1">
        <v>5.3</v>
      </c>
      <c r="L86" s="1">
        <v>5.3</v>
      </c>
      <c r="M86" s="1">
        <v>5.3</v>
      </c>
      <c r="N86" s="1">
        <v>5.3</v>
      </c>
      <c r="O86" s="1">
        <v>5.28</v>
      </c>
      <c r="P86" s="1">
        <v>5.28</v>
      </c>
      <c r="Q86" s="1">
        <v>5.28</v>
      </c>
      <c r="R86" s="1">
        <v>5.28</v>
      </c>
      <c r="S86" s="1">
        <v>6.05</v>
      </c>
      <c r="T86" s="1">
        <v>6.05</v>
      </c>
      <c r="U86" s="1">
        <v>6.05</v>
      </c>
      <c r="V86" s="1">
        <v>6.05</v>
      </c>
      <c r="W86" s="1">
        <v>6.32</v>
      </c>
      <c r="X86" s="1">
        <v>6.32</v>
      </c>
      <c r="Y86" s="1">
        <v>6.32</v>
      </c>
      <c r="Z86" s="1">
        <v>6.32</v>
      </c>
      <c r="AA86" s="1">
        <v>6.47</v>
      </c>
      <c r="AB86" s="1">
        <v>6.47</v>
      </c>
      <c r="AC86" s="1">
        <v>6.62</v>
      </c>
      <c r="AD86" s="1">
        <v>6.62</v>
      </c>
      <c r="AE86" s="1">
        <v>6.7974703124999989</v>
      </c>
      <c r="AF86" s="1">
        <v>6.7974703124999989</v>
      </c>
      <c r="AG86" s="1">
        <v>6.7974703124999989</v>
      </c>
      <c r="AH86" s="1">
        <v>6.7974703124999989</v>
      </c>
      <c r="AI86" s="1">
        <v>7.1907703124999998</v>
      </c>
      <c r="AJ86" s="1">
        <v>7.1907703124999998</v>
      </c>
      <c r="AK86" s="1">
        <v>7.1907703124999998</v>
      </c>
      <c r="AL86" s="1">
        <v>7.1907703124999998</v>
      </c>
      <c r="AM86" s="1">
        <v>7.4276703124999992</v>
      </c>
      <c r="AN86" s="1">
        <v>7.4276703124999992</v>
      </c>
      <c r="AO86" s="1">
        <v>7.4276703124999992</v>
      </c>
      <c r="AP86" s="1">
        <v>7.4276703124999992</v>
      </c>
      <c r="AQ86" s="1">
        <v>7.7611703124999991</v>
      </c>
      <c r="AR86" s="1">
        <v>7.7611703124999991</v>
      </c>
      <c r="AS86" s="1">
        <v>7.7611703124999991</v>
      </c>
      <c r="AT86" s="1">
        <v>7.7611703124999991</v>
      </c>
      <c r="AU86" s="1">
        <v>7.7611703124999991</v>
      </c>
      <c r="AV86" s="1">
        <v>7.7611703124999991</v>
      </c>
      <c r="AW86" s="1">
        <v>7.7611703124999991</v>
      </c>
      <c r="AX86" s="1">
        <v>7.7611703124999991</v>
      </c>
      <c r="AY86" s="1">
        <v>8.3522703125</v>
      </c>
      <c r="AZ86" s="1">
        <v>8.3522703125</v>
      </c>
      <c r="BA86" s="1">
        <v>8.3522703125</v>
      </c>
      <c r="BB86" s="1">
        <v>8.3522703125</v>
      </c>
      <c r="BC86" s="1">
        <v>8.667370312500001</v>
      </c>
      <c r="BD86" s="1">
        <v>8.667370312500001</v>
      </c>
      <c r="BE86" s="1">
        <v>8.667370312500001</v>
      </c>
      <c r="BF86" s="1">
        <v>8.667370312500001</v>
      </c>
      <c r="BG86" s="1">
        <v>8.6121703124999982</v>
      </c>
      <c r="BH86" s="1">
        <v>8.6121703124999982</v>
      </c>
      <c r="BI86" s="1">
        <v>8.6121703124999982</v>
      </c>
      <c r="BJ86" s="1">
        <v>8.6121703124999982</v>
      </c>
      <c r="BK86" s="1">
        <v>8.7363703125000001</v>
      </c>
      <c r="BL86" s="1">
        <v>8.7363703125000001</v>
      </c>
      <c r="BM86" s="1">
        <v>8.7363703125000001</v>
      </c>
      <c r="BN86" s="1">
        <v>8.7363703125000001</v>
      </c>
      <c r="BO86" s="1">
        <v>8.7363703124999983</v>
      </c>
      <c r="BP86" s="1">
        <v>8.7363703124999983</v>
      </c>
      <c r="BQ86" s="1">
        <v>8.7363703124999983</v>
      </c>
      <c r="BR86" s="1">
        <v>8.7363703124999983</v>
      </c>
      <c r="BS86" s="1">
        <v>8.8858703124999998</v>
      </c>
      <c r="BT86" s="1">
        <v>8.8858703124999998</v>
      </c>
      <c r="BU86" s="1">
        <v>8.8858703124999998</v>
      </c>
      <c r="BV86" s="1">
        <v>8.8858703124999998</v>
      </c>
      <c r="BW86" s="1">
        <v>9.657340624999998</v>
      </c>
      <c r="BX86" s="1">
        <v>9.657340624999998</v>
      </c>
      <c r="BY86" s="1">
        <v>9.657340624999998</v>
      </c>
      <c r="BZ86" s="1">
        <v>9.657340624999998</v>
      </c>
      <c r="CA86" s="1">
        <v>10.7071109375</v>
      </c>
      <c r="CB86" s="1">
        <v>10.7071109375</v>
      </c>
      <c r="CC86" s="1">
        <v>10.7071109375</v>
      </c>
      <c r="CD86" s="1">
        <v>10.7071109375</v>
      </c>
      <c r="CE86" s="1">
        <v>12.24908125</v>
      </c>
      <c r="CF86" s="1">
        <v>12.24908125</v>
      </c>
      <c r="CG86" s="1">
        <v>12.24908125</v>
      </c>
      <c r="CH86" s="1">
        <v>12.24908125</v>
      </c>
      <c r="CI86" s="1">
        <v>16.463651562500001</v>
      </c>
      <c r="CJ86" s="1">
        <v>16.463651562500001</v>
      </c>
      <c r="CK86" s="1">
        <v>16.463651562500001</v>
      </c>
      <c r="CL86" s="1">
        <v>16.463651562500001</v>
      </c>
      <c r="CM86" s="1">
        <v>16.584221875000001</v>
      </c>
      <c r="CN86" s="1">
        <v>16.584221875000001</v>
      </c>
    </row>
    <row r="87" spans="1:92" x14ac:dyDescent="0.35">
      <c r="A87" t="s">
        <v>76</v>
      </c>
      <c r="B87" s="1">
        <v>6.51</v>
      </c>
      <c r="C87" s="1">
        <v>6.51</v>
      </c>
      <c r="D87" s="1">
        <v>6.51</v>
      </c>
      <c r="E87" s="1">
        <v>6.51</v>
      </c>
      <c r="F87" s="1">
        <v>6.51</v>
      </c>
      <c r="G87" s="1">
        <v>7.13</v>
      </c>
      <c r="H87" s="1">
        <v>7.13</v>
      </c>
      <c r="I87" s="1">
        <v>7.13</v>
      </c>
      <c r="J87" s="1">
        <v>7.13</v>
      </c>
      <c r="K87" s="1">
        <v>7.37</v>
      </c>
      <c r="L87" s="1">
        <v>7.37</v>
      </c>
      <c r="M87" s="1">
        <v>7.37</v>
      </c>
      <c r="N87" s="1">
        <v>7.37</v>
      </c>
      <c r="O87" s="1">
        <v>7.37</v>
      </c>
      <c r="P87" s="1">
        <v>7.37</v>
      </c>
      <c r="Q87" s="1">
        <v>7.83</v>
      </c>
      <c r="R87" s="1">
        <v>7.83</v>
      </c>
      <c r="S87" s="1">
        <v>8.27</v>
      </c>
      <c r="T87" s="1">
        <v>8.27</v>
      </c>
      <c r="U87" s="1">
        <v>8.27</v>
      </c>
      <c r="V87" s="1">
        <v>8.27</v>
      </c>
      <c r="W87" s="1">
        <v>8.73</v>
      </c>
      <c r="X87" s="1">
        <v>8.73</v>
      </c>
      <c r="Y87" s="1">
        <v>8.73</v>
      </c>
      <c r="Z87" s="1">
        <v>8.73</v>
      </c>
      <c r="AA87" s="1">
        <v>8.85</v>
      </c>
      <c r="AB87" s="1">
        <v>8.85</v>
      </c>
      <c r="AC87" s="1">
        <v>9.0399999999999991</v>
      </c>
      <c r="AD87" s="1">
        <v>9.0399999999999991</v>
      </c>
      <c r="AE87" s="1">
        <v>9.3596703124999987</v>
      </c>
      <c r="AF87" s="1">
        <v>9.3596703124999987</v>
      </c>
      <c r="AG87" s="1">
        <v>9.3596703124999987</v>
      </c>
      <c r="AH87" s="1">
        <v>9.3596703124999987</v>
      </c>
      <c r="AI87" s="1">
        <v>10.0726703125</v>
      </c>
      <c r="AJ87" s="1">
        <v>10.0726703125</v>
      </c>
      <c r="AK87" s="1">
        <v>10.0726703125</v>
      </c>
      <c r="AL87" s="1">
        <v>10.0726703125</v>
      </c>
      <c r="AM87" s="1">
        <v>10.859270312499998</v>
      </c>
      <c r="AN87" s="1">
        <v>10.859270312499998</v>
      </c>
      <c r="AO87" s="1">
        <v>10.859270312499998</v>
      </c>
      <c r="AP87" s="1">
        <v>10.859270312499998</v>
      </c>
      <c r="AQ87" s="1">
        <v>12.471570312499997</v>
      </c>
      <c r="AR87" s="1">
        <v>12.471570312499997</v>
      </c>
      <c r="AS87" s="1">
        <v>12.471570312499997</v>
      </c>
      <c r="AT87" s="1">
        <v>12.471570312499997</v>
      </c>
      <c r="AU87" s="1">
        <v>13.173070312499998</v>
      </c>
      <c r="AV87" s="1">
        <v>13.173070312499998</v>
      </c>
      <c r="AW87" s="1">
        <v>13.173070312499998</v>
      </c>
      <c r="AX87" s="1">
        <v>13.173070312499998</v>
      </c>
      <c r="AY87" s="1">
        <v>13.679070312499999</v>
      </c>
      <c r="AZ87" s="1">
        <v>13.679070312499999</v>
      </c>
      <c r="BA87" s="1">
        <v>13.679070312499999</v>
      </c>
      <c r="BB87" s="1">
        <v>13.679070312499999</v>
      </c>
      <c r="BC87" s="1">
        <v>13.874570312499996</v>
      </c>
      <c r="BD87" s="1">
        <v>13.874570312499996</v>
      </c>
      <c r="BE87" s="1">
        <v>13.874570312499996</v>
      </c>
      <c r="BF87" s="1">
        <v>13.874570312499996</v>
      </c>
      <c r="BG87" s="1">
        <v>12.736070312500001</v>
      </c>
      <c r="BH87" s="1">
        <v>12.736070312500001</v>
      </c>
      <c r="BI87" s="1">
        <v>12.736070312500001</v>
      </c>
      <c r="BJ87" s="1">
        <v>12.736070312500001</v>
      </c>
      <c r="BK87" s="1">
        <v>11.496264512499998</v>
      </c>
      <c r="BL87" s="1">
        <v>11.496264512499998</v>
      </c>
      <c r="BM87" s="1">
        <v>11.496264512499998</v>
      </c>
      <c r="BN87" s="1">
        <v>11.496264512499998</v>
      </c>
      <c r="BO87" s="1">
        <v>10.617322042499998</v>
      </c>
      <c r="BP87" s="1">
        <v>10.617322042499998</v>
      </c>
      <c r="BQ87" s="1">
        <v>10.617322042499998</v>
      </c>
      <c r="BR87" s="1">
        <v>10.617322042499998</v>
      </c>
      <c r="BS87" s="1">
        <v>10.617322042499998</v>
      </c>
      <c r="BT87" s="1">
        <v>10.617322042499998</v>
      </c>
      <c r="BU87" s="1">
        <v>10.617322042499998</v>
      </c>
      <c r="BV87" s="1">
        <v>10.617322042499998</v>
      </c>
      <c r="BW87" s="1">
        <v>10.427584865</v>
      </c>
      <c r="BX87" s="1">
        <v>10.427584865</v>
      </c>
      <c r="BY87" s="1">
        <v>10.427584865</v>
      </c>
      <c r="BZ87" s="1">
        <v>10.427584865</v>
      </c>
      <c r="CA87" s="1">
        <v>10.970535917499999</v>
      </c>
      <c r="CB87" s="1">
        <v>10.970535917499999</v>
      </c>
      <c r="CC87" s="1">
        <v>10.970535917499999</v>
      </c>
      <c r="CD87" s="1">
        <v>10.970535917499999</v>
      </c>
      <c r="CE87" s="1">
        <v>11.637908919999999</v>
      </c>
      <c r="CF87" s="1">
        <v>11.637908919999999</v>
      </c>
      <c r="CG87" s="1">
        <v>11.637908919999999</v>
      </c>
      <c r="CH87" s="1">
        <v>11.637908919999999</v>
      </c>
      <c r="CI87" s="1">
        <v>13.5332613525</v>
      </c>
      <c r="CJ87" s="1">
        <v>13.5332613525</v>
      </c>
      <c r="CK87" s="1">
        <v>13.5332613525</v>
      </c>
      <c r="CL87" s="1">
        <v>13.5332613525</v>
      </c>
      <c r="CM87" s="1">
        <v>15.014826075</v>
      </c>
      <c r="CN87" s="1">
        <v>15.014826075</v>
      </c>
    </row>
    <row r="88" spans="1:92" x14ac:dyDescent="0.35">
      <c r="A88" t="s">
        <v>75</v>
      </c>
      <c r="B88" s="1">
        <v>7.16</v>
      </c>
      <c r="C88" s="1">
        <v>7.36</v>
      </c>
      <c r="D88" s="1">
        <v>7.36</v>
      </c>
      <c r="E88" s="1">
        <v>7.36</v>
      </c>
      <c r="F88" s="1">
        <v>7.36</v>
      </c>
      <c r="G88" s="1">
        <v>7.42</v>
      </c>
      <c r="H88" s="1">
        <v>7.42</v>
      </c>
      <c r="I88" s="1">
        <v>7.42</v>
      </c>
      <c r="J88" s="1">
        <v>7.42</v>
      </c>
      <c r="K88" s="1">
        <v>8.1199999999999992</v>
      </c>
      <c r="L88" s="1">
        <v>8.1199999999999992</v>
      </c>
      <c r="M88" s="1">
        <v>8.1199999999999992</v>
      </c>
      <c r="N88" s="1">
        <v>8.1199999999999992</v>
      </c>
      <c r="O88" s="1">
        <v>7.89</v>
      </c>
      <c r="P88" s="1">
        <v>7.89</v>
      </c>
      <c r="Q88" s="1">
        <v>7.89</v>
      </c>
      <c r="R88" s="1">
        <v>7.89</v>
      </c>
      <c r="S88" s="1">
        <v>8.07</v>
      </c>
      <c r="T88" s="1">
        <v>8.07</v>
      </c>
      <c r="U88" s="1">
        <v>8.07</v>
      </c>
      <c r="V88" s="1">
        <v>8.07</v>
      </c>
      <c r="W88" s="1">
        <v>8.5</v>
      </c>
      <c r="X88" s="1">
        <v>8.5</v>
      </c>
      <c r="Y88" s="1">
        <v>8.5</v>
      </c>
      <c r="Z88" s="1">
        <v>8.5</v>
      </c>
      <c r="AA88" s="1">
        <v>8.75</v>
      </c>
      <c r="AB88" s="1">
        <v>8.75</v>
      </c>
      <c r="AC88" s="1">
        <v>8.94</v>
      </c>
      <c r="AD88" s="1">
        <v>8.94</v>
      </c>
      <c r="AE88" s="1">
        <v>9.2055703125000008</v>
      </c>
      <c r="AF88" s="1">
        <v>9.2055703125000008</v>
      </c>
      <c r="AG88" s="1">
        <v>9.2055703125000008</v>
      </c>
      <c r="AH88" s="1">
        <v>9.2055703125000008</v>
      </c>
      <c r="AI88" s="1">
        <v>9.8380703124999993</v>
      </c>
      <c r="AJ88" s="1">
        <v>9.8380703124999993</v>
      </c>
      <c r="AK88" s="1">
        <v>9.8380703124999993</v>
      </c>
      <c r="AL88" s="1">
        <v>9.8380703124999993</v>
      </c>
      <c r="AM88" s="1">
        <v>10.2060703125</v>
      </c>
      <c r="AN88" s="1">
        <v>10.2060703125</v>
      </c>
      <c r="AO88" s="1">
        <v>10.2060703125</v>
      </c>
      <c r="AP88" s="1">
        <v>10.2060703125</v>
      </c>
      <c r="AQ88" s="1">
        <v>11.758570312499998</v>
      </c>
      <c r="AR88" s="1">
        <v>11.758570312499998</v>
      </c>
      <c r="AS88" s="1">
        <v>11.758570312499998</v>
      </c>
      <c r="AT88" s="1">
        <v>11.758570312499998</v>
      </c>
      <c r="AU88" s="1">
        <v>10.8155703125</v>
      </c>
      <c r="AV88" s="1">
        <v>10.8155703125</v>
      </c>
      <c r="AW88" s="1">
        <v>10.8155703125</v>
      </c>
      <c r="AX88" s="1">
        <v>10.8155703125</v>
      </c>
      <c r="AY88" s="1">
        <v>11.4710703125</v>
      </c>
      <c r="AZ88" s="1">
        <v>11.4710703125</v>
      </c>
      <c r="BA88" s="1">
        <v>11.4710703125</v>
      </c>
      <c r="BB88" s="1">
        <v>11.4710703125</v>
      </c>
      <c r="BC88" s="1">
        <v>11.471070312499998</v>
      </c>
      <c r="BD88" s="1">
        <v>11.471070312499998</v>
      </c>
      <c r="BE88" s="1">
        <v>11.471070312499998</v>
      </c>
      <c r="BF88" s="1">
        <v>11.471070312499998</v>
      </c>
      <c r="BG88" s="1">
        <v>11.471070312499998</v>
      </c>
      <c r="BH88" s="1">
        <v>11.471070312499998</v>
      </c>
      <c r="BI88" s="1">
        <v>11.471070312499998</v>
      </c>
      <c r="BJ88" s="1">
        <v>11.471070312499998</v>
      </c>
      <c r="BK88" s="1">
        <v>11.2525703125</v>
      </c>
      <c r="BL88" s="1">
        <v>11.2525703125</v>
      </c>
      <c r="BM88" s="1">
        <v>11.2525703125</v>
      </c>
      <c r="BN88" s="1">
        <v>11.2525703125</v>
      </c>
      <c r="BO88" s="1">
        <v>9.7000703124999994</v>
      </c>
      <c r="BP88" s="1">
        <v>9.7000703124999994</v>
      </c>
      <c r="BQ88" s="1">
        <v>9.7000703124999994</v>
      </c>
      <c r="BR88" s="1">
        <v>9.7000703124999994</v>
      </c>
      <c r="BS88" s="1">
        <v>10.1830703125</v>
      </c>
      <c r="BT88" s="1">
        <v>10.1830703125</v>
      </c>
      <c r="BU88" s="1">
        <v>10.1830703125</v>
      </c>
      <c r="BV88" s="1">
        <v>10.1830703125</v>
      </c>
      <c r="BW88" s="1">
        <v>9.9701406249999991</v>
      </c>
      <c r="BX88" s="1">
        <v>9.9701406249999991</v>
      </c>
      <c r="BY88" s="1">
        <v>9.9701406249999991</v>
      </c>
      <c r="BZ88" s="1">
        <v>9.9701406249999991</v>
      </c>
      <c r="CA88" s="1">
        <v>9.1707109375000009</v>
      </c>
      <c r="CB88" s="1">
        <v>9.1707109375000009</v>
      </c>
      <c r="CC88" s="1">
        <v>9.1707109375000009</v>
      </c>
      <c r="CD88" s="1">
        <v>9.1707109375000009</v>
      </c>
      <c r="CE88" s="1">
        <v>9.6937812500000007</v>
      </c>
      <c r="CF88" s="1">
        <v>9.6937812500000007</v>
      </c>
      <c r="CG88" s="1">
        <v>9.6937812500000007</v>
      </c>
      <c r="CH88" s="1">
        <v>9.6937812500000007</v>
      </c>
      <c r="CI88" s="1">
        <v>11.2748515625</v>
      </c>
      <c r="CJ88" s="1">
        <v>11.2748515625</v>
      </c>
      <c r="CK88" s="1">
        <v>11.2748515625</v>
      </c>
      <c r="CL88" s="1">
        <v>11.2748515625</v>
      </c>
      <c r="CM88" s="1">
        <v>12.280921875000001</v>
      </c>
      <c r="CN88" s="1">
        <v>12.280921875000001</v>
      </c>
    </row>
    <row r="89" spans="1:92" x14ac:dyDescent="0.35">
      <c r="A89" t="s">
        <v>77</v>
      </c>
      <c r="B89" s="1">
        <v>8.59</v>
      </c>
      <c r="C89" s="1">
        <v>8.59</v>
      </c>
      <c r="D89" s="1">
        <v>8.59</v>
      </c>
      <c r="E89" s="1">
        <v>8.59</v>
      </c>
      <c r="F89" s="1">
        <v>8.59</v>
      </c>
      <c r="G89" s="1">
        <v>8.59</v>
      </c>
      <c r="H89" s="1">
        <v>8.84</v>
      </c>
      <c r="I89" s="1">
        <v>8.84</v>
      </c>
      <c r="J89" s="1">
        <v>8.84</v>
      </c>
      <c r="K89" s="1">
        <v>9.0299999999999994</v>
      </c>
      <c r="L89" s="1">
        <v>9.0299999999999994</v>
      </c>
      <c r="M89" s="1">
        <v>9.0299999999999994</v>
      </c>
      <c r="N89" s="1">
        <v>9.0299999999999994</v>
      </c>
      <c r="O89" s="1">
        <v>9.11</v>
      </c>
      <c r="P89" s="1">
        <v>9.33</v>
      </c>
      <c r="Q89" s="1">
        <v>9.33</v>
      </c>
      <c r="R89" s="1">
        <v>9.33</v>
      </c>
      <c r="S89" s="1">
        <v>9.33</v>
      </c>
      <c r="T89" s="1">
        <v>9.64</v>
      </c>
      <c r="U89" s="1">
        <v>9.64</v>
      </c>
      <c r="V89" s="1">
        <v>9.64</v>
      </c>
      <c r="W89" s="1">
        <v>9.64</v>
      </c>
      <c r="X89" s="1">
        <v>9.64</v>
      </c>
      <c r="Y89" s="1">
        <v>10.06</v>
      </c>
      <c r="Z89" s="1">
        <v>10.06</v>
      </c>
      <c r="AA89" s="1">
        <v>10.06</v>
      </c>
      <c r="AB89" s="1">
        <v>10.5</v>
      </c>
      <c r="AC89" s="1">
        <v>10.73</v>
      </c>
      <c r="AD89" s="1">
        <v>10.73</v>
      </c>
      <c r="AE89" s="1">
        <v>10.793670000000001</v>
      </c>
      <c r="AF89" s="1">
        <v>11.26379</v>
      </c>
      <c r="AG89" s="1">
        <v>11.26379</v>
      </c>
      <c r="AH89" s="1">
        <v>11.26379</v>
      </c>
      <c r="AI89" s="1">
        <v>11.26379</v>
      </c>
      <c r="AJ89" s="1">
        <v>11.26379</v>
      </c>
      <c r="AK89" s="1">
        <v>11.26379</v>
      </c>
      <c r="AL89" s="1">
        <v>11.26379</v>
      </c>
      <c r="AM89" s="1">
        <v>12.093859999999999</v>
      </c>
      <c r="AN89" s="1">
        <v>12.093859999999999</v>
      </c>
      <c r="AO89" s="1">
        <v>12.093859999999999</v>
      </c>
      <c r="AP89" s="1">
        <v>12.093859999999999</v>
      </c>
      <c r="AQ89" s="1">
        <v>12.486699999999999</v>
      </c>
      <c r="AR89" s="1">
        <v>12.486699999999999</v>
      </c>
      <c r="AS89" s="1">
        <v>12.486699999999999</v>
      </c>
      <c r="AT89" s="1">
        <v>12.486699999999999</v>
      </c>
      <c r="AU89" s="1">
        <v>12.62332</v>
      </c>
      <c r="AV89" s="1">
        <v>12.62332</v>
      </c>
      <c r="AW89" s="1">
        <v>12.62332</v>
      </c>
      <c r="AX89" s="1">
        <v>12.62332</v>
      </c>
      <c r="AY89" s="1">
        <v>12.878159999999999</v>
      </c>
      <c r="AZ89" s="1">
        <v>12.878159999999999</v>
      </c>
      <c r="BA89" s="1">
        <v>12.878159999999999</v>
      </c>
      <c r="BB89" s="1">
        <v>12.878159999999999</v>
      </c>
      <c r="BC89" s="1">
        <v>13.240180000000002</v>
      </c>
      <c r="BD89" s="1">
        <v>13.240180000000002</v>
      </c>
      <c r="BE89" s="1">
        <v>13.240180000000002</v>
      </c>
      <c r="BF89" s="1">
        <v>13.240180000000002</v>
      </c>
      <c r="BG89" s="1">
        <v>13.042430312499999</v>
      </c>
      <c r="BH89" s="1">
        <v>13.042430312499999</v>
      </c>
      <c r="BI89" s="1">
        <v>13.042430312499999</v>
      </c>
      <c r="BJ89" s="1">
        <v>13.042430312499999</v>
      </c>
      <c r="BK89" s="1">
        <v>12.8025403125</v>
      </c>
      <c r="BL89" s="1">
        <v>12.8025403125</v>
      </c>
      <c r="BM89" s="1">
        <v>12.8025403125</v>
      </c>
      <c r="BN89" s="1">
        <v>12.8025403125</v>
      </c>
      <c r="BO89" s="1">
        <v>13.152830312499999</v>
      </c>
      <c r="BP89" s="1">
        <v>13.152830312499999</v>
      </c>
      <c r="BQ89" s="1">
        <v>13.152830312499999</v>
      </c>
      <c r="BR89" s="1">
        <v>13.152830312499999</v>
      </c>
      <c r="BS89" s="1">
        <v>13.2995703125</v>
      </c>
      <c r="BT89" s="1">
        <v>13.2995703125</v>
      </c>
      <c r="BU89" s="1">
        <v>13.2995703125</v>
      </c>
      <c r="BV89" s="1">
        <v>13.2995703125</v>
      </c>
      <c r="BW89" s="1">
        <v>13.579760625</v>
      </c>
      <c r="BX89" s="1">
        <v>13.579760625</v>
      </c>
      <c r="BY89" s="1">
        <v>13.579760625</v>
      </c>
      <c r="BZ89" s="1">
        <v>13.579760625</v>
      </c>
      <c r="CA89" s="1">
        <v>14.3673309375</v>
      </c>
      <c r="CB89" s="1">
        <v>14.3673309375</v>
      </c>
      <c r="CC89" s="1">
        <v>14.3673309375</v>
      </c>
      <c r="CD89" s="1">
        <v>14.3673309375</v>
      </c>
      <c r="CE89" s="1">
        <v>16.8015233953125</v>
      </c>
      <c r="CF89" s="1">
        <v>16.8015233953125</v>
      </c>
      <c r="CG89" s="1">
        <v>16.8015233953125</v>
      </c>
      <c r="CH89" s="1">
        <v>16.8015233953125</v>
      </c>
      <c r="CI89" s="1">
        <v>18.009463162500001</v>
      </c>
      <c r="CJ89" s="1">
        <v>18.009463162500001</v>
      </c>
      <c r="CK89" s="1">
        <v>18.009463162500001</v>
      </c>
      <c r="CL89" s="1">
        <v>18.009463162500001</v>
      </c>
      <c r="CM89" s="1">
        <v>19.934705475000001</v>
      </c>
      <c r="CN89" s="1">
        <v>19.934705475000001</v>
      </c>
    </row>
    <row r="90" spans="1:92" x14ac:dyDescent="0.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c r="AV90" s="35"/>
      <c r="AW90" s="35"/>
      <c r="AX90" s="35"/>
      <c r="AY90" s="35"/>
      <c r="AZ90" s="35"/>
      <c r="BA90" s="35"/>
      <c r="BB90" s="35"/>
      <c r="BC90" s="35"/>
      <c r="BD90" s="35"/>
      <c r="BE90" s="35"/>
      <c r="BF90" s="35"/>
      <c r="BG90" s="35"/>
      <c r="BH90" s="35"/>
      <c r="BI90" s="35"/>
      <c r="BJ90" s="35"/>
      <c r="BK90" s="35"/>
      <c r="BL90" s="35"/>
      <c r="BM90" s="35"/>
      <c r="BP90" s="35"/>
      <c r="BQ90" s="35"/>
      <c r="BS90" s="35"/>
      <c r="BV90" s="35"/>
    </row>
    <row r="91" spans="1:92" ht="18.5" x14ac:dyDescent="0.45">
      <c r="A91" s="74" t="s">
        <v>121</v>
      </c>
      <c r="B91" s="18" t="s">
        <v>144</v>
      </c>
      <c r="C91" s="18" t="s">
        <v>145</v>
      </c>
      <c r="D91" s="18" t="s">
        <v>146</v>
      </c>
      <c r="E91" s="18" t="s">
        <v>147</v>
      </c>
      <c r="F91" s="18" t="s">
        <v>148</v>
      </c>
      <c r="G91" s="18" t="s">
        <v>149</v>
      </c>
      <c r="H91" s="18" t="s">
        <v>150</v>
      </c>
      <c r="I91" s="18" t="s">
        <v>151</v>
      </c>
      <c r="J91" s="18" t="s">
        <v>152</v>
      </c>
      <c r="K91" s="18" t="s">
        <v>153</v>
      </c>
      <c r="L91" s="18" t="s">
        <v>154</v>
      </c>
      <c r="M91" s="18" t="s">
        <v>155</v>
      </c>
      <c r="N91" s="18" t="s">
        <v>156</v>
      </c>
      <c r="O91" s="18" t="s">
        <v>157</v>
      </c>
      <c r="P91" s="18" t="s">
        <v>158</v>
      </c>
      <c r="Q91" s="18" t="s">
        <v>159</v>
      </c>
      <c r="R91" s="18" t="s">
        <v>160</v>
      </c>
      <c r="S91" s="18" t="s">
        <v>161</v>
      </c>
      <c r="T91" s="18" t="s">
        <v>162</v>
      </c>
      <c r="U91" s="18" t="s">
        <v>163</v>
      </c>
      <c r="V91" s="18" t="s">
        <v>164</v>
      </c>
      <c r="W91" s="18" t="s">
        <v>165</v>
      </c>
      <c r="X91" s="18" t="s">
        <v>166</v>
      </c>
      <c r="Y91" s="18" t="s">
        <v>167</v>
      </c>
      <c r="Z91" s="18" t="s">
        <v>168</v>
      </c>
      <c r="AA91" s="18" t="s">
        <v>169</v>
      </c>
      <c r="AB91" s="18" t="s">
        <v>170</v>
      </c>
      <c r="AC91" s="18" t="s">
        <v>171</v>
      </c>
      <c r="AD91" s="18" t="s">
        <v>172</v>
      </c>
      <c r="AE91" s="18" t="s">
        <v>173</v>
      </c>
      <c r="AF91" s="18" t="s">
        <v>174</v>
      </c>
      <c r="AG91" s="18" t="s">
        <v>175</v>
      </c>
      <c r="AH91" s="18" t="s">
        <v>176</v>
      </c>
      <c r="AI91" s="18" t="s">
        <v>177</v>
      </c>
      <c r="AJ91" s="18" t="s">
        <v>178</v>
      </c>
      <c r="AK91" s="18" t="s">
        <v>179</v>
      </c>
      <c r="AL91" s="18" t="s">
        <v>180</v>
      </c>
      <c r="AM91" s="18" t="s">
        <v>181</v>
      </c>
      <c r="AN91" s="18" t="s">
        <v>182</v>
      </c>
      <c r="AO91" s="18" t="s">
        <v>183</v>
      </c>
      <c r="AP91" s="18" t="s">
        <v>184</v>
      </c>
      <c r="AQ91" s="18" t="s">
        <v>185</v>
      </c>
      <c r="AR91" s="18" t="s">
        <v>186</v>
      </c>
      <c r="AS91" s="18" t="s">
        <v>187</v>
      </c>
      <c r="AT91" s="18" t="s">
        <v>188</v>
      </c>
      <c r="AU91" s="18" t="s">
        <v>189</v>
      </c>
      <c r="AV91" s="18" t="s">
        <v>190</v>
      </c>
      <c r="AW91" s="18" t="s">
        <v>191</v>
      </c>
      <c r="AX91" s="18" t="s">
        <v>192</v>
      </c>
      <c r="AY91" s="18" t="s">
        <v>193</v>
      </c>
      <c r="AZ91" s="18" t="s">
        <v>194</v>
      </c>
      <c r="BA91" s="18" t="s">
        <v>195</v>
      </c>
      <c r="BB91" s="18" t="s">
        <v>196</v>
      </c>
      <c r="BC91" s="18" t="s">
        <v>197</v>
      </c>
      <c r="BD91" s="18" t="s">
        <v>198</v>
      </c>
      <c r="BE91" s="18" t="s">
        <v>199</v>
      </c>
      <c r="BF91" s="18" t="s">
        <v>200</v>
      </c>
      <c r="BG91" s="18" t="s">
        <v>201</v>
      </c>
      <c r="BH91" s="18" t="s">
        <v>202</v>
      </c>
      <c r="BI91" s="18" t="s">
        <v>203</v>
      </c>
      <c r="BJ91" s="18" t="s">
        <v>204</v>
      </c>
      <c r="BK91" s="18" t="s">
        <v>205</v>
      </c>
      <c r="BL91" s="18" t="s">
        <v>206</v>
      </c>
      <c r="BM91" s="18" t="s">
        <v>207</v>
      </c>
      <c r="BN91" s="18" t="s">
        <v>208</v>
      </c>
      <c r="BO91" s="18" t="s">
        <v>209</v>
      </c>
      <c r="BP91" s="18" t="s">
        <v>210</v>
      </c>
      <c r="BQ91" s="18" t="s">
        <v>211</v>
      </c>
      <c r="BR91" s="18" t="s">
        <v>212</v>
      </c>
      <c r="BS91" s="18" t="s">
        <v>213</v>
      </c>
      <c r="BT91" s="18" t="s">
        <v>214</v>
      </c>
      <c r="BU91" s="18" t="s">
        <v>215</v>
      </c>
      <c r="BV91" s="18" t="s">
        <v>216</v>
      </c>
      <c r="BW91" s="18" t="s">
        <v>217</v>
      </c>
      <c r="BX91" s="18" t="s">
        <v>218</v>
      </c>
      <c r="BY91" s="18" t="s">
        <v>219</v>
      </c>
      <c r="BZ91" s="18" t="s">
        <v>220</v>
      </c>
      <c r="CA91" s="18" t="s">
        <v>221</v>
      </c>
      <c r="CB91" s="18" t="s">
        <v>222</v>
      </c>
      <c r="CC91" s="18" t="s">
        <v>223</v>
      </c>
      <c r="CD91" s="18" t="s">
        <v>224</v>
      </c>
      <c r="CE91" s="18" t="s">
        <v>225</v>
      </c>
      <c r="CF91" s="18" t="s">
        <v>226</v>
      </c>
      <c r="CG91" s="18" t="s">
        <v>227</v>
      </c>
      <c r="CH91" s="18" t="s">
        <v>228</v>
      </c>
      <c r="CI91" s="18" t="s">
        <v>229</v>
      </c>
      <c r="CJ91" s="18" t="s">
        <v>230</v>
      </c>
      <c r="CK91" s="18" t="s">
        <v>231</v>
      </c>
      <c r="CL91" s="18" t="s">
        <v>232</v>
      </c>
      <c r="CM91" s="18" t="s">
        <v>233</v>
      </c>
      <c r="CN91" s="18" t="s">
        <v>234</v>
      </c>
    </row>
    <row r="92" spans="1:92" x14ac:dyDescent="0.35">
      <c r="A92" s="16" t="s">
        <v>85</v>
      </c>
      <c r="B92" s="15">
        <v>9.8086661064280598</v>
      </c>
      <c r="C92" s="15">
        <v>10.074922935776392</v>
      </c>
      <c r="D92" s="15">
        <v>10.298654408232203</v>
      </c>
      <c r="E92" s="15">
        <v>10.992139578640774</v>
      </c>
      <c r="F92" s="15">
        <v>11.18133717389555</v>
      </c>
      <c r="G92" s="15">
        <v>11.277823492900801</v>
      </c>
      <c r="H92" s="15">
        <v>11.452962246380299</v>
      </c>
      <c r="I92" s="15">
        <v>11.669794158481722</v>
      </c>
      <c r="J92" s="15">
        <v>11.881150309367754</v>
      </c>
      <c r="K92" s="15">
        <v>11.930327359913864</v>
      </c>
      <c r="L92" s="15">
        <v>12.302572215837127</v>
      </c>
      <c r="M92" s="15">
        <v>12.678075846643127</v>
      </c>
      <c r="N92" s="15">
        <v>12.776266498044444</v>
      </c>
      <c r="O92" s="15">
        <v>12.944566169329908</v>
      </c>
      <c r="P92" s="15">
        <v>13.295719912035157</v>
      </c>
      <c r="Q92" s="15">
        <v>13.531023291281647</v>
      </c>
      <c r="R92" s="15">
        <v>13.72077378637076</v>
      </c>
      <c r="S92" s="15">
        <v>13.705916323999134</v>
      </c>
      <c r="T92" s="15">
        <v>13.924805949638348</v>
      </c>
      <c r="U92" s="15">
        <v>14.516378515091526</v>
      </c>
      <c r="V92" s="15">
        <v>14.586695043267264</v>
      </c>
      <c r="W92" s="15">
        <v>14.551312595490101</v>
      </c>
      <c r="X92" s="15">
        <v>14.595818548151048</v>
      </c>
      <c r="Y92" s="15">
        <v>14.619971624652491</v>
      </c>
      <c r="Z92" s="15">
        <v>14.621658268857356</v>
      </c>
      <c r="AA92" s="15">
        <v>14.898864680224598</v>
      </c>
      <c r="AB92" s="15">
        <v>15.319730886372486</v>
      </c>
      <c r="AC92" s="15">
        <v>15.766884125263045</v>
      </c>
      <c r="AD92" s="15">
        <v>15.833614857675167</v>
      </c>
      <c r="AE92" s="15">
        <v>16.310789039436145</v>
      </c>
      <c r="AF92" s="15">
        <v>15.533340954568583</v>
      </c>
      <c r="AG92" s="15">
        <v>15.596989770814043</v>
      </c>
      <c r="AH92" s="15">
        <v>15.620440336340165</v>
      </c>
      <c r="AI92" s="15">
        <v>15.915814124226934</v>
      </c>
      <c r="AJ92" s="15">
        <v>15.989846916295759</v>
      </c>
      <c r="AK92" s="15">
        <v>16.110211780254566</v>
      </c>
      <c r="AL92" s="15">
        <v>16.131223118715965</v>
      </c>
      <c r="AM92" s="15">
        <v>16.488316572621507</v>
      </c>
      <c r="AN92" s="15">
        <v>16.608232217360026</v>
      </c>
      <c r="AO92" s="15">
        <v>16.64291477202768</v>
      </c>
      <c r="AP92" s="15">
        <v>16.655518077041606</v>
      </c>
      <c r="AQ92" s="15">
        <v>16.548122177239506</v>
      </c>
      <c r="AR92" s="15">
        <v>16.545919081629794</v>
      </c>
      <c r="AS92" s="15">
        <v>16.549508528134979</v>
      </c>
      <c r="AT92" s="15">
        <v>16.539150978962802</v>
      </c>
      <c r="AU92" s="15">
        <v>16.522708729661503</v>
      </c>
      <c r="AV92" s="15">
        <v>16.61203705895857</v>
      </c>
      <c r="AW92" s="15">
        <v>16.678194218158474</v>
      </c>
      <c r="AX92" s="15">
        <v>16.667391172661489</v>
      </c>
      <c r="AY92" s="15">
        <v>16.797963589010102</v>
      </c>
      <c r="AZ92" s="15">
        <v>16.94798012946832</v>
      </c>
      <c r="BA92" s="15">
        <v>17.018388064596639</v>
      </c>
      <c r="BB92" s="15">
        <v>16.980581819336823</v>
      </c>
      <c r="BC92" s="15">
        <v>17.003420222567566</v>
      </c>
      <c r="BD92" s="15">
        <v>17.031796174974346</v>
      </c>
      <c r="BE92" s="15">
        <v>17.251450455019437</v>
      </c>
      <c r="BF92" s="15">
        <v>17.412934008296045</v>
      </c>
      <c r="BG92" s="15">
        <v>17.427289680319625</v>
      </c>
      <c r="BH92" s="15">
        <v>17.425724460338785</v>
      </c>
      <c r="BI92" s="15">
        <v>17.488152703000772</v>
      </c>
      <c r="BJ92" s="15">
        <v>17.807743084312641</v>
      </c>
      <c r="BK92" s="15">
        <v>18.025455406569499</v>
      </c>
      <c r="BL92" s="15">
        <v>18.069523629737617</v>
      </c>
      <c r="BM92" s="15">
        <v>18.606158300217285</v>
      </c>
      <c r="BN92" s="15">
        <v>18.754973209241502</v>
      </c>
      <c r="BO92" s="15">
        <v>19.593165390918713</v>
      </c>
      <c r="BP92" s="15">
        <v>19.543974651163133</v>
      </c>
      <c r="BQ92" s="15">
        <v>19.434041240426005</v>
      </c>
      <c r="BR92" s="15">
        <v>19.408480656375666</v>
      </c>
      <c r="BS92" s="15">
        <v>19.470758785188494</v>
      </c>
      <c r="BT92" s="15">
        <v>19.81646313752676</v>
      </c>
      <c r="BU92" s="15">
        <v>20.106929614479096</v>
      </c>
      <c r="BV92" s="15">
        <v>20.57438521157939</v>
      </c>
      <c r="BW92" s="15">
        <v>20.751453867397785</v>
      </c>
      <c r="BX92" s="15">
        <v>20.894637409768009</v>
      </c>
      <c r="BY92" s="15">
        <v>20.928301325652356</v>
      </c>
      <c r="BZ92" s="15">
        <v>21.262618434699146</v>
      </c>
      <c r="CA92" s="15">
        <v>21.104497758987701</v>
      </c>
      <c r="CB92" s="15">
        <v>21.614428553962799</v>
      </c>
      <c r="CC92" s="15">
        <v>21.8452182609524</v>
      </c>
      <c r="CD92" s="15">
        <v>21.719429693840802</v>
      </c>
      <c r="CE92" s="15">
        <v>21.9870003044038</v>
      </c>
      <c r="CF92" s="15">
        <v>22.2295535659939</v>
      </c>
      <c r="CG92" s="15">
        <v>22.638400304916399</v>
      </c>
      <c r="CH92" s="15">
        <v>22.9532200560867</v>
      </c>
      <c r="CI92" s="15">
        <v>24.063329434562601</v>
      </c>
      <c r="CJ92" s="15">
        <v>24.196890576669698</v>
      </c>
      <c r="CK92" s="15">
        <v>24.110774699832199</v>
      </c>
      <c r="CL92" s="15">
        <v>25.421761978992201</v>
      </c>
      <c r="CM92" s="15">
        <v>25.226307662357101</v>
      </c>
      <c r="CN92" s="15">
        <v>25.334057567091701</v>
      </c>
    </row>
    <row r="93" spans="1:92" x14ac:dyDescent="0.35">
      <c r="A93" t="s">
        <v>24</v>
      </c>
      <c r="B93" s="1">
        <v>9.4578152428320656</v>
      </c>
      <c r="C93" s="1">
        <v>9.4579823984808655</v>
      </c>
      <c r="D93" s="1">
        <v>9.8294694815138932</v>
      </c>
      <c r="E93" s="1">
        <v>10.833572908714146</v>
      </c>
      <c r="F93" s="1">
        <v>10.832900279116977</v>
      </c>
      <c r="G93" s="1">
        <v>10.652233546568363</v>
      </c>
      <c r="H93" s="1">
        <v>11.040225737710839</v>
      </c>
      <c r="I93" s="1">
        <v>11.391916133208662</v>
      </c>
      <c r="J93" s="1">
        <v>11.381605062201986</v>
      </c>
      <c r="K93" s="1">
        <v>11.379732937685462</v>
      </c>
      <c r="L93" s="1">
        <v>11.712942919358868</v>
      </c>
      <c r="M93" s="1">
        <v>12.74567054718929</v>
      </c>
      <c r="N93" s="1">
        <v>12.733237330871129</v>
      </c>
      <c r="O93" s="1">
        <v>12.569622915412669</v>
      </c>
      <c r="P93" s="1">
        <v>13.430076425007965</v>
      </c>
      <c r="Q93" s="1">
        <v>13.508769469878704</v>
      </c>
      <c r="R93" s="1">
        <v>13.505204414684211</v>
      </c>
      <c r="S93" s="1">
        <v>13.302693297676749</v>
      </c>
      <c r="T93" s="1">
        <v>14.833941724941722</v>
      </c>
      <c r="U93" s="1">
        <v>15.016755340321078</v>
      </c>
      <c r="V93" s="1">
        <v>14.91672058483014</v>
      </c>
      <c r="W93" s="1">
        <v>14.606057065753962</v>
      </c>
      <c r="X93" s="1">
        <v>14.504095313167142</v>
      </c>
      <c r="Y93" s="1">
        <v>14.743667430441899</v>
      </c>
      <c r="Z93" s="1">
        <v>14.709404416321473</v>
      </c>
      <c r="AA93" s="1">
        <v>15.28009379274409</v>
      </c>
      <c r="AB93" s="1">
        <v>15.960021455739408</v>
      </c>
      <c r="AC93" s="1">
        <v>16.28496639501283</v>
      </c>
      <c r="AD93" s="1">
        <v>16.268867135587179</v>
      </c>
      <c r="AE93" s="1">
        <v>16.548942449323345</v>
      </c>
      <c r="AF93" s="1">
        <v>14.941356568887972</v>
      </c>
      <c r="AG93" s="1">
        <v>14.93525277105849</v>
      </c>
      <c r="AH93" s="1">
        <v>14.904912021504803</v>
      </c>
      <c r="AI93" s="1">
        <v>15.768945467628356</v>
      </c>
      <c r="AJ93" s="1">
        <v>15.870509730032381</v>
      </c>
      <c r="AK93" s="1">
        <v>15.847229230073577</v>
      </c>
      <c r="AL93" s="1">
        <v>15.86272141998661</v>
      </c>
      <c r="AM93" s="1">
        <v>16.364419195232323</v>
      </c>
      <c r="AN93" s="1">
        <v>16.369355455581402</v>
      </c>
      <c r="AO93" s="1">
        <v>16.364071802160133</v>
      </c>
      <c r="AP93" s="1">
        <v>16.36632926065554</v>
      </c>
      <c r="AQ93" s="1">
        <v>16.370379612306635</v>
      </c>
      <c r="AR93" s="1">
        <v>16.372713559375569</v>
      </c>
      <c r="AS93" s="1">
        <v>16.37759785649633</v>
      </c>
      <c r="AT93" s="1">
        <v>16.378576119386171</v>
      </c>
      <c r="AU93" s="1">
        <v>16.732893494214824</v>
      </c>
      <c r="AV93" s="1">
        <v>16.583281346871807</v>
      </c>
      <c r="AW93" s="1">
        <v>16.592250278704448</v>
      </c>
      <c r="AX93" s="1">
        <v>16.582635234438818</v>
      </c>
      <c r="AY93" s="1">
        <v>16.295811989766555</v>
      </c>
      <c r="AZ93" s="1">
        <v>17.125981107917973</v>
      </c>
      <c r="BA93" s="1">
        <v>17.272883934849148</v>
      </c>
      <c r="BB93" s="1">
        <v>17.381557444291047</v>
      </c>
      <c r="BC93" s="1">
        <v>16.486181084216408</v>
      </c>
      <c r="BD93" s="1">
        <v>16.46325637477646</v>
      </c>
      <c r="BE93" s="1">
        <v>16.652521629742328</v>
      </c>
      <c r="BF93" s="1">
        <v>16.779444298534116</v>
      </c>
      <c r="BG93" s="1">
        <v>16.430279352820286</v>
      </c>
      <c r="BH93" s="1">
        <v>16.427657235244077</v>
      </c>
      <c r="BI93" s="1">
        <v>16.875941791794034</v>
      </c>
      <c r="BJ93" s="1">
        <v>17.205042152676224</v>
      </c>
      <c r="BK93" s="1">
        <v>16.061438584066579</v>
      </c>
      <c r="BL93" s="1">
        <v>16.031672798333997</v>
      </c>
      <c r="BM93" s="1">
        <v>16.636365663008782</v>
      </c>
      <c r="BN93" s="1">
        <v>16.705783879265894</v>
      </c>
      <c r="BO93" s="1">
        <v>18.45203042529581</v>
      </c>
      <c r="BP93" s="1">
        <v>18.440975420885668</v>
      </c>
      <c r="BQ93" s="1">
        <v>18.439216260963281</v>
      </c>
      <c r="BR93" s="1">
        <v>18.474752650545494</v>
      </c>
      <c r="BS93" s="1">
        <v>19.689732921532638</v>
      </c>
      <c r="BT93" s="1">
        <v>19.341751145693728</v>
      </c>
      <c r="BU93" s="1">
        <v>19.368426468590442</v>
      </c>
      <c r="BV93" s="1">
        <v>19.725900375091136</v>
      </c>
      <c r="BW93" s="1">
        <v>19.724460589469686</v>
      </c>
      <c r="BX93" s="1">
        <v>20.521993181167225</v>
      </c>
      <c r="BY93" s="1">
        <v>20.563208519215131</v>
      </c>
      <c r="BZ93" s="1">
        <v>20.813096978267595</v>
      </c>
      <c r="CA93" s="1">
        <v>19.9957617423957</v>
      </c>
      <c r="CB93" s="1">
        <v>20.394648541212199</v>
      </c>
      <c r="CC93" s="1">
        <v>20.6882370298292</v>
      </c>
      <c r="CD93" s="1">
        <v>21.117070702122799</v>
      </c>
      <c r="CE93" s="1">
        <v>21.028121013315602</v>
      </c>
      <c r="CF93" s="1">
        <v>20.804201343537098</v>
      </c>
      <c r="CG93" s="1">
        <v>21.740675699966399</v>
      </c>
      <c r="CH93" s="1">
        <v>21.868281793959898</v>
      </c>
      <c r="CI93" s="1">
        <v>23.5760426487013</v>
      </c>
      <c r="CJ93" s="1">
        <v>23.681676546538402</v>
      </c>
      <c r="CK93" s="1">
        <v>23.677151364470198</v>
      </c>
      <c r="CL93" s="1">
        <v>24.7279097327858</v>
      </c>
      <c r="CM93" s="1">
        <v>25.181113742308799</v>
      </c>
      <c r="CN93" s="1">
        <v>25.258005775784699</v>
      </c>
    </row>
    <row r="94" spans="1:92" x14ac:dyDescent="0.35">
      <c r="A94" t="s">
        <v>35</v>
      </c>
      <c r="B94" s="1">
        <v>9.4308733464883439</v>
      </c>
      <c r="C94" s="1">
        <v>9.9752617119722373</v>
      </c>
      <c r="D94" s="1">
        <v>10.025759765345544</v>
      </c>
      <c r="E94" s="1">
        <v>10.262632064754328</v>
      </c>
      <c r="F94" s="1">
        <v>10.263463431786214</v>
      </c>
      <c r="G94" s="1">
        <v>11.412526154275355</v>
      </c>
      <c r="H94" s="1">
        <v>11.650787920860811</v>
      </c>
      <c r="I94" s="1">
        <v>11.644498829684707</v>
      </c>
      <c r="J94" s="1">
        <v>11.706070142051253</v>
      </c>
      <c r="K94" s="1">
        <v>12.074707669457194</v>
      </c>
      <c r="L94" s="1">
        <v>12.058015026497618</v>
      </c>
      <c r="M94" s="1">
        <v>12.124349910125826</v>
      </c>
      <c r="N94" s="1">
        <v>12.323792717455717</v>
      </c>
      <c r="O94" s="1">
        <v>13.91868649318463</v>
      </c>
      <c r="P94" s="1">
        <v>13.89490885585003</v>
      </c>
      <c r="Q94" s="1">
        <v>13.94750817569734</v>
      </c>
      <c r="R94" s="1">
        <v>14.16629256867958</v>
      </c>
      <c r="S94" s="1">
        <v>13.667943226778876</v>
      </c>
      <c r="T94" s="1">
        <v>13.896856034536698</v>
      </c>
      <c r="U94" s="1">
        <v>14.439610660771306</v>
      </c>
      <c r="V94" s="1">
        <v>14.405604823973688</v>
      </c>
      <c r="W94" s="1">
        <v>13.825950879320796</v>
      </c>
      <c r="X94" s="1">
        <v>13.822544432354011</v>
      </c>
      <c r="Y94" s="1">
        <v>13.82162254842979</v>
      </c>
      <c r="Z94" s="1">
        <v>13.704212876365172</v>
      </c>
      <c r="AA94" s="1">
        <v>13.73067283030122</v>
      </c>
      <c r="AB94" s="1">
        <v>14.780557607530085</v>
      </c>
      <c r="AC94" s="1">
        <v>16.052805022506519</v>
      </c>
      <c r="AD94" s="1">
        <v>16.026710293597457</v>
      </c>
      <c r="AE94" s="1">
        <v>15.498814850362312</v>
      </c>
      <c r="AF94" s="1">
        <v>14.946076072286996</v>
      </c>
      <c r="AG94" s="1">
        <v>15.647409089412772</v>
      </c>
      <c r="AH94" s="1">
        <v>15.614045938393385</v>
      </c>
      <c r="AI94" s="1">
        <v>14.840048058223436</v>
      </c>
      <c r="AJ94" s="1">
        <v>14.806290160836701</v>
      </c>
      <c r="AK94" s="1">
        <v>15.974008444598615</v>
      </c>
      <c r="AL94" s="1">
        <v>15.9475433048153</v>
      </c>
      <c r="AM94" s="1">
        <v>15.910271161596262</v>
      </c>
      <c r="AN94" s="1">
        <v>16.092781481939973</v>
      </c>
      <c r="AO94" s="1">
        <v>16.381501593734718</v>
      </c>
      <c r="AP94" s="1">
        <v>16.533939154568827</v>
      </c>
      <c r="AQ94" s="1">
        <v>16.212836646483058</v>
      </c>
      <c r="AR94" s="1">
        <v>16.169868596922718</v>
      </c>
      <c r="AS94" s="1">
        <v>16.474812770098357</v>
      </c>
      <c r="AT94" s="1">
        <v>16.441228135611858</v>
      </c>
      <c r="AU94" s="1">
        <v>16.607415138045994</v>
      </c>
      <c r="AV94" s="1">
        <v>16.547628412494177</v>
      </c>
      <c r="AW94" s="1">
        <v>16.423258407269131</v>
      </c>
      <c r="AX94" s="1">
        <v>16.353050879849839</v>
      </c>
      <c r="AY94" s="1">
        <v>16.525471101019583</v>
      </c>
      <c r="AZ94" s="1">
        <v>16.980290332346716</v>
      </c>
      <c r="BA94" s="1">
        <v>17.189159007746497</v>
      </c>
      <c r="BB94" s="1">
        <v>17.319523263195972</v>
      </c>
      <c r="BC94" s="1">
        <v>17.223352783667657</v>
      </c>
      <c r="BD94" s="1">
        <v>17.187623384102757</v>
      </c>
      <c r="BE94" s="1">
        <v>17.509655144396355</v>
      </c>
      <c r="BF94" s="1">
        <v>17.73792813141344</v>
      </c>
      <c r="BG94" s="1">
        <v>18.492627954514674</v>
      </c>
      <c r="BH94" s="1">
        <v>18.464496411209666</v>
      </c>
      <c r="BI94" s="1">
        <v>18.287430715019966</v>
      </c>
      <c r="BJ94" s="1">
        <v>18.539192831558537</v>
      </c>
      <c r="BK94" s="1">
        <v>18.338037102570006</v>
      </c>
      <c r="BL94" s="1">
        <v>18.265734343403082</v>
      </c>
      <c r="BM94" s="1">
        <v>18.897673179939304</v>
      </c>
      <c r="BN94" s="1">
        <v>19.062747824524365</v>
      </c>
      <c r="BO94" s="1">
        <v>20.010035039967548</v>
      </c>
      <c r="BP94" s="1">
        <v>19.978430107462643</v>
      </c>
      <c r="BQ94" s="1">
        <v>19.20759000400659</v>
      </c>
      <c r="BR94" s="1">
        <v>19.17681273684606</v>
      </c>
      <c r="BS94" s="1">
        <v>19.037355558006631</v>
      </c>
      <c r="BT94" s="1">
        <v>19.72680903774895</v>
      </c>
      <c r="BU94" s="1">
        <v>19.903381052019029</v>
      </c>
      <c r="BV94" s="1">
        <v>20.124906801726617</v>
      </c>
      <c r="BW94" s="1">
        <v>19.152671602056717</v>
      </c>
      <c r="BX94" s="1">
        <v>20.225334343468479</v>
      </c>
      <c r="BY94" s="1">
        <v>20.151595362365601</v>
      </c>
      <c r="BZ94" s="1">
        <v>20.461160219564139</v>
      </c>
      <c r="CA94" s="1">
        <v>19.540388379272301</v>
      </c>
      <c r="CB94" s="1">
        <v>19.9638350731462</v>
      </c>
      <c r="CC94" s="1">
        <v>20.177776478780199</v>
      </c>
      <c r="CD94" s="1">
        <v>20.432873251909601</v>
      </c>
      <c r="CE94" s="1">
        <v>20.645675031247201</v>
      </c>
      <c r="CF94" s="1">
        <v>21.563320592338801</v>
      </c>
      <c r="CG94" s="1">
        <v>22.1845811233162</v>
      </c>
      <c r="CH94" s="1">
        <v>22.340101048374599</v>
      </c>
      <c r="CI94" s="1">
        <v>23.829998577611999</v>
      </c>
      <c r="CJ94" s="1">
        <v>23.910850214289201</v>
      </c>
      <c r="CK94" s="1">
        <v>23.883009502158899</v>
      </c>
      <c r="CL94" s="1">
        <v>25.144737262846</v>
      </c>
      <c r="CM94" s="1">
        <v>24.080120665229799</v>
      </c>
      <c r="CN94" s="1">
        <v>24.149468654187402</v>
      </c>
    </row>
    <row r="95" spans="1:92" x14ac:dyDescent="0.35">
      <c r="A95" t="s">
        <v>81</v>
      </c>
      <c r="B95" s="1">
        <v>8.9814262737558224</v>
      </c>
      <c r="C95" s="1">
        <v>10.109516335799574</v>
      </c>
      <c r="D95" s="1">
        <v>10.127357789772207</v>
      </c>
      <c r="E95" s="1">
        <v>10.533558776756175</v>
      </c>
      <c r="F95" s="1">
        <v>10.53160677466863</v>
      </c>
      <c r="G95" s="1">
        <v>10.826597757724912</v>
      </c>
      <c r="H95" s="1">
        <v>10.972124908958484</v>
      </c>
      <c r="I95" s="1">
        <v>11.206647265319489</v>
      </c>
      <c r="J95" s="1">
        <v>11.201776020791009</v>
      </c>
      <c r="K95" s="1">
        <v>11.448740892449345</v>
      </c>
      <c r="L95" s="1">
        <v>11.446900543478263</v>
      </c>
      <c r="M95" s="1">
        <v>11.764504281085388</v>
      </c>
      <c r="N95" s="1">
        <v>11.755238442733608</v>
      </c>
      <c r="O95" s="1">
        <v>13.032537930785349</v>
      </c>
      <c r="P95" s="1">
        <v>13.029894882982944</v>
      </c>
      <c r="Q95" s="1">
        <v>13.289554312035552</v>
      </c>
      <c r="R95" s="1">
        <v>13.283858196543495</v>
      </c>
      <c r="S95" s="1">
        <v>13.852362962830401</v>
      </c>
      <c r="T95" s="1">
        <v>13.903830201486137</v>
      </c>
      <c r="U95" s="1">
        <v>15.783600412532451</v>
      </c>
      <c r="V95" s="1">
        <v>15.420112357553023</v>
      </c>
      <c r="W95" s="1">
        <v>15.625262606534095</v>
      </c>
      <c r="X95" s="1">
        <v>15.503656847288893</v>
      </c>
      <c r="Y95" s="1">
        <v>15.409192860806963</v>
      </c>
      <c r="Z95" s="1">
        <v>15.28259172811345</v>
      </c>
      <c r="AA95" s="1">
        <v>15.371936609787056</v>
      </c>
      <c r="AB95" s="1">
        <v>16.290235944570632</v>
      </c>
      <c r="AC95" s="1">
        <v>16.782520668425679</v>
      </c>
      <c r="AD95" s="1">
        <v>16.729776877696573</v>
      </c>
      <c r="AE95" s="1">
        <v>16.428633733596765</v>
      </c>
      <c r="AF95" s="1">
        <v>15.349875104606035</v>
      </c>
      <c r="AG95" s="1">
        <v>15.481970495641569</v>
      </c>
      <c r="AH95" s="1">
        <v>15.626515989309457</v>
      </c>
      <c r="AI95" s="1">
        <v>15.813290079936076</v>
      </c>
      <c r="AJ95" s="1">
        <v>15.810302691963537</v>
      </c>
      <c r="AK95" s="1">
        <v>15.972384155457538</v>
      </c>
      <c r="AL95" s="1">
        <v>15.965845036207517</v>
      </c>
      <c r="AM95" s="1">
        <v>16.234538266040339</v>
      </c>
      <c r="AN95" s="1">
        <v>16.229330796014345</v>
      </c>
      <c r="AO95" s="1">
        <v>16.343864295090526</v>
      </c>
      <c r="AP95" s="1">
        <v>16.301091222295511</v>
      </c>
      <c r="AQ95" s="1">
        <v>16.158178459665113</v>
      </c>
      <c r="AR95" s="1">
        <v>16.143512800399684</v>
      </c>
      <c r="AS95" s="1">
        <v>16.275013133159241</v>
      </c>
      <c r="AT95" s="1">
        <v>16.272803400846168</v>
      </c>
      <c r="AU95" s="1">
        <v>16.044954655021925</v>
      </c>
      <c r="AV95" s="1">
        <v>16.20078402132507</v>
      </c>
      <c r="AW95" s="1">
        <v>16.292506061910082</v>
      </c>
      <c r="AX95" s="1">
        <v>16.289165355472704</v>
      </c>
      <c r="AY95" s="1">
        <v>16.528452726767238</v>
      </c>
      <c r="AZ95" s="1">
        <v>16.47846810829261</v>
      </c>
      <c r="BA95" s="1">
        <v>16.632399860570874</v>
      </c>
      <c r="BB95" s="1">
        <v>16.437694293761911</v>
      </c>
      <c r="BC95" s="1">
        <v>16.287552967898002</v>
      </c>
      <c r="BD95" s="1">
        <v>16.244152360153493</v>
      </c>
      <c r="BE95" s="1">
        <v>16.553414999554604</v>
      </c>
      <c r="BF95" s="1">
        <v>16.728244794059002</v>
      </c>
      <c r="BG95" s="1">
        <v>16.678916696365967</v>
      </c>
      <c r="BH95" s="1">
        <v>16.705493799297145</v>
      </c>
      <c r="BI95" s="1">
        <v>16.507756878746164</v>
      </c>
      <c r="BJ95" s="1">
        <v>16.98663633662742</v>
      </c>
      <c r="BK95" s="1">
        <v>17.013474834226031</v>
      </c>
      <c r="BL95" s="1">
        <v>16.931256426088574</v>
      </c>
      <c r="BM95" s="1">
        <v>17.339763728787382</v>
      </c>
      <c r="BN95" s="1">
        <v>17.652911344335983</v>
      </c>
      <c r="BO95" s="1">
        <v>18.080165067482987</v>
      </c>
      <c r="BP95" s="1">
        <v>18.086780288377895</v>
      </c>
      <c r="BQ95" s="1">
        <v>17.512325094168638</v>
      </c>
      <c r="BR95" s="1">
        <v>17.54274861900754</v>
      </c>
      <c r="BS95" s="1">
        <v>17.043587821452029</v>
      </c>
      <c r="BT95" s="1">
        <v>17.915555082098798</v>
      </c>
      <c r="BU95" s="1">
        <v>18.348326021350708</v>
      </c>
      <c r="BV95" s="1">
        <v>18.836558581410969</v>
      </c>
      <c r="BW95" s="1">
        <v>18.436201013789216</v>
      </c>
      <c r="BX95" s="1">
        <v>19.003392818137421</v>
      </c>
      <c r="BY95" s="1">
        <v>18.95910922990943</v>
      </c>
      <c r="BZ95" s="1">
        <v>19.124304265542435</v>
      </c>
      <c r="CA95" s="1">
        <v>19.663884548898199</v>
      </c>
      <c r="CB95" s="1">
        <v>20.561130615388301</v>
      </c>
      <c r="CC95" s="1">
        <v>20.6308056412784</v>
      </c>
      <c r="CD95" s="1">
        <v>20.868258647897999</v>
      </c>
      <c r="CE95" s="1">
        <v>21.087406177618199</v>
      </c>
      <c r="CF95" s="1">
        <v>22.566701335970698</v>
      </c>
      <c r="CG95" s="1">
        <v>23.484861079830299</v>
      </c>
      <c r="CH95" s="1">
        <v>23.6228746489416</v>
      </c>
      <c r="CI95" s="1">
        <v>24.702633226820801</v>
      </c>
      <c r="CJ95" s="1">
        <v>24.855125472821399</v>
      </c>
      <c r="CK95" s="1">
        <v>24.791433302731299</v>
      </c>
      <c r="CL95" s="1">
        <v>25.694617466732002</v>
      </c>
      <c r="CM95" s="1">
        <v>25.6386267539676</v>
      </c>
      <c r="CN95" s="1">
        <v>25.6950535220391</v>
      </c>
    </row>
    <row r="96" spans="1:92" x14ac:dyDescent="0.35">
      <c r="A96" t="s">
        <v>27</v>
      </c>
      <c r="B96" s="1">
        <v>0</v>
      </c>
      <c r="C96" s="1">
        <v>0</v>
      </c>
      <c r="D96" s="1">
        <v>0</v>
      </c>
      <c r="E96" s="1">
        <v>0</v>
      </c>
      <c r="F96" s="1">
        <v>0</v>
      </c>
      <c r="G96" s="1">
        <v>0</v>
      </c>
      <c r="H96" s="1">
        <v>0</v>
      </c>
      <c r="I96" s="1">
        <v>0</v>
      </c>
      <c r="J96" s="1">
        <v>0</v>
      </c>
      <c r="K96" s="1">
        <v>0</v>
      </c>
      <c r="L96" s="1">
        <v>0</v>
      </c>
      <c r="M96" s="1">
        <v>0</v>
      </c>
      <c r="N96" s="1">
        <v>0</v>
      </c>
      <c r="O96" s="1">
        <v>0</v>
      </c>
      <c r="P96" s="1">
        <v>0</v>
      </c>
      <c r="Q96" s="1">
        <v>0</v>
      </c>
      <c r="R96" s="1">
        <v>0</v>
      </c>
      <c r="S96" s="1">
        <v>13.317624482282559</v>
      </c>
      <c r="T96" s="1">
        <v>13.487296829446061</v>
      </c>
      <c r="U96" s="1">
        <v>14.366365753179293</v>
      </c>
      <c r="V96" s="1">
        <v>14.331454204606318</v>
      </c>
      <c r="W96" s="1">
        <v>15.072425512934876</v>
      </c>
      <c r="X96" s="1">
        <v>15.078438191310502</v>
      </c>
      <c r="Y96" s="1">
        <v>15.097900440528631</v>
      </c>
      <c r="Z96" s="1">
        <v>15.007083847102342</v>
      </c>
      <c r="AA96" s="1">
        <v>15.32871632741446</v>
      </c>
      <c r="AB96" s="1">
        <v>16.300729103899457</v>
      </c>
      <c r="AC96" s="1">
        <v>17.251141043239535</v>
      </c>
      <c r="AD96" s="1">
        <v>17.259146050162087</v>
      </c>
      <c r="AE96" s="1">
        <v>16.95905077931609</v>
      </c>
      <c r="AF96" s="1">
        <v>15.773686241063359</v>
      </c>
      <c r="AG96" s="1">
        <v>16.229404773488096</v>
      </c>
      <c r="AH96" s="1">
        <v>16.199905475713834</v>
      </c>
      <c r="AI96" s="1">
        <v>15.657690557042507</v>
      </c>
      <c r="AJ96" s="1">
        <v>15.637362216756411</v>
      </c>
      <c r="AK96" s="1">
        <v>16.550985547381767</v>
      </c>
      <c r="AL96" s="1">
        <v>16.536949566174105</v>
      </c>
      <c r="AM96" s="1">
        <v>16.813044796988486</v>
      </c>
      <c r="AN96" s="1">
        <v>16.774477333304297</v>
      </c>
      <c r="AO96" s="1">
        <v>16.83293738192188</v>
      </c>
      <c r="AP96" s="1">
        <v>16.725071101490258</v>
      </c>
      <c r="AQ96" s="1">
        <v>16.326434451625801</v>
      </c>
      <c r="AR96" s="1">
        <v>16.278381369929342</v>
      </c>
      <c r="AS96" s="1">
        <v>16.671791074710086</v>
      </c>
      <c r="AT96" s="1">
        <v>16.656207497476196</v>
      </c>
      <c r="AU96" s="1">
        <v>16.7906902001547</v>
      </c>
      <c r="AV96" s="1">
        <v>16.729553229186621</v>
      </c>
      <c r="AW96" s="1">
        <v>16.62848134286881</v>
      </c>
      <c r="AX96" s="1">
        <v>16.605667963492209</v>
      </c>
      <c r="AY96" s="1">
        <v>16.738487679069674</v>
      </c>
      <c r="AZ96" s="1">
        <v>16.821060661226785</v>
      </c>
      <c r="BA96" s="1">
        <v>17.000991130721538</v>
      </c>
      <c r="BB96" s="1">
        <v>17.138038826652679</v>
      </c>
      <c r="BC96" s="1">
        <v>17.258067463209276</v>
      </c>
      <c r="BD96" s="1">
        <v>17.240362858214247</v>
      </c>
      <c r="BE96" s="1">
        <v>17.580295904316195</v>
      </c>
      <c r="BF96" s="1">
        <v>17.702961210485821</v>
      </c>
      <c r="BG96" s="1">
        <v>18.025267306978712</v>
      </c>
      <c r="BH96" s="1">
        <v>17.998565807683342</v>
      </c>
      <c r="BI96" s="1">
        <v>17.898162790821999</v>
      </c>
      <c r="BJ96" s="1">
        <v>18.18270158188362</v>
      </c>
      <c r="BK96" s="1">
        <v>18.08353798987655</v>
      </c>
      <c r="BL96" s="1">
        <v>18.06558509159273</v>
      </c>
      <c r="BM96" s="1">
        <v>18.589352657524348</v>
      </c>
      <c r="BN96" s="1">
        <v>18.697224997197058</v>
      </c>
      <c r="BO96" s="1">
        <v>19.528946258888897</v>
      </c>
      <c r="BP96" s="1">
        <v>19.498897761650721</v>
      </c>
      <c r="BQ96" s="1">
        <v>18.636399073638991</v>
      </c>
      <c r="BR96" s="1">
        <v>18.647897179245813</v>
      </c>
      <c r="BS96" s="1">
        <v>18.380634165611951</v>
      </c>
      <c r="BT96" s="1">
        <v>18.951508907134752</v>
      </c>
      <c r="BU96" s="1">
        <v>19.399783228564708</v>
      </c>
      <c r="BV96" s="1">
        <v>19.64407044633559</v>
      </c>
      <c r="BW96" s="1">
        <v>18.59969323612939</v>
      </c>
      <c r="BX96" s="1">
        <v>19.648311477132566</v>
      </c>
      <c r="BY96" s="1">
        <v>19.510644209912833</v>
      </c>
      <c r="BZ96" s="1">
        <v>19.875945784846063</v>
      </c>
      <c r="CA96" s="1">
        <v>19.920363505546401</v>
      </c>
      <c r="CB96" s="1">
        <v>20.388871315153899</v>
      </c>
      <c r="CC96" s="1">
        <v>20.594701116532299</v>
      </c>
      <c r="CD96" s="1">
        <v>20.7797160604329</v>
      </c>
      <c r="CE96" s="1">
        <v>20.846182608873701</v>
      </c>
      <c r="CF96" s="1">
        <v>21.4099175755522</v>
      </c>
      <c r="CG96" s="1">
        <v>22.211305859769499</v>
      </c>
      <c r="CH96" s="1">
        <v>22.345167805798098</v>
      </c>
      <c r="CI96" s="1">
        <v>23.706197049007901</v>
      </c>
      <c r="CJ96" s="1">
        <v>23.758578216933699</v>
      </c>
      <c r="CK96" s="1">
        <v>23.7527620615326</v>
      </c>
      <c r="CL96" s="1">
        <v>24.7351928757693</v>
      </c>
      <c r="CM96" s="1">
        <v>23.9739503592834</v>
      </c>
      <c r="CN96" s="1">
        <v>24.086174476440402</v>
      </c>
    </row>
    <row r="97" spans="1:92" x14ac:dyDescent="0.35">
      <c r="A97" t="s">
        <v>26</v>
      </c>
      <c r="B97" s="1">
        <v>10.077143883169738</v>
      </c>
      <c r="C97" s="1">
        <v>10.972116351448408</v>
      </c>
      <c r="D97" s="1">
        <v>11.016322891566267</v>
      </c>
      <c r="E97" s="1">
        <v>12.593053490045572</v>
      </c>
      <c r="F97" s="1">
        <v>12.587817137386308</v>
      </c>
      <c r="G97" s="1">
        <v>12.577273161413563</v>
      </c>
      <c r="H97" s="1">
        <v>12.678848354792562</v>
      </c>
      <c r="I97" s="1">
        <v>14.258779443254818</v>
      </c>
      <c r="J97" s="1">
        <v>14.252580261593339</v>
      </c>
      <c r="K97" s="1">
        <v>13.316692763938313</v>
      </c>
      <c r="L97" s="1">
        <v>15.501822706802564</v>
      </c>
      <c r="M97" s="1">
        <v>15.574026433797499</v>
      </c>
      <c r="N97" s="1">
        <v>15.974538389072066</v>
      </c>
      <c r="O97" s="1">
        <v>15.962293233082704</v>
      </c>
      <c r="P97" s="1">
        <v>15.949540527803958</v>
      </c>
      <c r="Q97" s="1">
        <v>16.318246189917936</v>
      </c>
      <c r="R97" s="1">
        <v>16.905355140186916</v>
      </c>
      <c r="S97" s="1">
        <v>16.148874912648498</v>
      </c>
      <c r="T97" s="1">
        <v>17.522930243230842</v>
      </c>
      <c r="U97" s="1">
        <v>18.274296160877519</v>
      </c>
      <c r="V97" s="1">
        <v>18.255661881977666</v>
      </c>
      <c r="W97" s="1">
        <v>17.893499544626593</v>
      </c>
      <c r="X97" s="1">
        <v>19.055560364464696</v>
      </c>
      <c r="Y97" s="1">
        <v>19.01973499433749</v>
      </c>
      <c r="Z97" s="1">
        <v>18.879744054360138</v>
      </c>
      <c r="AA97" s="1">
        <v>19.801941747572812</v>
      </c>
      <c r="AB97" s="1">
        <v>19.545842569554402</v>
      </c>
      <c r="AC97" s="1">
        <v>19.86894523326572</v>
      </c>
      <c r="AD97" s="1">
        <v>19.76014801525006</v>
      </c>
      <c r="AE97" s="1">
        <v>20.325291632608156</v>
      </c>
      <c r="AF97" s="1">
        <v>20.038742787377466</v>
      </c>
      <c r="AG97" s="1">
        <v>19.962219070943327</v>
      </c>
      <c r="AH97" s="1">
        <v>19.923122149651711</v>
      </c>
      <c r="AI97" s="1">
        <v>20.839581975529661</v>
      </c>
      <c r="AJ97" s="1">
        <v>20.815335221535101</v>
      </c>
      <c r="AK97" s="1">
        <v>20.717393131258206</v>
      </c>
      <c r="AL97" s="1">
        <v>20.688635676746244</v>
      </c>
      <c r="AM97" s="1">
        <v>19.780276815425296</v>
      </c>
      <c r="AN97" s="1">
        <v>20.467846532305032</v>
      </c>
      <c r="AO97" s="1">
        <v>20.438224141000269</v>
      </c>
      <c r="AP97" s="1">
        <v>20.419227168961186</v>
      </c>
      <c r="AQ97" s="1">
        <v>19.911257724939905</v>
      </c>
      <c r="AR97" s="1">
        <v>19.850475588049488</v>
      </c>
      <c r="AS97" s="1">
        <v>19.805743786093171</v>
      </c>
      <c r="AT97" s="1">
        <v>19.797375057627693</v>
      </c>
      <c r="AU97" s="1">
        <v>19.805606369845275</v>
      </c>
      <c r="AV97" s="1">
        <v>19.746539695761573</v>
      </c>
      <c r="AW97" s="1">
        <v>19.595333544657041</v>
      </c>
      <c r="AX97" s="1">
        <v>19.470275466444118</v>
      </c>
      <c r="AY97" s="1">
        <v>19.719461567266467</v>
      </c>
      <c r="AZ97" s="1">
        <v>20.393555781130441</v>
      </c>
      <c r="BA97" s="1">
        <v>20.528303044962012</v>
      </c>
      <c r="BB97" s="1">
        <v>20.699420710167001</v>
      </c>
      <c r="BC97" s="1">
        <v>20.386083346919865</v>
      </c>
      <c r="BD97" s="1">
        <v>20.352371464873396</v>
      </c>
      <c r="BE97" s="1">
        <v>20.873766487507222</v>
      </c>
      <c r="BF97" s="1">
        <v>20.928914298259219</v>
      </c>
      <c r="BG97" s="1">
        <v>21.030213521736471</v>
      </c>
      <c r="BH97" s="1">
        <v>20.984644907218126</v>
      </c>
      <c r="BI97" s="1">
        <v>20.907132717728388</v>
      </c>
      <c r="BJ97" s="1">
        <v>20.921580205564148</v>
      </c>
      <c r="BK97" s="1">
        <v>21.069462055768533</v>
      </c>
      <c r="BL97" s="1">
        <v>21.326003153950957</v>
      </c>
      <c r="BM97" s="1">
        <v>21.655255332024495</v>
      </c>
      <c r="BN97" s="1">
        <v>21.98407762744359</v>
      </c>
      <c r="BO97" s="1">
        <v>22.638699437654932</v>
      </c>
      <c r="BP97" s="1">
        <v>22.600493812803332</v>
      </c>
      <c r="BQ97" s="1">
        <v>22.545594391415481</v>
      </c>
      <c r="BR97" s="1">
        <v>22.532308017982285</v>
      </c>
      <c r="BS97" s="1">
        <v>23.078247376195314</v>
      </c>
      <c r="BT97" s="1">
        <v>23.291936523232216</v>
      </c>
      <c r="BU97" s="1">
        <v>23.285393992590727</v>
      </c>
      <c r="BV97" s="1">
        <v>23.271469576345673</v>
      </c>
      <c r="BW97" s="1">
        <v>23.781691995919122</v>
      </c>
      <c r="BX97" s="1">
        <v>23.985151882441702</v>
      </c>
      <c r="BY97" s="1">
        <v>23.960876111940888</v>
      </c>
      <c r="BZ97" s="1">
        <v>23.365220431711275</v>
      </c>
      <c r="CA97" s="1">
        <v>24.4286324950032</v>
      </c>
      <c r="CB97" s="1">
        <v>24.7219569145912</v>
      </c>
      <c r="CC97" s="1">
        <v>24.9486796709262</v>
      </c>
      <c r="CD97" s="1">
        <v>24.8871266309859</v>
      </c>
      <c r="CE97" s="1">
        <v>26.333448347663499</v>
      </c>
      <c r="CF97" s="1">
        <v>27.048530192027801</v>
      </c>
      <c r="CG97" s="1">
        <v>27.616143423868799</v>
      </c>
      <c r="CH97" s="1">
        <v>27.7378134896875</v>
      </c>
      <c r="CI97" s="1">
        <v>27.085540650115799</v>
      </c>
      <c r="CJ97" s="1">
        <v>27.1301366502456</v>
      </c>
      <c r="CK97" s="1">
        <v>27.161147822780499</v>
      </c>
      <c r="CL97" s="1">
        <v>27.833968354221199</v>
      </c>
      <c r="CM97" s="1">
        <v>29.030118760156899</v>
      </c>
      <c r="CN97" s="1">
        <v>28.741232168378101</v>
      </c>
    </row>
    <row r="98" spans="1:92" x14ac:dyDescent="0.35">
      <c r="A98" t="s">
        <v>33</v>
      </c>
      <c r="B98" s="1">
        <v>10.850000000000001</v>
      </c>
      <c r="C98" s="1">
        <v>10.850000000000001</v>
      </c>
      <c r="D98" s="1">
        <v>10.855446210268951</v>
      </c>
      <c r="E98" s="1">
        <v>12.267794455506198</v>
      </c>
      <c r="F98" s="1">
        <v>12.266619761394921</v>
      </c>
      <c r="G98" s="1">
        <v>12.265591151792524</v>
      </c>
      <c r="H98" s="1">
        <v>12.298722594397077</v>
      </c>
      <c r="I98" s="1">
        <v>12.857577601947661</v>
      </c>
      <c r="J98" s="1">
        <v>12.857175757575757</v>
      </c>
      <c r="K98" s="1">
        <v>12.509856673241289</v>
      </c>
      <c r="L98" s="1">
        <v>12.512737312647909</v>
      </c>
      <c r="M98" s="1">
        <v>12.664152697747513</v>
      </c>
      <c r="N98" s="1">
        <v>13.353555497587058</v>
      </c>
      <c r="O98" s="1">
        <v>13.801885416666662</v>
      </c>
      <c r="P98" s="1">
        <v>13.850660438562342</v>
      </c>
      <c r="Q98" s="1">
        <v>14.066823590274181</v>
      </c>
      <c r="R98" s="1">
        <v>14.065079181151022</v>
      </c>
      <c r="S98" s="1">
        <v>12.811491733948481</v>
      </c>
      <c r="T98" s="1">
        <v>13.053396176664469</v>
      </c>
      <c r="U98" s="1">
        <v>14.57078641644325</v>
      </c>
      <c r="V98" s="1">
        <v>14.725389511201625</v>
      </c>
      <c r="W98" s="1">
        <v>14.169786062003586</v>
      </c>
      <c r="X98" s="1">
        <v>14.018002054442738</v>
      </c>
      <c r="Y98" s="1">
        <v>13.999130993700993</v>
      </c>
      <c r="Z98" s="1">
        <v>13.979828271177754</v>
      </c>
      <c r="AA98" s="1">
        <v>13.349741960086435</v>
      </c>
      <c r="AB98" s="1">
        <v>13.449532245730305</v>
      </c>
      <c r="AC98" s="1">
        <v>14.009338263419608</v>
      </c>
      <c r="AD98" s="1">
        <v>14.009973302822274</v>
      </c>
      <c r="AE98" s="1">
        <v>13.313477712764184</v>
      </c>
      <c r="AF98" s="1">
        <v>14.161184709258142</v>
      </c>
      <c r="AG98" s="1">
        <v>14.12802265433155</v>
      </c>
      <c r="AH98" s="1">
        <v>14.114795552991124</v>
      </c>
      <c r="AI98" s="1">
        <v>14.180568600687515</v>
      </c>
      <c r="AJ98" s="1">
        <v>14.982368478565782</v>
      </c>
      <c r="AK98" s="1">
        <v>14.952533401492875</v>
      </c>
      <c r="AL98" s="1">
        <v>14.956414998093962</v>
      </c>
      <c r="AM98" s="1">
        <v>13.8053468586912</v>
      </c>
      <c r="AN98" s="1">
        <v>13.790239092192524</v>
      </c>
      <c r="AO98" s="1">
        <v>13.780008972653549</v>
      </c>
      <c r="AP98" s="1">
        <v>13.773921156612777</v>
      </c>
      <c r="AQ98" s="1">
        <v>14.422731746714032</v>
      </c>
      <c r="AR98" s="1">
        <v>14.725500598549299</v>
      </c>
      <c r="AS98" s="1">
        <v>14.710706458085408</v>
      </c>
      <c r="AT98" s="1">
        <v>14.702988878784307</v>
      </c>
      <c r="AU98" s="1">
        <v>14.518709133653939</v>
      </c>
      <c r="AV98" s="1">
        <v>15.176750446420204</v>
      </c>
      <c r="AW98" s="1">
        <v>15.158270643538859</v>
      </c>
      <c r="AX98" s="1">
        <v>15.206537935629495</v>
      </c>
      <c r="AY98" s="1">
        <v>15.380622545006801</v>
      </c>
      <c r="AZ98" s="1">
        <v>15.702971225712496</v>
      </c>
      <c r="BA98" s="1">
        <v>15.753546567770378</v>
      </c>
      <c r="BB98" s="1">
        <v>15.931996000962222</v>
      </c>
      <c r="BC98" s="1">
        <v>15.308933366309041</v>
      </c>
      <c r="BD98" s="1">
        <v>15.28771007129177</v>
      </c>
      <c r="BE98" s="1">
        <v>15.729665599107783</v>
      </c>
      <c r="BF98" s="1">
        <v>16.032034280635521</v>
      </c>
      <c r="BG98" s="1">
        <v>16.047484292816513</v>
      </c>
      <c r="BH98" s="1">
        <v>16.050439241399395</v>
      </c>
      <c r="BI98" s="1">
        <v>16.051440904016374</v>
      </c>
      <c r="BJ98" s="1">
        <v>16.777538271491984</v>
      </c>
      <c r="BK98" s="1">
        <v>16.914202515577276</v>
      </c>
      <c r="BL98" s="1">
        <v>16.974791653064781</v>
      </c>
      <c r="BM98" s="1">
        <v>17.521739081776726</v>
      </c>
      <c r="BN98" s="1">
        <v>17.590632589285914</v>
      </c>
      <c r="BO98" s="1">
        <v>18.079087941056695</v>
      </c>
      <c r="BP98" s="1">
        <v>18.051481939760482</v>
      </c>
      <c r="BQ98" s="1">
        <v>18.040576117604576</v>
      </c>
      <c r="BR98" s="1">
        <v>18.097637709777683</v>
      </c>
      <c r="BS98" s="1">
        <v>19.125731262902395</v>
      </c>
      <c r="BT98" s="1">
        <v>19.256184920273906</v>
      </c>
      <c r="BU98" s="1">
        <v>19.571934907254093</v>
      </c>
      <c r="BV98" s="1">
        <v>20.317703514448059</v>
      </c>
      <c r="BW98" s="1">
        <v>20.842310496340964</v>
      </c>
      <c r="BX98" s="1">
        <v>20.540473211662778</v>
      </c>
      <c r="BY98" s="1">
        <v>20.515548183997879</v>
      </c>
      <c r="BZ98" s="1">
        <v>21.007702945262878</v>
      </c>
      <c r="CA98" s="1">
        <v>20.516590377180499</v>
      </c>
      <c r="CB98" s="1">
        <v>20.676692633020402</v>
      </c>
      <c r="CC98" s="1">
        <v>20.761044303815002</v>
      </c>
      <c r="CD98" s="1">
        <v>20.893430229138801</v>
      </c>
      <c r="CE98" s="1">
        <v>21.132262493149199</v>
      </c>
      <c r="CF98" s="1">
        <v>21.5635911063805</v>
      </c>
      <c r="CG98" s="1">
        <v>22.0701593084401</v>
      </c>
      <c r="CH98" s="1">
        <v>22.963071343233899</v>
      </c>
      <c r="CI98" s="1">
        <v>23.633048284422198</v>
      </c>
      <c r="CJ98" s="1">
        <v>23.785495895512099</v>
      </c>
      <c r="CK98" s="1">
        <v>23.876402895833301</v>
      </c>
      <c r="CL98" s="1">
        <v>24.893865836876401</v>
      </c>
      <c r="CM98" s="1">
        <v>24.099379817441001</v>
      </c>
      <c r="CN98" s="1">
        <v>24.3712534040355</v>
      </c>
    </row>
    <row r="99" spans="1:92" x14ac:dyDescent="0.35">
      <c r="A99" t="s">
        <v>34</v>
      </c>
      <c r="B99" s="1">
        <v>9.9166188543635201</v>
      </c>
      <c r="C99" s="1">
        <v>9.9394848503510289</v>
      </c>
      <c r="D99" s="1">
        <v>11.864189889328308</v>
      </c>
      <c r="E99" s="1">
        <v>11.947123799683968</v>
      </c>
      <c r="F99" s="1">
        <v>11.945941204935885</v>
      </c>
      <c r="G99" s="1">
        <v>11.956498035948101</v>
      </c>
      <c r="H99" s="1">
        <v>12.093862626621643</v>
      </c>
      <c r="I99" s="1">
        <v>12.939992340099579</v>
      </c>
      <c r="J99" s="1">
        <v>12.935438323599332</v>
      </c>
      <c r="K99" s="1">
        <v>12.524647434961601</v>
      </c>
      <c r="L99" s="1">
        <v>13.460926615107283</v>
      </c>
      <c r="M99" s="1">
        <v>13.441083444709161</v>
      </c>
      <c r="N99" s="1">
        <v>13.427188484550676</v>
      </c>
      <c r="O99" s="1">
        <v>13.17208389638021</v>
      </c>
      <c r="P99" s="1">
        <v>13.159643755718205</v>
      </c>
      <c r="Q99" s="1">
        <v>14.590413683373109</v>
      </c>
      <c r="R99" s="1">
        <v>14.570084815244128</v>
      </c>
      <c r="S99" s="1">
        <v>14.465031884709385</v>
      </c>
      <c r="T99" s="1">
        <v>14.485546039742514</v>
      </c>
      <c r="U99" s="1">
        <v>15.585211094678682</v>
      </c>
      <c r="V99" s="1">
        <v>15.6210875611927</v>
      </c>
      <c r="W99" s="1">
        <v>15.224637082235475</v>
      </c>
      <c r="X99" s="1">
        <v>15.203572317305831</v>
      </c>
      <c r="Y99" s="1">
        <v>15.212775157883126</v>
      </c>
      <c r="Z99" s="1">
        <v>15.203005138633181</v>
      </c>
      <c r="AA99" s="1">
        <v>15.612781078047581</v>
      </c>
      <c r="AB99" s="1">
        <v>16.20869091802205</v>
      </c>
      <c r="AC99" s="1">
        <v>16.556564787850746</v>
      </c>
      <c r="AD99" s="1">
        <v>16.542617677398333</v>
      </c>
      <c r="AE99" s="1">
        <v>17.270428806446041</v>
      </c>
      <c r="AF99" s="1">
        <v>15.512301569261654</v>
      </c>
      <c r="AG99" s="1">
        <v>15.504676140052743</v>
      </c>
      <c r="AH99" s="1">
        <v>15.531416822349572</v>
      </c>
      <c r="AI99" s="1">
        <v>16.389912921391101</v>
      </c>
      <c r="AJ99" s="1">
        <v>16.449784784415037</v>
      </c>
      <c r="AK99" s="1">
        <v>16.492357610468495</v>
      </c>
      <c r="AL99" s="1">
        <v>16.08894246160316</v>
      </c>
      <c r="AM99" s="1">
        <v>16.60282319917323</v>
      </c>
      <c r="AN99" s="1">
        <v>16.742931334303137</v>
      </c>
      <c r="AO99" s="1">
        <v>16.866979544783451</v>
      </c>
      <c r="AP99" s="1">
        <v>16.384854964000947</v>
      </c>
      <c r="AQ99" s="1">
        <v>16.392339250517871</v>
      </c>
      <c r="AR99" s="1">
        <v>16.574190007338562</v>
      </c>
      <c r="AS99" s="1">
        <v>16.321915640005241</v>
      </c>
      <c r="AT99" s="1">
        <v>16.329952117824963</v>
      </c>
      <c r="AU99" s="1">
        <v>16.349262255003527</v>
      </c>
      <c r="AV99" s="1">
        <v>16.432982488108681</v>
      </c>
      <c r="AW99" s="1">
        <v>16.532196324777651</v>
      </c>
      <c r="AX99" s="1">
        <v>16.535812477145484</v>
      </c>
      <c r="AY99" s="1">
        <v>16.642799541774075</v>
      </c>
      <c r="AZ99" s="1">
        <v>16.982034652370452</v>
      </c>
      <c r="BA99" s="1">
        <v>17.022968910507814</v>
      </c>
      <c r="BB99" s="1">
        <v>17.024018722663456</v>
      </c>
      <c r="BC99" s="1">
        <v>16.928554604893741</v>
      </c>
      <c r="BD99" s="1">
        <v>16.935547103943382</v>
      </c>
      <c r="BE99" s="1">
        <v>17.031128575186806</v>
      </c>
      <c r="BF99" s="1">
        <v>17.054050031177766</v>
      </c>
      <c r="BG99" s="1">
        <v>17.051076187393701</v>
      </c>
      <c r="BH99" s="1">
        <v>17.104721667297625</v>
      </c>
      <c r="BI99" s="1">
        <v>17.086853792367727</v>
      </c>
      <c r="BJ99" s="1">
        <v>17.343974116867585</v>
      </c>
      <c r="BK99" s="1">
        <v>17.406846664756152</v>
      </c>
      <c r="BL99" s="1">
        <v>17.448792558494503</v>
      </c>
      <c r="BM99" s="1">
        <v>17.897926581855366</v>
      </c>
      <c r="BN99" s="1">
        <v>18.145824813415739</v>
      </c>
      <c r="BO99" s="1">
        <v>18.598764303000465</v>
      </c>
      <c r="BP99" s="1">
        <v>18.606604762008104</v>
      </c>
      <c r="BQ99" s="1">
        <v>18.412291440744454</v>
      </c>
      <c r="BR99" s="1">
        <v>18.540005251783597</v>
      </c>
      <c r="BS99" s="1">
        <v>18.214527573929288</v>
      </c>
      <c r="BT99" s="1">
        <v>19.023388154354823</v>
      </c>
      <c r="BU99" s="1">
        <v>19.247934588964522</v>
      </c>
      <c r="BV99" s="1">
        <v>20.04068898680573</v>
      </c>
      <c r="BW99" s="1">
        <v>19.832269101066643</v>
      </c>
      <c r="BX99" s="1">
        <v>19.707926755926962</v>
      </c>
      <c r="BY99" s="1">
        <v>19.778864776989806</v>
      </c>
      <c r="BZ99" s="1">
        <v>20.287074622151522</v>
      </c>
      <c r="CA99" s="1">
        <v>19.831598951655501</v>
      </c>
      <c r="CB99" s="1">
        <v>20.139464942268201</v>
      </c>
      <c r="CC99" s="1">
        <v>20.353404726496201</v>
      </c>
      <c r="CD99" s="1">
        <v>20.468276896308598</v>
      </c>
      <c r="CE99" s="1">
        <v>20.359241936998998</v>
      </c>
      <c r="CF99" s="1">
        <v>22.370725149196801</v>
      </c>
      <c r="CG99" s="1">
        <v>22.747764264733899</v>
      </c>
      <c r="CH99" s="1">
        <v>23.454791691309499</v>
      </c>
      <c r="CI99" s="1">
        <v>24.423115734681399</v>
      </c>
      <c r="CJ99" s="1">
        <v>24.557807661116598</v>
      </c>
      <c r="CK99" s="1">
        <v>24.623851268920902</v>
      </c>
      <c r="CL99" s="1">
        <v>26.175794783886399</v>
      </c>
      <c r="CM99" s="1">
        <v>25.784570843028199</v>
      </c>
      <c r="CN99" s="1">
        <v>25.930518409755098</v>
      </c>
    </row>
    <row r="100" spans="1:92" x14ac:dyDescent="0.35">
      <c r="A100" t="s">
        <v>29</v>
      </c>
      <c r="B100" s="1">
        <v>9.9879457482474887</v>
      </c>
      <c r="C100" s="1">
        <v>11.054272190553746</v>
      </c>
      <c r="D100" s="1">
        <v>11.052550068796823</v>
      </c>
      <c r="E100" s="1">
        <v>11.184468562111483</v>
      </c>
      <c r="F100" s="1">
        <v>11.183863509324659</v>
      </c>
      <c r="G100" s="1">
        <v>12.507979674796749</v>
      </c>
      <c r="H100" s="1">
        <v>12.653410852713177</v>
      </c>
      <c r="I100" s="1">
        <v>12.670592243455095</v>
      </c>
      <c r="J100" s="1">
        <v>12.67104544287548</v>
      </c>
      <c r="K100" s="1">
        <v>13.603628780487806</v>
      </c>
      <c r="L100" s="1">
        <v>13.779548769814255</v>
      </c>
      <c r="M100" s="1">
        <v>13.791800543267364</v>
      </c>
      <c r="N100" s="1">
        <v>13.828365899551308</v>
      </c>
      <c r="O100" s="1">
        <v>15.116353740185927</v>
      </c>
      <c r="P100" s="1">
        <v>15.108381405634072</v>
      </c>
      <c r="Q100" s="1">
        <v>15.173913667001292</v>
      </c>
      <c r="R100" s="1">
        <v>15.15889566460219</v>
      </c>
      <c r="S100" s="1">
        <v>16.118843460155215</v>
      </c>
      <c r="T100" s="1">
        <v>16.114014684426035</v>
      </c>
      <c r="U100" s="1">
        <v>16.266756566604126</v>
      </c>
      <c r="V100" s="1">
        <v>16.121846341006922</v>
      </c>
      <c r="W100" s="1">
        <v>15.692188989397916</v>
      </c>
      <c r="X100" s="1">
        <v>15.410069587416622</v>
      </c>
      <c r="Y100" s="1">
        <v>15.435911056207534</v>
      </c>
      <c r="Z100" s="1">
        <v>15.433155297890711</v>
      </c>
      <c r="AA100" s="1">
        <v>14.637057066498977</v>
      </c>
      <c r="AB100" s="1">
        <v>14.777206816299158</v>
      </c>
      <c r="AC100" s="1">
        <v>16.688634302165081</v>
      </c>
      <c r="AD100" s="1">
        <v>17.043826295698718</v>
      </c>
      <c r="AE100" s="1">
        <v>18.222387349462885</v>
      </c>
      <c r="AF100" s="1">
        <v>15.790495446975223</v>
      </c>
      <c r="AG100" s="1">
        <v>15.796011174723949</v>
      </c>
      <c r="AH100" s="1">
        <v>15.789548378339992</v>
      </c>
      <c r="AI100" s="1">
        <v>15.743627494510685</v>
      </c>
      <c r="AJ100" s="1">
        <v>16.171850451953276</v>
      </c>
      <c r="AK100" s="1">
        <v>16.500652786924761</v>
      </c>
      <c r="AL100" s="1">
        <v>16.514790374062457</v>
      </c>
      <c r="AM100" s="1">
        <v>17.399876406247657</v>
      </c>
      <c r="AN100" s="1">
        <v>17.404356113909884</v>
      </c>
      <c r="AO100" s="1">
        <v>17.599453781512352</v>
      </c>
      <c r="AP100" s="1">
        <v>17.649858937253931</v>
      </c>
      <c r="AQ100" s="1">
        <v>17.347442406159647</v>
      </c>
      <c r="AR100" s="1">
        <v>17.661231955198108</v>
      </c>
      <c r="AS100" s="1">
        <v>17.647936236306631</v>
      </c>
      <c r="AT100" s="1">
        <v>17.590566016805571</v>
      </c>
      <c r="AU100" s="1">
        <v>17.768027609281212</v>
      </c>
      <c r="AV100" s="1">
        <v>17.706228537007505</v>
      </c>
      <c r="AW100" s="1">
        <v>17.730416527241772</v>
      </c>
      <c r="AX100" s="1">
        <v>17.706791241608094</v>
      </c>
      <c r="AY100" s="1">
        <v>17.786817720966638</v>
      </c>
      <c r="AZ100" s="1">
        <v>18.03971212074287</v>
      </c>
      <c r="BA100" s="1">
        <v>18.049648675424606</v>
      </c>
      <c r="BB100" s="1">
        <v>18.325087604001887</v>
      </c>
      <c r="BC100" s="1">
        <v>17.800245185263186</v>
      </c>
      <c r="BD100" s="1">
        <v>17.768096819970793</v>
      </c>
      <c r="BE100" s="1">
        <v>18.296960607896715</v>
      </c>
      <c r="BF100" s="1">
        <v>18.501382702239702</v>
      </c>
      <c r="BG100" s="1">
        <v>18.718093895820274</v>
      </c>
      <c r="BH100" s="1">
        <v>18.759094677730211</v>
      </c>
      <c r="BI100" s="1">
        <v>18.779752330151702</v>
      </c>
      <c r="BJ100" s="1">
        <v>19.002592369613389</v>
      </c>
      <c r="BK100" s="1">
        <v>18.953303628269243</v>
      </c>
      <c r="BL100" s="1">
        <v>18.772994799973912</v>
      </c>
      <c r="BM100" s="1">
        <v>19.44726067504541</v>
      </c>
      <c r="BN100" s="1">
        <v>19.694405578319657</v>
      </c>
      <c r="BO100" s="1">
        <v>20.568053213684255</v>
      </c>
      <c r="BP100" s="1">
        <v>20.569051629912199</v>
      </c>
      <c r="BQ100" s="1">
        <v>20.55954219505649</v>
      </c>
      <c r="BR100" s="1">
        <v>19.398852428065286</v>
      </c>
      <c r="BS100" s="1">
        <v>20.729250683795957</v>
      </c>
      <c r="BT100" s="1">
        <v>21.141848499664842</v>
      </c>
      <c r="BU100" s="1">
        <v>21.653243108538955</v>
      </c>
      <c r="BV100" s="1">
        <v>21.910014786518577</v>
      </c>
      <c r="BW100" s="1">
        <v>22.254635738484438</v>
      </c>
      <c r="BX100" s="1">
        <v>22.640367387747162</v>
      </c>
      <c r="BY100" s="1">
        <v>22.822812982428871</v>
      </c>
      <c r="BZ100" s="1">
        <v>22.847021669544283</v>
      </c>
      <c r="CA100" s="1">
        <v>22.6155547178275</v>
      </c>
      <c r="CB100" s="1">
        <v>22.572664680116802</v>
      </c>
      <c r="CC100" s="1">
        <v>23.042213137303001</v>
      </c>
      <c r="CD100" s="1">
        <v>23.030017549394</v>
      </c>
      <c r="CE100" s="1">
        <v>23.3370914025495</v>
      </c>
      <c r="CF100" s="1">
        <v>23.6884246004803</v>
      </c>
      <c r="CG100" s="1">
        <v>24.4386782041354</v>
      </c>
      <c r="CH100" s="1">
        <v>24.716759596773102</v>
      </c>
      <c r="CI100" s="1">
        <v>26.190994795195198</v>
      </c>
      <c r="CJ100" s="1">
        <v>26.464931721155299</v>
      </c>
      <c r="CK100" s="1">
        <v>26.443249523770199</v>
      </c>
      <c r="CL100" s="1">
        <v>27.182697257095601</v>
      </c>
      <c r="CM100" s="1">
        <v>27.356171807947199</v>
      </c>
      <c r="CN100" s="1">
        <v>27.475240557029601</v>
      </c>
    </row>
    <row r="101" spans="1:92" x14ac:dyDescent="0.35">
      <c r="A101" t="s">
        <v>36</v>
      </c>
      <c r="B101" s="1">
        <v>10.100182721260001</v>
      </c>
      <c r="C101" s="1">
        <v>10.215750610618333</v>
      </c>
      <c r="D101" s="1">
        <v>10.202528272855496</v>
      </c>
      <c r="E101" s="1">
        <v>10.830335311269121</v>
      </c>
      <c r="F101" s="1">
        <v>10.825208625749649</v>
      </c>
      <c r="G101" s="1">
        <v>11.162324976408476</v>
      </c>
      <c r="H101" s="1">
        <v>11.248341639193439</v>
      </c>
      <c r="I101" s="1">
        <v>11.584910228788344</v>
      </c>
      <c r="J101" s="1">
        <v>11.573603740142309</v>
      </c>
      <c r="K101" s="1">
        <v>11.088519133126937</v>
      </c>
      <c r="L101" s="1">
        <v>12.322816035172657</v>
      </c>
      <c r="M101" s="1">
        <v>12.321720334591753</v>
      </c>
      <c r="N101" s="1">
        <v>12.274339446383795</v>
      </c>
      <c r="O101" s="1">
        <v>12.985797797994167</v>
      </c>
      <c r="P101" s="1">
        <v>13.496152622822471</v>
      </c>
      <c r="Q101" s="1">
        <v>13.497779483430801</v>
      </c>
      <c r="R101" s="1">
        <v>13.501452454322667</v>
      </c>
      <c r="S101" s="1">
        <v>13.842715566185884</v>
      </c>
      <c r="T101" s="1">
        <v>14.718285404101326</v>
      </c>
      <c r="U101" s="1">
        <v>14.793747446343161</v>
      </c>
      <c r="V101" s="1">
        <v>14.784414814459222</v>
      </c>
      <c r="W101" s="1">
        <v>14.449623654625215</v>
      </c>
      <c r="X101" s="1">
        <v>14.443180587826669</v>
      </c>
      <c r="Y101" s="1">
        <v>14.481625403915606</v>
      </c>
      <c r="Z101" s="1">
        <v>14.484771460423636</v>
      </c>
      <c r="AA101" s="1">
        <v>14.775953125000001</v>
      </c>
      <c r="AB101" s="1">
        <v>15.148845099707021</v>
      </c>
      <c r="AC101" s="1">
        <v>15.615932011331445</v>
      </c>
      <c r="AD101" s="1">
        <v>15.620024492487403</v>
      </c>
      <c r="AE101" s="1">
        <v>15.751659804223419</v>
      </c>
      <c r="AF101" s="1">
        <v>14.281955569949723</v>
      </c>
      <c r="AG101" s="1">
        <v>14.293837866729802</v>
      </c>
      <c r="AH101" s="1">
        <v>14.302660047536083</v>
      </c>
      <c r="AI101" s="1">
        <v>14.659977013972149</v>
      </c>
      <c r="AJ101" s="1">
        <v>14.891440747984362</v>
      </c>
      <c r="AK101" s="1">
        <v>14.90503452707884</v>
      </c>
      <c r="AL101" s="1">
        <v>14.90578526898862</v>
      </c>
      <c r="AM101" s="1">
        <v>14.890598356982412</v>
      </c>
      <c r="AN101" s="1">
        <v>15.281103489277442</v>
      </c>
      <c r="AO101" s="1">
        <v>15.529608108597088</v>
      </c>
      <c r="AP101" s="1">
        <v>15.559030337819909</v>
      </c>
      <c r="AQ101" s="1">
        <v>15.689474133719262</v>
      </c>
      <c r="AR101" s="1">
        <v>15.692317015364598</v>
      </c>
      <c r="AS101" s="1">
        <v>15.702178877655349</v>
      </c>
      <c r="AT101" s="1">
        <v>15.711487846966818</v>
      </c>
      <c r="AU101" s="1">
        <v>15.209749208223638</v>
      </c>
      <c r="AV101" s="1">
        <v>15.817231135457007</v>
      </c>
      <c r="AW101" s="1">
        <v>15.793248736531702</v>
      </c>
      <c r="AX101" s="1">
        <v>15.798952610395176</v>
      </c>
      <c r="AY101" s="1">
        <v>16.00318809579214</v>
      </c>
      <c r="AZ101" s="1">
        <v>15.992420596530003</v>
      </c>
      <c r="BA101" s="1">
        <v>15.996066370346192</v>
      </c>
      <c r="BB101" s="1">
        <v>16.141232172214519</v>
      </c>
      <c r="BC101" s="1">
        <v>15.881098632363374</v>
      </c>
      <c r="BD101" s="1">
        <v>15.917451533531709</v>
      </c>
      <c r="BE101" s="1">
        <v>16.174377858736335</v>
      </c>
      <c r="BF101" s="1">
        <v>16.227172532764754</v>
      </c>
      <c r="BG101" s="1">
        <v>15.826526951792925</v>
      </c>
      <c r="BH101" s="1">
        <v>15.243557967316551</v>
      </c>
      <c r="BI101" s="1">
        <v>15.972225744224946</v>
      </c>
      <c r="BJ101" s="1">
        <v>16.188359071960146</v>
      </c>
      <c r="BK101" s="1">
        <v>16.555327374431194</v>
      </c>
      <c r="BL101" s="1">
        <v>16.770794393676503</v>
      </c>
      <c r="BM101" s="1">
        <v>17.301974268828936</v>
      </c>
      <c r="BN101" s="1">
        <v>17.495076540076326</v>
      </c>
      <c r="BO101" s="1">
        <v>17.761462689969687</v>
      </c>
      <c r="BP101" s="1">
        <v>17.768134608263381</v>
      </c>
      <c r="BQ101" s="1">
        <v>17.531241442261173</v>
      </c>
      <c r="BR101" s="1">
        <v>17.829624220729411</v>
      </c>
      <c r="BS101" s="1">
        <v>17.704823595990369</v>
      </c>
      <c r="BT101" s="1">
        <v>18.256323714815807</v>
      </c>
      <c r="BU101" s="1">
        <v>18.64978022113899</v>
      </c>
      <c r="BV101" s="1">
        <v>19.282810033889724</v>
      </c>
      <c r="BW101" s="1">
        <v>18.798743334825925</v>
      </c>
      <c r="BX101" s="1">
        <v>19.10349330686692</v>
      </c>
      <c r="BY101" s="1">
        <v>19.103583845944367</v>
      </c>
      <c r="BZ101" s="1">
        <v>19.850213298408381</v>
      </c>
      <c r="CA101" s="1">
        <v>18.7384372717944</v>
      </c>
      <c r="CB101" s="1">
        <v>18.782940227124602</v>
      </c>
      <c r="CC101" s="1">
        <v>19.076302912766099</v>
      </c>
      <c r="CD101" s="1">
        <v>19.281226666525001</v>
      </c>
      <c r="CE101" s="1">
        <v>19.908215095187</v>
      </c>
      <c r="CF101" s="1">
        <v>19.919012240401699</v>
      </c>
      <c r="CG101" s="1">
        <v>20.726218861268499</v>
      </c>
      <c r="CH101" s="1">
        <v>21.380264272087199</v>
      </c>
      <c r="CI101" s="1">
        <v>22.1674285024942</v>
      </c>
      <c r="CJ101" s="1">
        <v>22.631235421903199</v>
      </c>
      <c r="CK101" s="1">
        <v>22.632954448382499</v>
      </c>
      <c r="CL101" s="1">
        <v>23.519136399178901</v>
      </c>
      <c r="CM101" s="1">
        <v>21.714898844369301</v>
      </c>
      <c r="CN101" s="1">
        <v>21.9643685175499</v>
      </c>
    </row>
    <row r="102" spans="1:92" x14ac:dyDescent="0.35">
      <c r="A102" t="s">
        <v>30</v>
      </c>
      <c r="B102" s="1">
        <v>9.8065646981842001</v>
      </c>
      <c r="C102" s="1">
        <v>9.9960055942147648</v>
      </c>
      <c r="D102" s="1">
        <v>10.101238108181569</v>
      </c>
      <c r="E102" s="1">
        <v>10.08574145516074</v>
      </c>
      <c r="F102" s="1">
        <v>10.08709872804361</v>
      </c>
      <c r="G102" s="1">
        <v>10.087760434112681</v>
      </c>
      <c r="H102" s="1">
        <v>10.223888406861111</v>
      </c>
      <c r="I102" s="1">
        <v>12.369771837898785</v>
      </c>
      <c r="J102" s="1">
        <v>12.357242356352135</v>
      </c>
      <c r="K102" s="1">
        <v>12.34884802311835</v>
      </c>
      <c r="L102" s="1">
        <v>13.670726202158985</v>
      </c>
      <c r="M102" s="1">
        <v>13.909438553119511</v>
      </c>
      <c r="N102" s="1">
        <v>13.871742840519751</v>
      </c>
      <c r="O102" s="1">
        <v>13.849618271636619</v>
      </c>
      <c r="P102" s="1">
        <v>13.830443499777932</v>
      </c>
      <c r="Q102" s="1">
        <v>14.649808055380742</v>
      </c>
      <c r="R102" s="1">
        <v>14.633778277715287</v>
      </c>
      <c r="S102" s="1">
        <v>14.622770823004458</v>
      </c>
      <c r="T102" s="1">
        <v>14.757635268076733</v>
      </c>
      <c r="U102" s="1">
        <v>15.276356868249227</v>
      </c>
      <c r="V102" s="1">
        <v>16.009161763813911</v>
      </c>
      <c r="W102" s="1">
        <v>16.284165765116001</v>
      </c>
      <c r="X102" s="1">
        <v>16.272736306495062</v>
      </c>
      <c r="Y102" s="1">
        <v>16.774126303246952</v>
      </c>
      <c r="Z102" s="1">
        <v>16.6579693895711</v>
      </c>
      <c r="AA102" s="1">
        <v>16.765608572105137</v>
      </c>
      <c r="AB102" s="1">
        <v>16.857561291843474</v>
      </c>
      <c r="AC102" s="1">
        <v>17.840722538267549</v>
      </c>
      <c r="AD102" s="1">
        <v>17.80781169590643</v>
      </c>
      <c r="AE102" s="1">
        <v>17.79334980184839</v>
      </c>
      <c r="AF102" s="1">
        <v>17.925713338025112</v>
      </c>
      <c r="AG102" s="1">
        <v>18.370315391258707</v>
      </c>
      <c r="AH102" s="1">
        <v>18.407993156310759</v>
      </c>
      <c r="AI102" s="1">
        <v>18.311303273886576</v>
      </c>
      <c r="AJ102" s="1">
        <v>18.284874168368674</v>
      </c>
      <c r="AK102" s="1">
        <v>18.907028031664034</v>
      </c>
      <c r="AL102" s="1">
        <v>18.883873710891546</v>
      </c>
      <c r="AM102" s="1">
        <v>18.894629760600012</v>
      </c>
      <c r="AN102" s="1">
        <v>18.867594434991918</v>
      </c>
      <c r="AO102" s="1">
        <v>19.004960126382294</v>
      </c>
      <c r="AP102" s="1">
        <v>18.967252056031587</v>
      </c>
      <c r="AQ102" s="1">
        <v>18.489275565730054</v>
      </c>
      <c r="AR102" s="1">
        <v>18.462595857420908</v>
      </c>
      <c r="AS102" s="1">
        <v>18.63787540211527</v>
      </c>
      <c r="AT102" s="1">
        <v>18.614417492621875</v>
      </c>
      <c r="AU102" s="1">
        <v>18.596171173094305</v>
      </c>
      <c r="AV102" s="1">
        <v>18.560633148159205</v>
      </c>
      <c r="AW102" s="1">
        <v>18.954749513583245</v>
      </c>
      <c r="AX102" s="1">
        <v>18.905104793105046</v>
      </c>
      <c r="AY102" s="1">
        <v>18.93309560003739</v>
      </c>
      <c r="AZ102" s="1">
        <v>19.113411659362356</v>
      </c>
      <c r="BA102" s="1">
        <v>19.337822642515206</v>
      </c>
      <c r="BB102" s="1">
        <v>19.324518099674115</v>
      </c>
      <c r="BC102" s="1">
        <v>19.28153140556126</v>
      </c>
      <c r="BD102" s="1">
        <v>19.235445832843297</v>
      </c>
      <c r="BE102" s="1">
        <v>19.364036808939588</v>
      </c>
      <c r="BF102" s="1">
        <v>19.380924356796029</v>
      </c>
      <c r="BG102" s="1">
        <v>19.356523694728224</v>
      </c>
      <c r="BH102" s="1">
        <v>19.449850158470944</v>
      </c>
      <c r="BI102" s="1">
        <v>19.393648719778426</v>
      </c>
      <c r="BJ102" s="1">
        <v>19.783142925915868</v>
      </c>
      <c r="BK102" s="1">
        <v>19.454774090482445</v>
      </c>
      <c r="BL102" s="1">
        <v>19.636597934942092</v>
      </c>
      <c r="BM102" s="1">
        <v>19.82094853177837</v>
      </c>
      <c r="BN102" s="1">
        <v>19.96278470205943</v>
      </c>
      <c r="BO102" s="1">
        <v>20.675420120248472</v>
      </c>
      <c r="BP102" s="1">
        <v>20.655697763446305</v>
      </c>
      <c r="BQ102" s="1">
        <v>20.623289462701941</v>
      </c>
      <c r="BR102" s="1">
        <v>20.643742753484144</v>
      </c>
      <c r="BS102" s="1">
        <v>21.23298450219049</v>
      </c>
      <c r="BT102" s="1">
        <v>21.259117996018286</v>
      </c>
      <c r="BU102" s="1">
        <v>21.197822605568032</v>
      </c>
      <c r="BV102" s="1">
        <v>21.322017391211649</v>
      </c>
      <c r="BW102" s="1">
        <v>21.77891388754573</v>
      </c>
      <c r="BX102" s="1">
        <v>21.797635642614921</v>
      </c>
      <c r="BY102" s="1">
        <v>21.778920617186429</v>
      </c>
      <c r="BZ102" s="1">
        <v>21.81744169864087</v>
      </c>
      <c r="CA102" s="1">
        <v>22.143589084869301</v>
      </c>
      <c r="CB102" s="1">
        <v>22.3446489621547</v>
      </c>
      <c r="CC102" s="1">
        <v>22.427521952304001</v>
      </c>
      <c r="CD102" s="1">
        <v>22.498064295080301</v>
      </c>
      <c r="CE102" s="1">
        <v>23.3801834678242</v>
      </c>
      <c r="CF102" s="1">
        <v>23.5519137404882</v>
      </c>
      <c r="CG102" s="1">
        <v>23.7871487415552</v>
      </c>
      <c r="CH102" s="1">
        <v>23.966958445210899</v>
      </c>
      <c r="CI102" s="1">
        <v>24.435142614881499</v>
      </c>
      <c r="CJ102" s="1">
        <v>24.504249642904401</v>
      </c>
      <c r="CK102" s="1">
        <v>24.507884067889499</v>
      </c>
      <c r="CL102" s="1">
        <v>25.066163514533699</v>
      </c>
      <c r="CM102" s="1">
        <v>25.767480066968201</v>
      </c>
      <c r="CN102" s="1">
        <v>25.868144569564802</v>
      </c>
    </row>
    <row r="103" spans="1:92" x14ac:dyDescent="0.35">
      <c r="A103" t="s">
        <v>32</v>
      </c>
      <c r="B103" s="1">
        <v>10.486050425236748</v>
      </c>
      <c r="C103" s="1">
        <v>10.669299601497404</v>
      </c>
      <c r="D103" s="1">
        <v>10.670632506488019</v>
      </c>
      <c r="E103" s="1">
        <v>11.118074320241693</v>
      </c>
      <c r="F103" s="1">
        <v>11.11741314610822</v>
      </c>
      <c r="G103" s="1">
        <v>10.966396332023344</v>
      </c>
      <c r="H103" s="1">
        <v>11.094022701610506</v>
      </c>
      <c r="I103" s="1">
        <v>11.767219019316496</v>
      </c>
      <c r="J103" s="1">
        <v>11.767266877197166</v>
      </c>
      <c r="K103" s="1">
        <v>11.429174584323039</v>
      </c>
      <c r="L103" s="1">
        <v>12.580471462544587</v>
      </c>
      <c r="M103" s="1">
        <v>12.58959388750149</v>
      </c>
      <c r="N103" s="1">
        <v>12.631237959329294</v>
      </c>
      <c r="O103" s="1">
        <v>13.825344244796298</v>
      </c>
      <c r="P103" s="1">
        <v>13.538059054182511</v>
      </c>
      <c r="Q103" s="1">
        <v>13.597182443960698</v>
      </c>
      <c r="R103" s="1">
        <v>13.59519891713747</v>
      </c>
      <c r="S103" s="1">
        <v>14.339845011112407</v>
      </c>
      <c r="T103" s="1">
        <v>14.324638796571628</v>
      </c>
      <c r="U103" s="1">
        <v>14.470812306975114</v>
      </c>
      <c r="V103" s="1">
        <v>14.687282412528381</v>
      </c>
      <c r="W103" s="1">
        <v>14.441161695447416</v>
      </c>
      <c r="X103" s="1">
        <v>14.415920227589414</v>
      </c>
      <c r="Y103" s="1">
        <v>14.448555607097301</v>
      </c>
      <c r="Z103" s="1">
        <v>14.424151643382995</v>
      </c>
      <c r="AA103" s="1">
        <v>14.776052524784046</v>
      </c>
      <c r="AB103" s="1">
        <v>15.373068483658624</v>
      </c>
      <c r="AC103" s="1">
        <v>15.986113390741485</v>
      </c>
      <c r="AD103" s="1">
        <v>15.972938162970108</v>
      </c>
      <c r="AE103" s="1">
        <v>16.685141470045156</v>
      </c>
      <c r="AF103" s="1">
        <v>14.313862226305964</v>
      </c>
      <c r="AG103" s="1">
        <v>14.31394972940415</v>
      </c>
      <c r="AH103" s="1">
        <v>14.297039246401567</v>
      </c>
      <c r="AI103" s="1">
        <v>14.362905108187068</v>
      </c>
      <c r="AJ103" s="1">
        <v>14.733583355169603</v>
      </c>
      <c r="AK103" s="1">
        <v>15.118153903439222</v>
      </c>
      <c r="AL103" s="1">
        <v>15.116129563056582</v>
      </c>
      <c r="AM103" s="1">
        <v>15.458863954123295</v>
      </c>
      <c r="AN103" s="1">
        <v>15.459464567646052</v>
      </c>
      <c r="AO103" s="1">
        <v>15.458633997805464</v>
      </c>
      <c r="AP103" s="1">
        <v>15.460679226393719</v>
      </c>
      <c r="AQ103" s="1">
        <v>15.454469478597323</v>
      </c>
      <c r="AR103" s="1">
        <v>15.448942517106074</v>
      </c>
      <c r="AS103" s="1">
        <v>15.459503822195858</v>
      </c>
      <c r="AT103" s="1">
        <v>15.461785925858473</v>
      </c>
      <c r="AU103" s="1">
        <v>15.900610035314147</v>
      </c>
      <c r="AV103" s="1">
        <v>15.851330263432073</v>
      </c>
      <c r="AW103" s="1">
        <v>15.898328699440347</v>
      </c>
      <c r="AX103" s="1">
        <v>15.893654739994181</v>
      </c>
      <c r="AY103" s="1">
        <v>16.354956013219919</v>
      </c>
      <c r="AZ103" s="1">
        <v>16.722243230982908</v>
      </c>
      <c r="BA103" s="1">
        <v>17.113555259680741</v>
      </c>
      <c r="BB103" s="1">
        <v>17.184210583425163</v>
      </c>
      <c r="BC103" s="1">
        <v>16.89093679477924</v>
      </c>
      <c r="BD103" s="1">
        <v>17.000226242896829</v>
      </c>
      <c r="BE103" s="1">
        <v>16.929709832730097</v>
      </c>
      <c r="BF103" s="1">
        <v>16.964946613664662</v>
      </c>
      <c r="BG103" s="1">
        <v>16.86877116433801</v>
      </c>
      <c r="BH103" s="1">
        <v>16.998700001485972</v>
      </c>
      <c r="BI103" s="1">
        <v>16.931966969968176</v>
      </c>
      <c r="BJ103" s="1">
        <v>17.120065627478205</v>
      </c>
      <c r="BK103" s="1">
        <v>17.129300618881942</v>
      </c>
      <c r="BL103" s="1">
        <v>17.45886671091165</v>
      </c>
      <c r="BM103" s="1">
        <v>17.903207867596919</v>
      </c>
      <c r="BN103" s="1">
        <v>18.056717457191546</v>
      </c>
      <c r="BO103" s="1">
        <v>18.636577782058374</v>
      </c>
      <c r="BP103" s="1">
        <v>18.631301332179493</v>
      </c>
      <c r="BQ103" s="1">
        <v>17.718523047014294</v>
      </c>
      <c r="BR103" s="1">
        <v>17.814084989801412</v>
      </c>
      <c r="BS103" s="1">
        <v>18.656578034675832</v>
      </c>
      <c r="BT103" s="1">
        <v>18.851511193002828</v>
      </c>
      <c r="BU103" s="1">
        <v>19.523429550326686</v>
      </c>
      <c r="BV103" s="1">
        <v>19.684771572563328</v>
      </c>
      <c r="BW103" s="1">
        <v>19.269034068075499</v>
      </c>
      <c r="BX103" s="1">
        <v>18.572233905224575</v>
      </c>
      <c r="BY103" s="1">
        <v>20.057296367425977</v>
      </c>
      <c r="BZ103" s="1">
        <v>19.988755662435601</v>
      </c>
      <c r="CA103" s="1">
        <v>20.895364818002498</v>
      </c>
      <c r="CB103" s="1">
        <v>20.995700676728301</v>
      </c>
      <c r="CC103" s="1">
        <v>21.430630517112501</v>
      </c>
      <c r="CD103" s="1">
        <v>21.415410819489601</v>
      </c>
      <c r="CE103" s="1">
        <v>21.7594126581956</v>
      </c>
      <c r="CF103" s="1">
        <v>22.2145751593164</v>
      </c>
      <c r="CG103" s="1">
        <v>23.066284348427502</v>
      </c>
      <c r="CH103" s="1">
        <v>23.205103731643302</v>
      </c>
      <c r="CI103" s="1">
        <v>24.154852333527099</v>
      </c>
      <c r="CJ103" s="1">
        <v>24.3372614890026</v>
      </c>
      <c r="CK103" s="1">
        <v>24.3055425212263</v>
      </c>
      <c r="CL103" s="1">
        <v>25.019942051322801</v>
      </c>
      <c r="CM103" s="1">
        <v>25.263799618089301</v>
      </c>
      <c r="CN103" s="1">
        <v>25.4676003850394</v>
      </c>
    </row>
    <row r="104" spans="1:92" x14ac:dyDescent="0.35">
      <c r="A104" t="s">
        <v>38</v>
      </c>
      <c r="B104" s="1">
        <v>10.999874551971327</v>
      </c>
      <c r="C104" s="1">
        <v>11.456199651264166</v>
      </c>
      <c r="D104" s="1">
        <v>11.454680656934306</v>
      </c>
      <c r="E104" s="1">
        <v>11.459423827278242</v>
      </c>
      <c r="F104" s="1">
        <v>11.461347692573854</v>
      </c>
      <c r="G104" s="1">
        <v>12.338417461893863</v>
      </c>
      <c r="H104" s="1">
        <v>12.337906776003452</v>
      </c>
      <c r="I104" s="1">
        <v>12.344714593198452</v>
      </c>
      <c r="J104" s="1">
        <v>12.346157120743031</v>
      </c>
      <c r="K104" s="1">
        <v>13.288571428571428</v>
      </c>
      <c r="L104" s="1">
        <v>13.330549128030627</v>
      </c>
      <c r="M104" s="1">
        <v>13.330195504664969</v>
      </c>
      <c r="N104" s="1">
        <v>13.342402608401086</v>
      </c>
      <c r="O104" s="1">
        <v>13.481905164398613</v>
      </c>
      <c r="P104" s="1">
        <v>13.880636528639565</v>
      </c>
      <c r="Q104" s="1">
        <v>13.911210720887242</v>
      </c>
      <c r="R104" s="1">
        <v>13.921379888502328</v>
      </c>
      <c r="S104" s="1">
        <v>14.551862314291689</v>
      </c>
      <c r="T104" s="1">
        <v>14.551852347309897</v>
      </c>
      <c r="U104" s="1">
        <v>14.587210594477167</v>
      </c>
      <c r="V104" s="1">
        <v>14.595665802892253</v>
      </c>
      <c r="W104" s="1">
        <v>15.041619774081941</v>
      </c>
      <c r="X104" s="1">
        <v>15.040589436825208</v>
      </c>
      <c r="Y104" s="1">
        <v>15.078038758074594</v>
      </c>
      <c r="Z104" s="1">
        <v>15.074287496880466</v>
      </c>
      <c r="AA104" s="1">
        <v>15.882532961776818</v>
      </c>
      <c r="AB104" s="1">
        <v>15.909106838848988</v>
      </c>
      <c r="AC104" s="1">
        <v>16.327796089501437</v>
      </c>
      <c r="AD104" s="1">
        <v>16.332115456392817</v>
      </c>
      <c r="AE104" s="1">
        <v>16.684117589877086</v>
      </c>
      <c r="AF104" s="1">
        <v>16.640661242019259</v>
      </c>
      <c r="AG104" s="1">
        <v>16.617150577791296</v>
      </c>
      <c r="AH104" s="1">
        <v>16.605789391093932</v>
      </c>
      <c r="AI104" s="1">
        <v>16.907974376806202</v>
      </c>
      <c r="AJ104" s="1">
        <v>16.812208867584744</v>
      </c>
      <c r="AK104" s="1">
        <v>16.695386063970709</v>
      </c>
      <c r="AL104" s="1">
        <v>16.635781833955221</v>
      </c>
      <c r="AM104" s="1">
        <v>16.499919803645504</v>
      </c>
      <c r="AN104" s="1">
        <v>16.555275060553612</v>
      </c>
      <c r="AO104" s="1">
        <v>16.508987369979288</v>
      </c>
      <c r="AP104" s="1">
        <v>16.479410998043171</v>
      </c>
      <c r="AQ104" s="1">
        <v>16.303530157118988</v>
      </c>
      <c r="AR104" s="1">
        <v>16.284110081316758</v>
      </c>
      <c r="AS104" s="1">
        <v>16.257967397669251</v>
      </c>
      <c r="AT104" s="1">
        <v>16.246636245394672</v>
      </c>
      <c r="AU104" s="1">
        <v>16.455676049189631</v>
      </c>
      <c r="AV104" s="1">
        <v>16.452781469328581</v>
      </c>
      <c r="AW104" s="1">
        <v>16.567582650386218</v>
      </c>
      <c r="AX104" s="1">
        <v>16.564644171986444</v>
      </c>
      <c r="AY104" s="1">
        <v>16.786228050427702</v>
      </c>
      <c r="AZ104" s="1">
        <v>16.866496264224267</v>
      </c>
      <c r="BA104" s="1">
        <v>17.357980894491028</v>
      </c>
      <c r="BB104" s="1">
        <v>17.495719622449876</v>
      </c>
      <c r="BC104" s="1">
        <v>17.12794808326111</v>
      </c>
      <c r="BD104" s="1">
        <v>17.106821502141432</v>
      </c>
      <c r="BE104" s="1">
        <v>17.139683297555013</v>
      </c>
      <c r="BF104" s="1">
        <v>16.260806222026975</v>
      </c>
      <c r="BG104" s="1">
        <v>16.722989008858121</v>
      </c>
      <c r="BH104" s="1">
        <v>16.741430354514637</v>
      </c>
      <c r="BI104" s="1">
        <v>16.822532025663719</v>
      </c>
      <c r="BJ104" s="1">
        <v>17.418507649011573</v>
      </c>
      <c r="BK104" s="1">
        <v>16.628342439626756</v>
      </c>
      <c r="BL104" s="1">
        <v>16.643228431856798</v>
      </c>
      <c r="BM104" s="1">
        <v>17.227303482182982</v>
      </c>
      <c r="BN104" s="1">
        <v>17.885076125353017</v>
      </c>
      <c r="BO104" s="1">
        <v>18.394252408491887</v>
      </c>
      <c r="BP104" s="1">
        <v>18.396660326516979</v>
      </c>
      <c r="BQ104" s="1">
        <v>18.400042490663751</v>
      </c>
      <c r="BR104" s="1">
        <v>19.087138538980653</v>
      </c>
      <c r="BS104" s="1">
        <v>18.831861165081921</v>
      </c>
      <c r="BT104" s="1">
        <v>19.115386312067738</v>
      </c>
      <c r="BU104" s="1">
        <v>19.632598102089339</v>
      </c>
      <c r="BV104" s="1">
        <v>19.97426499391927</v>
      </c>
      <c r="BW104" s="1">
        <v>20.711201064221136</v>
      </c>
      <c r="BX104" s="1">
        <v>19.685199479240801</v>
      </c>
      <c r="BY104" s="1">
        <v>20.794185768767946</v>
      </c>
      <c r="BZ104" s="1">
        <v>21.099973356943622</v>
      </c>
      <c r="CA104" s="1">
        <v>21.022836493662101</v>
      </c>
      <c r="CB104" s="1">
        <v>21.686339101330098</v>
      </c>
      <c r="CC104" s="1">
        <v>21.6071563769205</v>
      </c>
      <c r="CD104" s="1">
        <v>22.564649466890899</v>
      </c>
      <c r="CE104" s="1">
        <v>23.4245055047036</v>
      </c>
      <c r="CF104" s="1">
        <v>22.851869015000801</v>
      </c>
      <c r="CG104" s="1">
        <v>22.979263125737202</v>
      </c>
      <c r="CH104" s="1">
        <v>23.143517396041801</v>
      </c>
      <c r="CI104" s="1">
        <v>24.9776900385434</v>
      </c>
      <c r="CJ104" s="1">
        <v>25.198135416775301</v>
      </c>
      <c r="CK104" s="1">
        <v>24.579763315062401</v>
      </c>
      <c r="CL104" s="1">
        <v>26.141227966105799</v>
      </c>
      <c r="CM104" s="1">
        <v>26.045289316222899</v>
      </c>
      <c r="CN104" s="1">
        <v>26.8494762382748</v>
      </c>
    </row>
    <row r="105" spans="1:92" x14ac:dyDescent="0.35">
      <c r="A105" t="s">
        <v>39</v>
      </c>
      <c r="B105" s="1">
        <v>8.6166135515360338</v>
      </c>
      <c r="C105" s="1">
        <v>8.6186537228357665</v>
      </c>
      <c r="D105" s="1">
        <v>8.6199617942549907</v>
      </c>
      <c r="E105" s="1">
        <v>10.792859851810235</v>
      </c>
      <c r="F105" s="1">
        <v>10.789483353669166</v>
      </c>
      <c r="G105" s="1">
        <v>10.774171024300216</v>
      </c>
      <c r="H105" s="1">
        <v>10.917764601950324</v>
      </c>
      <c r="I105" s="1">
        <v>11.35954722928626</v>
      </c>
      <c r="J105" s="1">
        <v>11.360614395749501</v>
      </c>
      <c r="K105" s="1">
        <v>11.382089637541632</v>
      </c>
      <c r="L105" s="1">
        <v>11.382139906356901</v>
      </c>
      <c r="M105" s="1">
        <v>13.210424700063648</v>
      </c>
      <c r="N105" s="1">
        <v>13.233812568636953</v>
      </c>
      <c r="O105" s="1">
        <v>12.763275589758056</v>
      </c>
      <c r="P105" s="1">
        <v>15.347672099140755</v>
      </c>
      <c r="Q105" s="1">
        <v>13.35689260321465</v>
      </c>
      <c r="R105" s="1">
        <v>13.356470177572486</v>
      </c>
      <c r="S105" s="1">
        <v>12.906430008704163</v>
      </c>
      <c r="T105" s="1">
        <v>14.610429119441815</v>
      </c>
      <c r="U105" s="1">
        <v>14.795607814431161</v>
      </c>
      <c r="V105" s="1">
        <v>14.659952191575297</v>
      </c>
      <c r="W105" s="1">
        <v>14.739300068350413</v>
      </c>
      <c r="X105" s="1">
        <v>14.737746648523142</v>
      </c>
      <c r="Y105" s="1">
        <v>14.771982677495455</v>
      </c>
      <c r="Z105" s="1">
        <v>15.347465924302419</v>
      </c>
      <c r="AA105" s="1">
        <v>15.317594777590092</v>
      </c>
      <c r="AB105" s="1">
        <v>15.920898127672221</v>
      </c>
      <c r="AC105" s="1">
        <v>16.473972539522233</v>
      </c>
      <c r="AD105" s="1">
        <v>17.508121812314265</v>
      </c>
      <c r="AE105" s="1">
        <v>17.108715408160439</v>
      </c>
      <c r="AF105" s="1">
        <v>14.832457943465311</v>
      </c>
      <c r="AG105" s="1">
        <v>14.824420769325926</v>
      </c>
      <c r="AH105" s="1">
        <v>14.889361151184126</v>
      </c>
      <c r="AI105" s="1">
        <v>15.059088009311628</v>
      </c>
      <c r="AJ105" s="1">
        <v>15.396670575748415</v>
      </c>
      <c r="AK105" s="1">
        <v>15.372198395008789</v>
      </c>
      <c r="AL105" s="1">
        <v>15.355237313679401</v>
      </c>
      <c r="AM105" s="1">
        <v>15.983196771729892</v>
      </c>
      <c r="AN105" s="1">
        <v>16.083154207565642</v>
      </c>
      <c r="AO105" s="1">
        <v>16.311165187499824</v>
      </c>
      <c r="AP105" s="1">
        <v>16.551818361591181</v>
      </c>
      <c r="AQ105" s="1">
        <v>16.246547835987791</v>
      </c>
      <c r="AR105" s="1">
        <v>16.480856522531504</v>
      </c>
      <c r="AS105" s="1">
        <v>16.476963476245494</v>
      </c>
      <c r="AT105" s="1">
        <v>16.477395189022559</v>
      </c>
      <c r="AU105" s="1">
        <v>16.457254711114849</v>
      </c>
      <c r="AV105" s="1">
        <v>16.490539898543403</v>
      </c>
      <c r="AW105" s="1">
        <v>16.699517832168787</v>
      </c>
      <c r="AX105" s="1">
        <v>16.703379676627549</v>
      </c>
      <c r="AY105" s="1">
        <v>16.712513971369169</v>
      </c>
      <c r="AZ105" s="1">
        <v>17.625876590644133</v>
      </c>
      <c r="BA105" s="1">
        <v>17.834219196508258</v>
      </c>
      <c r="BB105" s="1">
        <v>17.825692578617826</v>
      </c>
      <c r="BC105" s="1">
        <v>17.157791240457914</v>
      </c>
      <c r="BD105" s="1">
        <v>17.27443031306656</v>
      </c>
      <c r="BE105" s="1">
        <v>18.972139757183314</v>
      </c>
      <c r="BF105" s="1">
        <v>19.084984450971199</v>
      </c>
      <c r="BG105" s="1">
        <v>17.426587998037625</v>
      </c>
      <c r="BH105" s="1">
        <v>17.489357039863293</v>
      </c>
      <c r="BI105" s="1">
        <v>17.473749313375158</v>
      </c>
      <c r="BJ105" s="1">
        <v>17.807040654215058</v>
      </c>
      <c r="BK105" s="1">
        <v>17.784205612157013</v>
      </c>
      <c r="BL105" s="1">
        <v>18.054119685219526</v>
      </c>
      <c r="BM105" s="1">
        <v>18.635976793002296</v>
      </c>
      <c r="BN105" s="1">
        <v>18.745173555643557</v>
      </c>
      <c r="BO105" s="1">
        <v>18.676949326747426</v>
      </c>
      <c r="BP105" s="1">
        <v>18.668422861442686</v>
      </c>
      <c r="BQ105" s="1">
        <v>18.678629758081058</v>
      </c>
      <c r="BR105" s="1">
        <v>18.071785840647209</v>
      </c>
      <c r="BS105" s="1">
        <v>17.953298326456093</v>
      </c>
      <c r="BT105" s="1">
        <v>18.308717762807447</v>
      </c>
      <c r="BU105" s="1">
        <v>19.235960421647857</v>
      </c>
      <c r="BV105" s="1">
        <v>19.351914857944582</v>
      </c>
      <c r="BW105" s="1">
        <v>18.828320316262712</v>
      </c>
      <c r="BX105" s="1">
        <v>19.64572151987138</v>
      </c>
      <c r="BY105" s="1">
        <v>19.859369033235879</v>
      </c>
      <c r="BZ105" s="1">
        <v>20.142262666125156</v>
      </c>
      <c r="CA105" s="1">
        <v>19.743550080633</v>
      </c>
      <c r="CB105" s="1">
        <v>19.9060345438808</v>
      </c>
      <c r="CC105" s="1">
        <v>20.280839218381701</v>
      </c>
      <c r="CD105" s="1">
        <v>20.510014637287501</v>
      </c>
      <c r="CE105" s="1">
        <v>19.936738048960802</v>
      </c>
      <c r="CF105" s="1">
        <v>21.836789551902498</v>
      </c>
      <c r="CG105" s="1">
        <v>22.416222143744498</v>
      </c>
      <c r="CH105" s="1">
        <v>22.607553270199698</v>
      </c>
      <c r="CI105" s="1">
        <v>23.791066939096201</v>
      </c>
      <c r="CJ105" s="1">
        <v>23.931022019581398</v>
      </c>
      <c r="CK105" s="1">
        <v>23.838845033336799</v>
      </c>
      <c r="CL105" s="1">
        <v>24.804944721096401</v>
      </c>
      <c r="CM105" s="1">
        <v>25.097497242909899</v>
      </c>
      <c r="CN105" s="1">
        <v>25.1826606168142</v>
      </c>
    </row>
    <row r="106" spans="1:92" x14ac:dyDescent="0.35">
      <c r="A106" t="s">
        <v>42</v>
      </c>
      <c r="B106" s="1">
        <v>8.8540884295147855</v>
      </c>
      <c r="C106" s="1">
        <v>8.8556772354827196</v>
      </c>
      <c r="D106" s="1">
        <v>8.8566959105702558</v>
      </c>
      <c r="E106" s="1">
        <v>10.793392562418795</v>
      </c>
      <c r="F106" s="1">
        <v>10.789987449886702</v>
      </c>
      <c r="G106" s="1">
        <v>10.796019686250386</v>
      </c>
      <c r="H106" s="1">
        <v>10.940908565797969</v>
      </c>
      <c r="I106" s="1">
        <v>11.416143590927318</v>
      </c>
      <c r="J106" s="1">
        <v>11.416891558727366</v>
      </c>
      <c r="K106" s="1">
        <v>11.438494258690676</v>
      </c>
      <c r="L106" s="1">
        <v>11.439065722503821</v>
      </c>
      <c r="M106" s="1">
        <v>13.131472301399358</v>
      </c>
      <c r="N106" s="1">
        <v>13.15018756863695</v>
      </c>
      <c r="O106" s="1">
        <v>12.673888416180178</v>
      </c>
      <c r="P106" s="1">
        <v>15.257803085539654</v>
      </c>
      <c r="Q106" s="1">
        <v>13.404517603214648</v>
      </c>
      <c r="R106" s="1">
        <v>13.404095177572485</v>
      </c>
      <c r="S106" s="1">
        <v>12.954055008704167</v>
      </c>
      <c r="T106" s="1">
        <v>14.658054119441807</v>
      </c>
      <c r="U106" s="1">
        <v>14.843232814431158</v>
      </c>
      <c r="V106" s="1">
        <v>14.707577191575293</v>
      </c>
      <c r="W106" s="1">
        <v>14.786925068350417</v>
      </c>
      <c r="X106" s="1">
        <v>14.785371648523146</v>
      </c>
      <c r="Y106" s="1">
        <v>14.819607677495455</v>
      </c>
      <c r="Z106" s="1">
        <v>15.395090924302416</v>
      </c>
      <c r="AA106" s="1">
        <v>15.373603561373869</v>
      </c>
      <c r="AB106" s="1">
        <v>15.977597157451562</v>
      </c>
      <c r="AC106" s="1">
        <v>16.48388711028511</v>
      </c>
      <c r="AD106" s="1">
        <v>17.517985705330609</v>
      </c>
      <c r="AE106" s="1">
        <v>17.122240779172614</v>
      </c>
      <c r="AF106" s="1">
        <v>14.849249938488125</v>
      </c>
      <c r="AG106" s="1">
        <v>14.841014968375823</v>
      </c>
      <c r="AH106" s="1">
        <v>14.905645251122319</v>
      </c>
      <c r="AI106" s="1">
        <v>15.075171352413253</v>
      </c>
      <c r="AJ106" s="1">
        <v>15.396775338763621</v>
      </c>
      <c r="AK106" s="1">
        <v>15.372292600004887</v>
      </c>
      <c r="AL106" s="1">
        <v>15.355443452645613</v>
      </c>
      <c r="AM106" s="1">
        <v>15.983416890882705</v>
      </c>
      <c r="AN106" s="1">
        <v>16.098785006443414</v>
      </c>
      <c r="AO106" s="1">
        <v>16.326511498917334</v>
      </c>
      <c r="AP106" s="1">
        <v>16.341147946974171</v>
      </c>
      <c r="AQ106" s="1">
        <v>16.299502619545393</v>
      </c>
      <c r="AR106" s="1">
        <v>16.535468340574948</v>
      </c>
      <c r="AS106" s="1">
        <v>16.532757128895813</v>
      </c>
      <c r="AT106" s="1">
        <v>16.535021909424898</v>
      </c>
      <c r="AU106" s="1">
        <v>16.489847670797943</v>
      </c>
      <c r="AV106" s="1">
        <v>16.519059102191722</v>
      </c>
      <c r="AW106" s="1">
        <v>16.713195621344635</v>
      </c>
      <c r="AX106" s="1">
        <v>16.71408842092648</v>
      </c>
      <c r="AY106" s="1">
        <v>16.723752935932332</v>
      </c>
      <c r="AZ106" s="1">
        <v>17.631673063226053</v>
      </c>
      <c r="BA106" s="1">
        <v>17.835263692892216</v>
      </c>
      <c r="BB106" s="1">
        <v>17.82799528000054</v>
      </c>
      <c r="BC106" s="1">
        <v>17.162602296085964</v>
      </c>
      <c r="BD106" s="1">
        <v>17.29277012018548</v>
      </c>
      <c r="BE106" s="1">
        <v>17.833659702844212</v>
      </c>
      <c r="BF106" s="1">
        <v>17.984447573248698</v>
      </c>
      <c r="BG106" s="1">
        <v>17.473138787247013</v>
      </c>
      <c r="BH106" s="1">
        <v>17.543094412891143</v>
      </c>
      <c r="BI106" s="1">
        <v>17.535673076760855</v>
      </c>
      <c r="BJ106" s="1">
        <v>17.814242181168012</v>
      </c>
      <c r="BK106" s="1">
        <v>17.764623596003513</v>
      </c>
      <c r="BL106" s="1">
        <v>18.039338351789748</v>
      </c>
      <c r="BM106" s="1">
        <v>18.657011963536487</v>
      </c>
      <c r="BN106" s="1">
        <v>18.729089284343111</v>
      </c>
      <c r="BO106" s="1">
        <v>18.338294092372422</v>
      </c>
      <c r="BP106" s="1">
        <v>18.329767627067689</v>
      </c>
      <c r="BQ106" s="1">
        <v>18.340451919665313</v>
      </c>
      <c r="BR106" s="1">
        <v>17.733600825984986</v>
      </c>
      <c r="BS106" s="1">
        <v>17.414441791803434</v>
      </c>
      <c r="BT106" s="1">
        <v>17.774839127694413</v>
      </c>
      <c r="BU106" s="1">
        <v>18.704752612478089</v>
      </c>
      <c r="BV106" s="1">
        <v>18.807216953072224</v>
      </c>
      <c r="BW106" s="1">
        <v>18.203163474480355</v>
      </c>
      <c r="BX106" s="1">
        <v>19.264537488621393</v>
      </c>
      <c r="BY106" s="1">
        <v>19.478185001985871</v>
      </c>
      <c r="BZ106" s="1">
        <v>19.761078634875147</v>
      </c>
      <c r="CA106" s="1">
        <v>19.363550080632901</v>
      </c>
      <c r="CB106" s="1">
        <v>19.526034543880801</v>
      </c>
      <c r="CC106" s="1">
        <v>19.900839218381702</v>
      </c>
      <c r="CD106" s="1">
        <v>20.130014637287498</v>
      </c>
      <c r="CE106" s="1">
        <v>19.556738048960799</v>
      </c>
      <c r="CF106" s="1">
        <v>21.456789551902499</v>
      </c>
      <c r="CG106" s="1">
        <v>22.036222143744499</v>
      </c>
      <c r="CH106" s="1">
        <v>22.227553270199699</v>
      </c>
      <c r="CI106" s="1">
        <v>23.411066939096202</v>
      </c>
      <c r="CJ106" s="1">
        <v>23.551022019581399</v>
      </c>
      <c r="CK106" s="1">
        <v>23.4588450333368</v>
      </c>
      <c r="CL106" s="1">
        <v>24.424944721096399</v>
      </c>
      <c r="CM106" s="1">
        <v>24.7174972429099</v>
      </c>
      <c r="CN106" s="1">
        <v>24.802660616814201</v>
      </c>
    </row>
    <row r="107" spans="1:92" x14ac:dyDescent="0.35">
      <c r="A107" t="s">
        <v>43</v>
      </c>
      <c r="B107" s="1">
        <v>9.1712470156106516</v>
      </c>
      <c r="C107" s="1">
        <v>9.1708804283164778</v>
      </c>
      <c r="D107" s="1">
        <v>10.906433477370934</v>
      </c>
      <c r="E107" s="1">
        <v>11.42625135722041</v>
      </c>
      <c r="F107" s="1">
        <v>11.424571660210793</v>
      </c>
      <c r="G107" s="1">
        <v>12.432478229643596</v>
      </c>
      <c r="H107" s="1">
        <v>12.546886632068716</v>
      </c>
      <c r="I107" s="1">
        <v>12.747146416336701</v>
      </c>
      <c r="J107" s="1">
        <v>12.744985649313374</v>
      </c>
      <c r="K107" s="1">
        <v>12.740949336390489</v>
      </c>
      <c r="L107" s="1">
        <v>14.647378670652365</v>
      </c>
      <c r="M107" s="1">
        <v>14.726522024695679</v>
      </c>
      <c r="N107" s="1">
        <v>14.714602151474239</v>
      </c>
      <c r="O107" s="1">
        <v>13.802726169318131</v>
      </c>
      <c r="P107" s="1">
        <v>15.335945302695922</v>
      </c>
      <c r="Q107" s="1">
        <v>15.545325257576408</v>
      </c>
      <c r="R107" s="1">
        <v>15.533320762802656</v>
      </c>
      <c r="S107" s="1">
        <v>15.868857801888</v>
      </c>
      <c r="T107" s="1">
        <v>16.307410368732192</v>
      </c>
      <c r="U107" s="1">
        <v>16.567481618419393</v>
      </c>
      <c r="V107" s="1">
        <v>16.550226212000169</v>
      </c>
      <c r="W107" s="1">
        <v>17.927721599323036</v>
      </c>
      <c r="X107" s="1">
        <v>17.8838044121376</v>
      </c>
      <c r="Y107" s="1">
        <v>17.847835112442517</v>
      </c>
      <c r="Z107" s="1">
        <v>17.86312513144059</v>
      </c>
      <c r="AA107" s="1">
        <v>18.131931549471069</v>
      </c>
      <c r="AB107" s="1">
        <v>18.134836313271222</v>
      </c>
      <c r="AC107" s="1">
        <v>18.454697820620282</v>
      </c>
      <c r="AD107" s="1">
        <v>18.531707785431017</v>
      </c>
      <c r="AE107" s="1">
        <v>18.165531054551394</v>
      </c>
      <c r="AF107" s="1">
        <v>18.663974515563062</v>
      </c>
      <c r="AG107" s="1">
        <v>18.575813994210343</v>
      </c>
      <c r="AH107" s="1">
        <v>18.528293247619501</v>
      </c>
      <c r="AI107" s="1">
        <v>18.182494139386492</v>
      </c>
      <c r="AJ107" s="1">
        <v>18.843072520951488</v>
      </c>
      <c r="AK107" s="1">
        <v>18.771915058572851</v>
      </c>
      <c r="AL107" s="1">
        <v>19.064371621680159</v>
      </c>
      <c r="AM107" s="1">
        <v>18.261857262688338</v>
      </c>
      <c r="AN107" s="1">
        <v>18.234818453561594</v>
      </c>
      <c r="AO107" s="1">
        <v>18.553474265198069</v>
      </c>
      <c r="AP107" s="1">
        <v>19.096019659796291</v>
      </c>
      <c r="AQ107" s="1">
        <v>18.592517110244646</v>
      </c>
      <c r="AR107" s="1">
        <v>18.567459185218457</v>
      </c>
      <c r="AS107" s="1">
        <v>18.818186255781949</v>
      </c>
      <c r="AT107" s="1">
        <v>18.797035135302185</v>
      </c>
      <c r="AU107" s="1">
        <v>18.798859672510041</v>
      </c>
      <c r="AV107" s="1">
        <v>18.781664793676072</v>
      </c>
      <c r="AW107" s="1">
        <v>18.937931051008157</v>
      </c>
      <c r="AX107" s="1">
        <v>18.898145620927863</v>
      </c>
      <c r="AY107" s="1">
        <v>18.901076377121377</v>
      </c>
      <c r="AZ107" s="1">
        <v>19.388137918329384</v>
      </c>
      <c r="BA107" s="1">
        <v>19.614523926987747</v>
      </c>
      <c r="BB107" s="1">
        <v>19.577230316003078</v>
      </c>
      <c r="BC107" s="1">
        <v>19.645405425680931</v>
      </c>
      <c r="BD107" s="1">
        <v>19.609150426841023</v>
      </c>
      <c r="BE107" s="1">
        <v>19.871091898226755</v>
      </c>
      <c r="BF107" s="1">
        <v>19.984180990580771</v>
      </c>
      <c r="BG107" s="1">
        <v>19.820740422992259</v>
      </c>
      <c r="BH107" s="1">
        <v>20.075886111997328</v>
      </c>
      <c r="BI107" s="1">
        <v>20.000186108435223</v>
      </c>
      <c r="BJ107" s="1">
        <v>20.22861266907794</v>
      </c>
      <c r="BK107" s="1">
        <v>20.099133858061105</v>
      </c>
      <c r="BL107" s="1">
        <v>20.466663810712294</v>
      </c>
      <c r="BM107" s="1">
        <v>20.738841389190252</v>
      </c>
      <c r="BN107" s="1">
        <v>20.884070714773078</v>
      </c>
      <c r="BO107" s="1">
        <v>21.698966541769881</v>
      </c>
      <c r="BP107" s="1">
        <v>21.667292909721294</v>
      </c>
      <c r="BQ107" s="1">
        <v>21.607415640819742</v>
      </c>
      <c r="BR107" s="1">
        <v>21.634276740145477</v>
      </c>
      <c r="BS107" s="1">
        <v>22.154543865337534</v>
      </c>
      <c r="BT107" s="1">
        <v>22.463019674174848</v>
      </c>
      <c r="BU107" s="1">
        <v>22.513238617242916</v>
      </c>
      <c r="BV107" s="1">
        <v>22.81142956650837</v>
      </c>
      <c r="BW107" s="1">
        <v>22.948036683562172</v>
      </c>
      <c r="BX107" s="1">
        <v>22.878353942899359</v>
      </c>
      <c r="BY107" s="1">
        <v>22.826089873591933</v>
      </c>
      <c r="BZ107" s="1">
        <v>22.813294427002724</v>
      </c>
      <c r="CA107" s="1">
        <v>22.955140207407801</v>
      </c>
      <c r="CB107" s="1">
        <v>23.372419964107799</v>
      </c>
      <c r="CC107" s="1">
        <v>23.351281615308899</v>
      </c>
      <c r="CD107" s="1">
        <v>23.4121925977107</v>
      </c>
      <c r="CE107" s="1">
        <v>24.4275338600761</v>
      </c>
      <c r="CF107" s="1">
        <v>24.745719478944299</v>
      </c>
      <c r="CG107" s="1">
        <v>25.0943203265543</v>
      </c>
      <c r="CH107" s="1">
        <v>25.330838656019701</v>
      </c>
      <c r="CI107" s="1">
        <v>26.3963607135457</v>
      </c>
      <c r="CJ107" s="1">
        <v>26.5676762201991</v>
      </c>
      <c r="CK107" s="1">
        <v>26.566485546481001</v>
      </c>
      <c r="CL107" s="1">
        <v>27.608523955829799</v>
      </c>
      <c r="CM107" s="1">
        <v>27.967712403895899</v>
      </c>
      <c r="CN107" s="1">
        <v>28.0920927428003</v>
      </c>
    </row>
    <row r="108" spans="1:92" x14ac:dyDescent="0.35">
      <c r="A108" t="s">
        <v>46</v>
      </c>
      <c r="B108" s="1">
        <v>10.170149637596445</v>
      </c>
      <c r="C108" s="1">
        <v>10.314868559411146</v>
      </c>
      <c r="D108" s="1">
        <v>11.595150879645807</v>
      </c>
      <c r="E108" s="1">
        <v>11.750944881889762</v>
      </c>
      <c r="F108" s="1">
        <v>11.741066435586365</v>
      </c>
      <c r="G108" s="1">
        <v>11.725162930436795</v>
      </c>
      <c r="H108" s="1">
        <v>12.557647601476017</v>
      </c>
      <c r="I108" s="1">
        <v>12.681700138504159</v>
      </c>
      <c r="J108" s="1">
        <v>12.669862618332949</v>
      </c>
      <c r="K108" s="1">
        <v>12.681985954409393</v>
      </c>
      <c r="L108" s="1">
        <v>13.821500518612419</v>
      </c>
      <c r="M108" s="1">
        <v>13.872258918296891</v>
      </c>
      <c r="N108" s="1">
        <v>13.834832816270252</v>
      </c>
      <c r="O108" s="1">
        <v>14.275786691184919</v>
      </c>
      <c r="P108" s="1">
        <v>14.819631796283549</v>
      </c>
      <c r="Q108" s="1">
        <v>14.881062585969737</v>
      </c>
      <c r="R108" s="1">
        <v>14.869669071338599</v>
      </c>
      <c r="S108" s="1">
        <v>14.666110541310541</v>
      </c>
      <c r="T108" s="1">
        <v>16.087768473463843</v>
      </c>
      <c r="U108" s="1">
        <v>17.175238471971067</v>
      </c>
      <c r="V108" s="1">
        <v>17.103291582035659</v>
      </c>
      <c r="W108" s="1">
        <v>18.396793263253073</v>
      </c>
      <c r="X108" s="1">
        <v>18.377359791949345</v>
      </c>
      <c r="Y108" s="1">
        <v>18.391293481931783</v>
      </c>
      <c r="Z108" s="1">
        <v>18.296294336223397</v>
      </c>
      <c r="AA108" s="1">
        <v>18.317317128066623</v>
      </c>
      <c r="AB108" s="1">
        <v>19.046841339155751</v>
      </c>
      <c r="AC108" s="1">
        <v>19.237696604110813</v>
      </c>
      <c r="AD108" s="1">
        <v>19.107298414116592</v>
      </c>
      <c r="AE108" s="1">
        <v>20.135414924157384</v>
      </c>
      <c r="AF108" s="1">
        <v>19.370962217595846</v>
      </c>
      <c r="AG108" s="1">
        <v>19.355476542817403</v>
      </c>
      <c r="AH108" s="1">
        <v>19.328971236334038</v>
      </c>
      <c r="AI108" s="1">
        <v>18.853977038843766</v>
      </c>
      <c r="AJ108" s="1">
        <v>19.565519849869723</v>
      </c>
      <c r="AK108" s="1">
        <v>19.608301776552423</v>
      </c>
      <c r="AL108" s="1">
        <v>19.679514992971619</v>
      </c>
      <c r="AM108" s="1">
        <v>20.319846549859079</v>
      </c>
      <c r="AN108" s="1">
        <v>20.504487599724978</v>
      </c>
      <c r="AO108" s="1">
        <v>20.617682443485887</v>
      </c>
      <c r="AP108" s="1">
        <v>20.603791308092802</v>
      </c>
      <c r="AQ108" s="1">
        <v>19.923353178238202</v>
      </c>
      <c r="AR108" s="1">
        <v>19.99490789455578</v>
      </c>
      <c r="AS108" s="1">
        <v>19.955764659495536</v>
      </c>
      <c r="AT108" s="1">
        <v>19.893312312184506</v>
      </c>
      <c r="AU108" s="1">
        <v>20.035674679622595</v>
      </c>
      <c r="AV108" s="1">
        <v>19.895778644388081</v>
      </c>
      <c r="AW108" s="1">
        <v>20.131471054702395</v>
      </c>
      <c r="AX108" s="1">
        <v>20.087699368624129</v>
      </c>
      <c r="AY108" s="1">
        <v>20.055523792199857</v>
      </c>
      <c r="AZ108" s="1">
        <v>19.984568957596039</v>
      </c>
      <c r="BA108" s="1">
        <v>20.078345573941988</v>
      </c>
      <c r="BB108" s="1">
        <v>20.106590078826308</v>
      </c>
      <c r="BC108" s="1">
        <v>20.398589402427028</v>
      </c>
      <c r="BD108" s="1">
        <v>20.333123263738401</v>
      </c>
      <c r="BE108" s="1">
        <v>20.319771140385356</v>
      </c>
      <c r="BF108" s="1">
        <v>20.375648252067514</v>
      </c>
      <c r="BG108" s="1">
        <v>20.185074852950414</v>
      </c>
      <c r="BH108" s="1">
        <v>20.08334167141188</v>
      </c>
      <c r="BI108" s="1">
        <v>20.128813306610745</v>
      </c>
      <c r="BJ108" s="1">
        <v>20.221084802182858</v>
      </c>
      <c r="BK108" s="1">
        <v>20.155754450677605</v>
      </c>
      <c r="BL108" s="1">
        <v>20.725443807813612</v>
      </c>
      <c r="BM108" s="1">
        <v>20.949227312236218</v>
      </c>
      <c r="BN108" s="1">
        <v>20.920291667573139</v>
      </c>
      <c r="BO108" s="1">
        <v>21.671035511205996</v>
      </c>
      <c r="BP108" s="1">
        <v>21.66783362779028</v>
      </c>
      <c r="BQ108" s="1">
        <v>21.596281692826704</v>
      </c>
      <c r="BR108" s="1">
        <v>21.648931286734395</v>
      </c>
      <c r="BS108" s="1">
        <v>21.890654291124996</v>
      </c>
      <c r="BT108" s="1">
        <v>22.301549123633038</v>
      </c>
      <c r="BU108" s="1">
        <v>22.580334456970398</v>
      </c>
      <c r="BV108" s="1">
        <v>22.775402571199169</v>
      </c>
      <c r="BW108" s="1">
        <v>23.352005763111634</v>
      </c>
      <c r="BX108" s="1">
        <v>23.285268744257348</v>
      </c>
      <c r="BY108" s="1">
        <v>23.192079801001093</v>
      </c>
      <c r="BZ108" s="1">
        <v>22.70401205934818</v>
      </c>
      <c r="CA108" s="1">
        <v>23.4225369684907</v>
      </c>
      <c r="CB108" s="1">
        <v>23.8549115488767</v>
      </c>
      <c r="CC108" s="1">
        <v>23.911060156836299</v>
      </c>
      <c r="CD108" s="1">
        <v>23.621144488896299</v>
      </c>
      <c r="CE108" s="1">
        <v>24.5964145569564</v>
      </c>
      <c r="CF108" s="1">
        <v>24.6810393468092</v>
      </c>
      <c r="CG108" s="1">
        <v>25.231871236337799</v>
      </c>
      <c r="CH108" s="1">
        <v>25.866507602420199</v>
      </c>
      <c r="CI108" s="1">
        <v>25.640210449420501</v>
      </c>
      <c r="CJ108" s="1">
        <v>25.9168129938883</v>
      </c>
      <c r="CK108" s="1">
        <v>25.885259513661801</v>
      </c>
      <c r="CL108" s="1">
        <v>26.5911992680719</v>
      </c>
      <c r="CM108" s="1">
        <v>27.318632118303601</v>
      </c>
      <c r="CN108" s="1">
        <v>26.971819058593699</v>
      </c>
    </row>
    <row r="109" spans="1:92" x14ac:dyDescent="0.35">
      <c r="A109" t="s">
        <v>47</v>
      </c>
      <c r="B109" s="1">
        <v>9.3382888675920483</v>
      </c>
      <c r="C109" s="1">
        <v>11.255082027877142</v>
      </c>
      <c r="D109" s="1">
        <v>11.255827871626819</v>
      </c>
      <c r="E109" s="1">
        <v>11.319868845409589</v>
      </c>
      <c r="F109" s="1">
        <v>11.319948320413436</v>
      </c>
      <c r="G109" s="1">
        <v>11.091413153658102</v>
      </c>
      <c r="H109" s="1">
        <v>11.234634654290137</v>
      </c>
      <c r="I109" s="1">
        <v>12.173415038484308</v>
      </c>
      <c r="J109" s="1">
        <v>12.173355631520007</v>
      </c>
      <c r="K109" s="1">
        <v>11.827620656228884</v>
      </c>
      <c r="L109" s="1">
        <v>13.364699296600232</v>
      </c>
      <c r="M109" s="1">
        <v>13.412120893561106</v>
      </c>
      <c r="N109" s="1">
        <v>13.40576346086754</v>
      </c>
      <c r="O109" s="1">
        <v>13.437259765851401</v>
      </c>
      <c r="P109" s="1">
        <v>14.298327168699071</v>
      </c>
      <c r="Q109" s="1">
        <v>14.335731791508458</v>
      </c>
      <c r="R109" s="1">
        <v>14.332392493912046</v>
      </c>
      <c r="S109" s="1">
        <v>13.867701273903501</v>
      </c>
      <c r="T109" s="1">
        <v>15.473904890997405</v>
      </c>
      <c r="U109" s="1">
        <v>15.630890133393367</v>
      </c>
      <c r="V109" s="1">
        <v>15.502159764144322</v>
      </c>
      <c r="W109" s="1">
        <v>15.520052924869091</v>
      </c>
      <c r="X109" s="1">
        <v>15.519127593621715</v>
      </c>
      <c r="Y109" s="1">
        <v>15.553384949590601</v>
      </c>
      <c r="Z109" s="1">
        <v>15.542080741892494</v>
      </c>
      <c r="AA109" s="1">
        <v>16.362597976894588</v>
      </c>
      <c r="AB109" s="1">
        <v>16.886549305498026</v>
      </c>
      <c r="AC109" s="1">
        <v>17.162277317630227</v>
      </c>
      <c r="AD109" s="1">
        <v>17.14759661835749</v>
      </c>
      <c r="AE109" s="1">
        <v>18.297251220883446</v>
      </c>
      <c r="AF109" s="1">
        <v>16.296159444663402</v>
      </c>
      <c r="AG109" s="1">
        <v>16.318695233625355</v>
      </c>
      <c r="AH109" s="1">
        <v>16.316293582618052</v>
      </c>
      <c r="AI109" s="1">
        <v>16.398580781124686</v>
      </c>
      <c r="AJ109" s="1">
        <v>16.678342206228677</v>
      </c>
      <c r="AK109" s="1">
        <v>16.78549959795378</v>
      </c>
      <c r="AL109" s="1">
        <v>16.868277898599487</v>
      </c>
      <c r="AM109" s="1">
        <v>17.584083627620714</v>
      </c>
      <c r="AN109" s="1">
        <v>17.600189844224701</v>
      </c>
      <c r="AO109" s="1">
        <v>17.65952768427708</v>
      </c>
      <c r="AP109" s="1">
        <v>18.071600096370652</v>
      </c>
      <c r="AQ109" s="1">
        <v>17.704511753154012</v>
      </c>
      <c r="AR109" s="1">
        <v>17.669777887648419</v>
      </c>
      <c r="AS109" s="1">
        <v>17.672904738114816</v>
      </c>
      <c r="AT109" s="1">
        <v>17.721922931215101</v>
      </c>
      <c r="AU109" s="1">
        <v>17.718499417003038</v>
      </c>
      <c r="AV109" s="1">
        <v>17.715071307811314</v>
      </c>
      <c r="AW109" s="1">
        <v>17.773720339286349</v>
      </c>
      <c r="AX109" s="1">
        <v>17.772925971024442</v>
      </c>
      <c r="AY109" s="1">
        <v>17.933097207272652</v>
      </c>
      <c r="AZ109" s="1">
        <v>18.353743926478877</v>
      </c>
      <c r="BA109" s="1">
        <v>18.451917204794576</v>
      </c>
      <c r="BB109" s="1">
        <v>18.464595102942233</v>
      </c>
      <c r="BC109" s="1">
        <v>18.444342727602972</v>
      </c>
      <c r="BD109" s="1">
        <v>18.493857765284304</v>
      </c>
      <c r="BE109" s="1">
        <v>18.547926933965407</v>
      </c>
      <c r="BF109" s="1">
        <v>18.477114694971661</v>
      </c>
      <c r="BG109" s="1">
        <v>18.478630811286525</v>
      </c>
      <c r="BH109" s="1">
        <v>18.43583016761287</v>
      </c>
      <c r="BI109" s="1">
        <v>18.540484678184509</v>
      </c>
      <c r="BJ109" s="1">
        <v>18.715143515940049</v>
      </c>
      <c r="BK109" s="1">
        <v>18.984081942800678</v>
      </c>
      <c r="BL109" s="1">
        <v>19.517920455553472</v>
      </c>
      <c r="BM109" s="1">
        <v>19.986020683367727</v>
      </c>
      <c r="BN109" s="1">
        <v>20.119140837024084</v>
      </c>
      <c r="BO109" s="1">
        <v>20.376087822731812</v>
      </c>
      <c r="BP109" s="1">
        <v>20.394432862679388</v>
      </c>
      <c r="BQ109" s="1">
        <v>20.39307612712286</v>
      </c>
      <c r="BR109" s="1">
        <v>19.832401791112972</v>
      </c>
      <c r="BS109" s="1">
        <v>19.651011329552944</v>
      </c>
      <c r="BT109" s="1">
        <v>21.025514475072164</v>
      </c>
      <c r="BU109" s="1">
        <v>21.504899906558173</v>
      </c>
      <c r="BV109" s="1">
        <v>21.816359368570517</v>
      </c>
      <c r="BW109" s="1">
        <v>21.803464124635131</v>
      </c>
      <c r="BX109" s="1">
        <v>22.046981461455395</v>
      </c>
      <c r="BY109" s="1">
        <v>22.083353392882522</v>
      </c>
      <c r="BZ109" s="1">
        <v>22.158519230079854</v>
      </c>
      <c r="CA109" s="1">
        <v>22.477408648442498</v>
      </c>
      <c r="CB109" s="1">
        <v>22.790993529537801</v>
      </c>
      <c r="CC109" s="1">
        <v>22.509658446583501</v>
      </c>
      <c r="CD109" s="1">
        <v>23.001519120164701</v>
      </c>
      <c r="CE109" s="1">
        <v>23.6134196759633</v>
      </c>
      <c r="CF109" s="1">
        <v>23.1889818567204</v>
      </c>
      <c r="CG109" s="1">
        <v>24.080786849811702</v>
      </c>
      <c r="CH109" s="1">
        <v>24.416509258602002</v>
      </c>
      <c r="CI109" s="1">
        <v>25.953385503104801</v>
      </c>
      <c r="CJ109" s="1">
        <v>26.1369315932733</v>
      </c>
      <c r="CK109" s="1">
        <v>26.143301306515902</v>
      </c>
      <c r="CL109" s="1">
        <v>26.803196403172802</v>
      </c>
      <c r="CM109" s="1">
        <v>27.5552709055695</v>
      </c>
      <c r="CN109" s="1">
        <v>26.8982644308375</v>
      </c>
    </row>
    <row r="110" spans="1:92" x14ac:dyDescent="0.35">
      <c r="A110" t="s">
        <v>48</v>
      </c>
      <c r="B110" s="1">
        <v>9.5557536291054248</v>
      </c>
      <c r="C110" s="1">
        <v>9.5590328786368204</v>
      </c>
      <c r="D110" s="1">
        <v>9.5638199212027892</v>
      </c>
      <c r="E110" s="1">
        <v>11.166013895164934</v>
      </c>
      <c r="F110" s="1">
        <v>11.163745660428532</v>
      </c>
      <c r="G110" s="1">
        <v>10.959532669712511</v>
      </c>
      <c r="H110" s="1">
        <v>10.970340089356201</v>
      </c>
      <c r="I110" s="1">
        <v>11.600867815093929</v>
      </c>
      <c r="J110" s="1">
        <v>11.682607006016744</v>
      </c>
      <c r="K110" s="1">
        <v>10.635222813396819</v>
      </c>
      <c r="L110" s="1">
        <v>10.63531459817937</v>
      </c>
      <c r="M110" s="1">
        <v>11.658536012678809</v>
      </c>
      <c r="N110" s="1">
        <v>11.707865345330738</v>
      </c>
      <c r="O110" s="1">
        <v>11.758827526389485</v>
      </c>
      <c r="P110" s="1">
        <v>11.780920664893618</v>
      </c>
      <c r="Q110" s="1">
        <v>12.248497948813057</v>
      </c>
      <c r="R110" s="1">
        <v>12.376291283783786</v>
      </c>
      <c r="S110" s="1">
        <v>12.20647780648958</v>
      </c>
      <c r="T110" s="1">
        <v>12.225953659988292</v>
      </c>
      <c r="U110" s="1">
        <v>13.522247892952574</v>
      </c>
      <c r="V110" s="1">
        <v>13.504082679671242</v>
      </c>
      <c r="W110" s="1">
        <v>13.807544125643373</v>
      </c>
      <c r="X110" s="1">
        <v>13.807986855771622</v>
      </c>
      <c r="Y110" s="1">
        <v>13.836835705117592</v>
      </c>
      <c r="Z110" s="1">
        <v>13.834000864653108</v>
      </c>
      <c r="AA110" s="1">
        <v>13.09439954222721</v>
      </c>
      <c r="AB110" s="1">
        <v>13.214998486449529</v>
      </c>
      <c r="AC110" s="1">
        <v>13.752415730756477</v>
      </c>
      <c r="AD110" s="1">
        <v>13.755295731241221</v>
      </c>
      <c r="AE110" s="1">
        <v>15.249819816554664</v>
      </c>
      <c r="AF110" s="1">
        <v>15.910455797603825</v>
      </c>
      <c r="AG110" s="1">
        <v>15.904664386378252</v>
      </c>
      <c r="AH110" s="1">
        <v>15.90292975262877</v>
      </c>
      <c r="AI110" s="1">
        <v>15.615689367356429</v>
      </c>
      <c r="AJ110" s="1">
        <v>15.611076473259876</v>
      </c>
      <c r="AK110" s="1">
        <v>16.585850371195498</v>
      </c>
      <c r="AL110" s="1">
        <v>16.618683732669744</v>
      </c>
      <c r="AM110" s="1">
        <v>16.51726964325109</v>
      </c>
      <c r="AN110" s="1">
        <v>16.504279951327995</v>
      </c>
      <c r="AO110" s="1">
        <v>16.480532446945844</v>
      </c>
      <c r="AP110" s="1">
        <v>16.462777147141175</v>
      </c>
      <c r="AQ110" s="1">
        <v>16.776926441429698</v>
      </c>
      <c r="AR110" s="1">
        <v>16.775184039800074</v>
      </c>
      <c r="AS110" s="1">
        <v>16.888988841187487</v>
      </c>
      <c r="AT110" s="1">
        <v>16.881083272340543</v>
      </c>
      <c r="AU110" s="1">
        <v>16.252031114553244</v>
      </c>
      <c r="AV110" s="1">
        <v>16.239300146020742</v>
      </c>
      <c r="AW110" s="1">
        <v>16.604815877303096</v>
      </c>
      <c r="AX110" s="1">
        <v>16.572380096581309</v>
      </c>
      <c r="AY110" s="1">
        <v>16.704246483226278</v>
      </c>
      <c r="AZ110" s="1">
        <v>16.71102904442504</v>
      </c>
      <c r="BA110" s="1">
        <v>17.11391443013494</v>
      </c>
      <c r="BB110" s="1">
        <v>17.197441085929274</v>
      </c>
      <c r="BC110" s="1">
        <v>17.240795811159074</v>
      </c>
      <c r="BD110" s="1">
        <v>17.237896713531232</v>
      </c>
      <c r="BE110" s="1">
        <v>17.453079207581869</v>
      </c>
      <c r="BF110" s="1">
        <v>17.536884539846433</v>
      </c>
      <c r="BG110" s="1">
        <v>17.483421089337728</v>
      </c>
      <c r="BH110" s="1">
        <v>17.489758533642306</v>
      </c>
      <c r="BI110" s="1">
        <v>17.550091841017402</v>
      </c>
      <c r="BJ110" s="1">
        <v>18.031122714109848</v>
      </c>
      <c r="BK110" s="1">
        <v>18.030224976211947</v>
      </c>
      <c r="BL110" s="1">
        <v>18.47390965936944</v>
      </c>
      <c r="BM110" s="1">
        <v>18.791634795156355</v>
      </c>
      <c r="BN110" s="1">
        <v>18.845386616749146</v>
      </c>
      <c r="BO110" s="1">
        <v>19.007694651456198</v>
      </c>
      <c r="BP110" s="1">
        <v>19.006935211999785</v>
      </c>
      <c r="BQ110" s="1">
        <v>19.012066602621989</v>
      </c>
      <c r="BR110" s="1">
        <v>19.063599466670933</v>
      </c>
      <c r="BS110" s="1">
        <v>19.440985046691672</v>
      </c>
      <c r="BT110" s="1">
        <v>19.892530692045071</v>
      </c>
      <c r="BU110" s="1">
        <v>20.021848226478063</v>
      </c>
      <c r="BV110" s="1">
        <v>20.165590193337422</v>
      </c>
      <c r="BW110" s="1">
        <v>20.395336333997395</v>
      </c>
      <c r="BX110" s="1">
        <v>20.488814096112915</v>
      </c>
      <c r="BY110" s="1">
        <v>20.622781577913909</v>
      </c>
      <c r="BZ110" s="1">
        <v>20.82676889047357</v>
      </c>
      <c r="CA110" s="1">
        <v>21.238876867672399</v>
      </c>
      <c r="CB110" s="1">
        <v>21.6161982858453</v>
      </c>
      <c r="CC110" s="1">
        <v>21.7774600758747</v>
      </c>
      <c r="CD110" s="1">
        <v>21.8948192925473</v>
      </c>
      <c r="CE110" s="1">
        <v>22.3449566808907</v>
      </c>
      <c r="CF110" s="1">
        <v>22.723486571993899</v>
      </c>
      <c r="CG110" s="1">
        <v>23.002373241535199</v>
      </c>
      <c r="CH110" s="1">
        <v>23.1458649756777</v>
      </c>
      <c r="CI110" s="1">
        <v>24.209571865959301</v>
      </c>
      <c r="CJ110" s="1">
        <v>24.319973786582601</v>
      </c>
      <c r="CK110" s="1">
        <v>24.2619502722386</v>
      </c>
      <c r="CL110" s="1">
        <v>25.087049711692199</v>
      </c>
      <c r="CM110" s="1">
        <v>25.485943848181499</v>
      </c>
      <c r="CN110" s="1">
        <v>25.5523704547881</v>
      </c>
    </row>
    <row r="111" spans="1:92" x14ac:dyDescent="0.35">
      <c r="A111" t="s">
        <v>49</v>
      </c>
      <c r="B111" s="1">
        <v>10.527361441261103</v>
      </c>
      <c r="C111" s="1">
        <v>10.42791341362126</v>
      </c>
      <c r="D111" s="1">
        <v>10.411420451022137</v>
      </c>
      <c r="E111" s="1">
        <v>11.490215627316914</v>
      </c>
      <c r="F111" s="1">
        <v>11.980753788422497</v>
      </c>
      <c r="G111" s="1">
        <v>11.821397632581544</v>
      </c>
      <c r="H111" s="1">
        <v>11.94384215337735</v>
      </c>
      <c r="I111" s="1">
        <v>12.192456671918553</v>
      </c>
      <c r="J111" s="1">
        <v>12.181780345659163</v>
      </c>
      <c r="K111" s="1">
        <v>12.504028883466013</v>
      </c>
      <c r="L111" s="1">
        <v>12.641961135666786</v>
      </c>
      <c r="M111" s="1">
        <v>13.091748019929728</v>
      </c>
      <c r="N111" s="1">
        <v>13.070157464777616</v>
      </c>
      <c r="O111" s="1">
        <v>12.924375490966224</v>
      </c>
      <c r="P111" s="1">
        <v>12.923548513225551</v>
      </c>
      <c r="Q111" s="1">
        <v>14.776655261571964</v>
      </c>
      <c r="R111" s="1">
        <v>14.778314698030719</v>
      </c>
      <c r="S111" s="1">
        <v>14.220528352748625</v>
      </c>
      <c r="T111" s="1">
        <v>13.517436266605236</v>
      </c>
      <c r="U111" s="1">
        <v>14.53203090592268</v>
      </c>
      <c r="V111" s="1">
        <v>14.471253730201239</v>
      </c>
      <c r="W111" s="1">
        <v>14.753607373905075</v>
      </c>
      <c r="X111" s="1">
        <v>14.749376998021008</v>
      </c>
      <c r="Y111" s="1">
        <v>14.751926333776344</v>
      </c>
      <c r="Z111" s="1">
        <v>14.752286991269434</v>
      </c>
      <c r="AA111" s="1">
        <v>14.812129917380426</v>
      </c>
      <c r="AB111" s="1">
        <v>15.047377823990926</v>
      </c>
      <c r="AC111" s="1">
        <v>15.699158216733702</v>
      </c>
      <c r="AD111" s="1">
        <v>15.734714274958593</v>
      </c>
      <c r="AE111" s="1">
        <v>15.846002280495966</v>
      </c>
      <c r="AF111" s="1">
        <v>16.033477437415204</v>
      </c>
      <c r="AG111" s="1">
        <v>16.049955230273209</v>
      </c>
      <c r="AH111" s="1">
        <v>16.021644938569388</v>
      </c>
      <c r="AI111" s="1">
        <v>16.442585335280675</v>
      </c>
      <c r="AJ111" s="1">
        <v>16.421469844339214</v>
      </c>
      <c r="AK111" s="1">
        <v>16.416090511455224</v>
      </c>
      <c r="AL111" s="1">
        <v>16.427339797679288</v>
      </c>
      <c r="AM111" s="1">
        <v>16.580722560442659</v>
      </c>
      <c r="AN111" s="1">
        <v>17.064833020548882</v>
      </c>
      <c r="AO111" s="1">
        <v>17.077276436480957</v>
      </c>
      <c r="AP111" s="1">
        <v>17.093687766278691</v>
      </c>
      <c r="AQ111" s="1">
        <v>17.056910741497035</v>
      </c>
      <c r="AR111" s="1">
        <v>17.049245918652794</v>
      </c>
      <c r="AS111" s="1">
        <v>17.04871790174964</v>
      </c>
      <c r="AT111" s="1">
        <v>17.029820244723602</v>
      </c>
      <c r="AU111" s="1">
        <v>17.010667962555381</v>
      </c>
      <c r="AV111" s="1">
        <v>17.36371905879647</v>
      </c>
      <c r="AW111" s="1">
        <v>17.352534124824039</v>
      </c>
      <c r="AX111" s="1">
        <v>17.345448533658306</v>
      </c>
      <c r="AY111" s="1">
        <v>17.930177439040403</v>
      </c>
      <c r="AZ111" s="1">
        <v>18.028810001422517</v>
      </c>
      <c r="BA111" s="1">
        <v>18.03238084186918</v>
      </c>
      <c r="BB111" s="1">
        <v>18.304336573751453</v>
      </c>
      <c r="BC111" s="1">
        <v>18.077703876389762</v>
      </c>
      <c r="BD111" s="1">
        <v>18.051484048420157</v>
      </c>
      <c r="BE111" s="1">
        <v>18.246494736074055</v>
      </c>
      <c r="BF111" s="1">
        <v>18.607583624806985</v>
      </c>
      <c r="BG111" s="1">
        <v>18.564010657843959</v>
      </c>
      <c r="BH111" s="1">
        <v>18.555057710643844</v>
      </c>
      <c r="BI111" s="1">
        <v>18.529154236733767</v>
      </c>
      <c r="BJ111" s="1">
        <v>19.035875832445669</v>
      </c>
      <c r="BK111" s="1">
        <v>19.040767856118187</v>
      </c>
      <c r="BL111" s="1">
        <v>19.10069615533304</v>
      </c>
      <c r="BM111" s="1">
        <v>19.685521221234815</v>
      </c>
      <c r="BN111" s="1">
        <v>19.868364518918888</v>
      </c>
      <c r="BO111" s="1">
        <v>20.543754893540758</v>
      </c>
      <c r="BP111" s="1">
        <v>20.528552173166759</v>
      </c>
      <c r="BQ111" s="1">
        <v>20.516627243462885</v>
      </c>
      <c r="BR111" s="1">
        <v>20.584130393132888</v>
      </c>
      <c r="BS111" s="1">
        <v>20.555151651065014</v>
      </c>
      <c r="BT111" s="1">
        <v>21.05054954262523</v>
      </c>
      <c r="BU111" s="1">
        <v>21.234005088559545</v>
      </c>
      <c r="BV111" s="1">
        <v>21.854515810595768</v>
      </c>
      <c r="BW111" s="1">
        <v>22.164994125183462</v>
      </c>
      <c r="BX111" s="1">
        <v>22.015187012784942</v>
      </c>
      <c r="BY111" s="1">
        <v>22.003279105086563</v>
      </c>
      <c r="BZ111" s="1">
        <v>22.525008120995984</v>
      </c>
      <c r="CA111" s="1">
        <v>21.4165107938191</v>
      </c>
      <c r="CB111" s="1">
        <v>23.053950328775201</v>
      </c>
      <c r="CC111" s="1">
        <v>22.8694471922385</v>
      </c>
      <c r="CD111" s="1">
        <v>23.131094877925801</v>
      </c>
      <c r="CE111" s="1">
        <v>23.3663533950951</v>
      </c>
      <c r="CF111" s="1">
        <v>23.672848341397199</v>
      </c>
      <c r="CG111" s="1">
        <v>24.0715998700223</v>
      </c>
      <c r="CH111" s="1">
        <v>24.226861686115701</v>
      </c>
      <c r="CI111" s="1">
        <v>25.6024350795945</v>
      </c>
      <c r="CJ111" s="1">
        <v>25.6508734816519</v>
      </c>
      <c r="CK111" s="1">
        <v>25.645537865172098</v>
      </c>
      <c r="CL111" s="1">
        <v>26.567343497945</v>
      </c>
      <c r="CM111" s="1">
        <v>26.445027942194599</v>
      </c>
      <c r="CN111" s="1">
        <v>26.606655512083499</v>
      </c>
    </row>
    <row r="112" spans="1:92" x14ac:dyDescent="0.35">
      <c r="A112" t="s">
        <v>66</v>
      </c>
      <c r="B112" s="1">
        <v>9.9189601400594469</v>
      </c>
      <c r="C112" s="1">
        <v>9.7052832351868226</v>
      </c>
      <c r="D112" s="1">
        <v>9.7080830103359155</v>
      </c>
      <c r="E112" s="1">
        <v>11.184760958463517</v>
      </c>
      <c r="F112" s="1">
        <v>11.183952559900707</v>
      </c>
      <c r="G112" s="1">
        <v>11.104159820804224</v>
      </c>
      <c r="H112" s="1">
        <v>11.150461933905916</v>
      </c>
      <c r="I112" s="1">
        <v>11.829876938694941</v>
      </c>
      <c r="J112" s="1">
        <v>11.830724085194433</v>
      </c>
      <c r="K112" s="1">
        <v>11.401089653859504</v>
      </c>
      <c r="L112" s="1">
        <v>11.401698183766644</v>
      </c>
      <c r="M112" s="1">
        <v>12.499606222978951</v>
      </c>
      <c r="N112" s="1">
        <v>12.467254124497433</v>
      </c>
      <c r="O112" s="1">
        <v>12.169881366795968</v>
      </c>
      <c r="P112" s="1">
        <v>12.240424910377692</v>
      </c>
      <c r="Q112" s="1">
        <v>12.879184723169717</v>
      </c>
      <c r="R112" s="1">
        <v>12.880929380053908</v>
      </c>
      <c r="S112" s="1">
        <v>12.514093660367244</v>
      </c>
      <c r="T112" s="1">
        <v>12.519144334718781</v>
      </c>
      <c r="U112" s="1">
        <v>14.009831458590529</v>
      </c>
      <c r="V112" s="1">
        <v>13.959249799128852</v>
      </c>
      <c r="W112" s="1">
        <v>14.197486860763629</v>
      </c>
      <c r="X112" s="1">
        <v>14.15044202636096</v>
      </c>
      <c r="Y112" s="1">
        <v>14.15953263590001</v>
      </c>
      <c r="Z112" s="1">
        <v>14.096252556263959</v>
      </c>
      <c r="AA112" s="1">
        <v>13.931974613012789</v>
      </c>
      <c r="AB112" s="1">
        <v>13.931382578223038</v>
      </c>
      <c r="AC112" s="1">
        <v>14.266204292238392</v>
      </c>
      <c r="AD112" s="1">
        <v>14.221453235990523</v>
      </c>
      <c r="AE112" s="1">
        <v>14.330013612753014</v>
      </c>
      <c r="AF112" s="1">
        <v>13.605356373965922</v>
      </c>
      <c r="AG112" s="1">
        <v>14.176015716228154</v>
      </c>
      <c r="AH112" s="1">
        <v>14.388378928069237</v>
      </c>
      <c r="AI112" s="1">
        <v>14.400893829417539</v>
      </c>
      <c r="AJ112" s="1">
        <v>14.370619535792903</v>
      </c>
      <c r="AK112" s="1">
        <v>14.779689250388936</v>
      </c>
      <c r="AL112" s="1">
        <v>14.996155128318096</v>
      </c>
      <c r="AM112" s="1">
        <v>14.90164327727706</v>
      </c>
      <c r="AN112" s="1">
        <v>15.502723890822551</v>
      </c>
      <c r="AO112" s="1">
        <v>15.507619373672611</v>
      </c>
      <c r="AP112" s="1">
        <v>15.493099111867693</v>
      </c>
      <c r="AQ112" s="1">
        <v>15.551803958060185</v>
      </c>
      <c r="AR112" s="1">
        <v>15.534030879300344</v>
      </c>
      <c r="AS112" s="1">
        <v>15.54187675108839</v>
      </c>
      <c r="AT112" s="1">
        <v>15.526635600707371</v>
      </c>
      <c r="AU112" s="1">
        <v>15.516793130375538</v>
      </c>
      <c r="AV112" s="1">
        <v>15.553178386308351</v>
      </c>
      <c r="AW112" s="1">
        <v>16.029102372761521</v>
      </c>
      <c r="AX112" s="1">
        <v>16.007718421941341</v>
      </c>
      <c r="AY112" s="1">
        <v>16.063557714388171</v>
      </c>
      <c r="AZ112" s="1">
        <v>16.152181499618614</v>
      </c>
      <c r="BA112" s="1">
        <v>16.307917288259151</v>
      </c>
      <c r="BB112" s="1">
        <v>16.376222478782161</v>
      </c>
      <c r="BC112" s="1">
        <v>16.476328398184702</v>
      </c>
      <c r="BD112" s="1">
        <v>16.493464379355125</v>
      </c>
      <c r="BE112" s="1">
        <v>16.591219376113663</v>
      </c>
      <c r="BF112" s="1">
        <v>16.893266646313204</v>
      </c>
      <c r="BG112" s="1">
        <v>16.83848265942008</v>
      </c>
      <c r="BH112" s="1">
        <v>16.870231462542655</v>
      </c>
      <c r="BI112" s="1">
        <v>17.048710520832842</v>
      </c>
      <c r="BJ112" s="1">
        <v>17.461601807296667</v>
      </c>
      <c r="BK112" s="1">
        <v>17.73328658516018</v>
      </c>
      <c r="BL112" s="1">
        <v>17.724700648788655</v>
      </c>
      <c r="BM112" s="1">
        <v>18.152937270653531</v>
      </c>
      <c r="BN112" s="1">
        <v>18.299314180385934</v>
      </c>
      <c r="BO112" s="1">
        <v>18.999102747309848</v>
      </c>
      <c r="BP112" s="1">
        <v>18.849642725643555</v>
      </c>
      <c r="BQ112" s="1">
        <v>18.875454095614835</v>
      </c>
      <c r="BR112" s="1">
        <v>18.689812651767227</v>
      </c>
      <c r="BS112" s="1">
        <v>18.691332608528857</v>
      </c>
      <c r="BT112" s="1">
        <v>19.17059890072883</v>
      </c>
      <c r="BU112" s="1">
        <v>19.545441545805964</v>
      </c>
      <c r="BV112" s="1">
        <v>19.925114354564684</v>
      </c>
      <c r="BW112" s="1">
        <v>20.32570914666227</v>
      </c>
      <c r="BX112" s="1">
        <v>20.34252705185947</v>
      </c>
      <c r="BY112" s="1">
        <v>20.324718759364647</v>
      </c>
      <c r="BZ112" s="1">
        <v>20.460229428061066</v>
      </c>
      <c r="CA112" s="1">
        <v>20.0077665162265</v>
      </c>
      <c r="CB112" s="1">
        <v>21.011494263407702</v>
      </c>
      <c r="CC112" s="1">
        <v>21.393309696748599</v>
      </c>
      <c r="CD112" s="1">
        <v>20.587287434525699</v>
      </c>
      <c r="CE112" s="1">
        <v>20.6788401619513</v>
      </c>
      <c r="CF112" s="1">
        <v>20.991690254261901</v>
      </c>
      <c r="CG112" s="1">
        <v>20.553917751502599</v>
      </c>
      <c r="CH112" s="1">
        <v>21.346868019111401</v>
      </c>
      <c r="CI112" s="1">
        <v>22.461082168473801</v>
      </c>
      <c r="CJ112" s="1">
        <v>22.445890380086102</v>
      </c>
      <c r="CK112" s="1">
        <v>22.296487047907299</v>
      </c>
      <c r="CL112" s="1">
        <v>23.399469672652199</v>
      </c>
      <c r="CM112" s="1">
        <v>23.910816141959401</v>
      </c>
      <c r="CN112" s="1">
        <v>23.993060629215002</v>
      </c>
    </row>
    <row r="113" spans="1:92" x14ac:dyDescent="0.35">
      <c r="A113" t="s">
        <v>50</v>
      </c>
      <c r="B113" s="1">
        <v>10.822754459601256</v>
      </c>
      <c r="C113" s="1">
        <v>11.118154746310365</v>
      </c>
      <c r="D113" s="1">
        <v>11.176793492521648</v>
      </c>
      <c r="E113" s="1">
        <v>11.413317572892039</v>
      </c>
      <c r="F113" s="1">
        <v>11.410709033613445</v>
      </c>
      <c r="G113" s="1">
        <v>12.926396743412415</v>
      </c>
      <c r="H113" s="1">
        <v>12.734668186201455</v>
      </c>
      <c r="I113" s="1">
        <v>12.947670175438597</v>
      </c>
      <c r="J113" s="1">
        <v>12.976430634573306</v>
      </c>
      <c r="K113" s="1">
        <v>13.658524446776877</v>
      </c>
      <c r="L113" s="1">
        <v>13.817349460951881</v>
      </c>
      <c r="M113" s="1">
        <v>13.813750657548656</v>
      </c>
      <c r="N113" s="1">
        <v>14.08508505787443</v>
      </c>
      <c r="O113" s="1">
        <v>14.312281990728591</v>
      </c>
      <c r="P113" s="1">
        <v>14.295174960436084</v>
      </c>
      <c r="Q113" s="1">
        <v>14.85312543554007</v>
      </c>
      <c r="R113" s="1">
        <v>14.94881641881903</v>
      </c>
      <c r="S113" s="1">
        <v>14.946681707740373</v>
      </c>
      <c r="T113" s="1">
        <v>16.16463969439139</v>
      </c>
      <c r="U113" s="1">
        <v>16.588460672210665</v>
      </c>
      <c r="V113" s="1">
        <v>16.563363360762239</v>
      </c>
      <c r="W113" s="1">
        <v>17.651522470456314</v>
      </c>
      <c r="X113" s="1">
        <v>17.648195488721804</v>
      </c>
      <c r="Y113" s="1">
        <v>17.625783153347729</v>
      </c>
      <c r="Z113" s="1">
        <v>17.487818933586009</v>
      </c>
      <c r="AA113" s="1">
        <v>17.691316655124645</v>
      </c>
      <c r="AB113" s="1">
        <v>17.724778461805251</v>
      </c>
      <c r="AC113" s="1">
        <v>18.104903829492301</v>
      </c>
      <c r="AD113" s="1">
        <v>18.076155444002076</v>
      </c>
      <c r="AE113" s="1">
        <v>17.504108078477273</v>
      </c>
      <c r="AF113" s="1">
        <v>17.34764811225903</v>
      </c>
      <c r="AG113" s="1">
        <v>17.2381799039944</v>
      </c>
      <c r="AH113" s="1">
        <v>17.191204523645794</v>
      </c>
      <c r="AI113" s="1">
        <v>19.200441626165787</v>
      </c>
      <c r="AJ113" s="1">
        <v>19.142229925965626</v>
      </c>
      <c r="AK113" s="1">
        <v>19.592329003068205</v>
      </c>
      <c r="AL113" s="1">
        <v>19.571497838002362</v>
      </c>
      <c r="AM113" s="1">
        <v>18.797070592139431</v>
      </c>
      <c r="AN113" s="1">
        <v>19.517477755912903</v>
      </c>
      <c r="AO113" s="1">
        <v>19.484214117130509</v>
      </c>
      <c r="AP113" s="1">
        <v>19.452546645537868</v>
      </c>
      <c r="AQ113" s="1">
        <v>18.601579855928719</v>
      </c>
      <c r="AR113" s="1">
        <v>19.353449505222351</v>
      </c>
      <c r="AS113" s="1">
        <v>19.328540310629442</v>
      </c>
      <c r="AT113" s="1">
        <v>19.294250008099397</v>
      </c>
      <c r="AU113" s="1">
        <v>19.343254424723977</v>
      </c>
      <c r="AV113" s="1">
        <v>19.295701101713572</v>
      </c>
      <c r="AW113" s="1">
        <v>19.504841335486777</v>
      </c>
      <c r="AX113" s="1">
        <v>19.313135237410481</v>
      </c>
      <c r="AY113" s="1">
        <v>19.362580850249103</v>
      </c>
      <c r="AZ113" s="1">
        <v>19.880064959058529</v>
      </c>
      <c r="BA113" s="1">
        <v>19.966231830019993</v>
      </c>
      <c r="BB113" s="1">
        <v>20.094490681188496</v>
      </c>
      <c r="BC113" s="1">
        <v>19.420095924912086</v>
      </c>
      <c r="BD113" s="1">
        <v>19.908143387737798</v>
      </c>
      <c r="BE113" s="1">
        <v>19.861550172808325</v>
      </c>
      <c r="BF113" s="1">
        <v>20.068965887214457</v>
      </c>
      <c r="BG113" s="1">
        <v>20.341780637129705</v>
      </c>
      <c r="BH113" s="1">
        <v>20.318195769832851</v>
      </c>
      <c r="BI113" s="1">
        <v>20.1965465546639</v>
      </c>
      <c r="BJ113" s="1">
        <v>20.420561765719814</v>
      </c>
      <c r="BK113" s="1">
        <v>20.637952390356226</v>
      </c>
      <c r="BL113" s="1">
        <v>20.682391140822418</v>
      </c>
      <c r="BM113" s="1">
        <v>21.142277677214857</v>
      </c>
      <c r="BN113" s="1">
        <v>21.241986393465901</v>
      </c>
      <c r="BO113" s="1">
        <v>22.355927896750572</v>
      </c>
      <c r="BP113" s="1">
        <v>22.323505111949906</v>
      </c>
      <c r="BQ113" s="1">
        <v>21.860585803248995</v>
      </c>
      <c r="BR113" s="1">
        <v>21.883026020322248</v>
      </c>
      <c r="BS113" s="1">
        <v>22.804792965525504</v>
      </c>
      <c r="BT113" s="1">
        <v>22.937388594712235</v>
      </c>
      <c r="BU113" s="1">
        <v>22.95074071832914</v>
      </c>
      <c r="BV113" s="1">
        <v>23.124697761690566</v>
      </c>
      <c r="BW113" s="1">
        <v>23.375782502562974</v>
      </c>
      <c r="BX113" s="1">
        <v>23.454757133033358</v>
      </c>
      <c r="BY113" s="1">
        <v>23.14757651226601</v>
      </c>
      <c r="BZ113" s="1">
        <v>23.097357066014286</v>
      </c>
      <c r="CA113" s="1">
        <v>23.497719467293699</v>
      </c>
      <c r="CB113" s="1">
        <v>23.7698891596247</v>
      </c>
      <c r="CC113" s="1">
        <v>23.9515985670843</v>
      </c>
      <c r="CD113" s="1">
        <v>24.0567809480353</v>
      </c>
      <c r="CE113" s="1">
        <v>24.687379189288901</v>
      </c>
      <c r="CF113" s="1">
        <v>24.752094329852198</v>
      </c>
      <c r="CG113" s="1">
        <v>25.4250379984171</v>
      </c>
      <c r="CH113" s="1">
        <v>25.5931827285937</v>
      </c>
      <c r="CI113" s="1">
        <v>26.0835980658977</v>
      </c>
      <c r="CJ113" s="1">
        <v>26.164224513642601</v>
      </c>
      <c r="CK113" s="1">
        <v>26.128328437208602</v>
      </c>
      <c r="CL113" s="1">
        <v>27.533080773344601</v>
      </c>
      <c r="CM113" s="1">
        <v>26.896820112454101</v>
      </c>
      <c r="CN113" s="1">
        <v>25.3694193967284</v>
      </c>
    </row>
    <row r="114" spans="1:92" x14ac:dyDescent="0.35">
      <c r="A114" t="s">
        <v>61</v>
      </c>
      <c r="B114" s="1">
        <v>9.146540073840475</v>
      </c>
      <c r="C114" s="1">
        <v>8.7647296881608785</v>
      </c>
      <c r="D114" s="1">
        <v>12.002242658983798</v>
      </c>
      <c r="E114" s="1">
        <v>12.192463322967738</v>
      </c>
      <c r="F114" s="1">
        <v>12.192240800762628</v>
      </c>
      <c r="G114" s="1">
        <v>12.397778580527406</v>
      </c>
      <c r="H114" s="1">
        <v>12.455869053047577</v>
      </c>
      <c r="I114" s="1">
        <v>12.593844505952832</v>
      </c>
      <c r="J114" s="1">
        <v>12.593184761473262</v>
      </c>
      <c r="K114" s="1">
        <v>12.500622462024367</v>
      </c>
      <c r="L114" s="1">
        <v>13.687881195184698</v>
      </c>
      <c r="M114" s="1">
        <v>13.783792683155507</v>
      </c>
      <c r="N114" s="1">
        <v>13.930657552692114</v>
      </c>
      <c r="O114" s="1">
        <v>13.864793101517442</v>
      </c>
      <c r="P114" s="1">
        <v>15.239152655979449</v>
      </c>
      <c r="Q114" s="1">
        <v>15.385902894975985</v>
      </c>
      <c r="R114" s="1">
        <v>15.361645679628705</v>
      </c>
      <c r="S114" s="1">
        <v>15.209340942562596</v>
      </c>
      <c r="T114" s="1">
        <v>15.161923700103104</v>
      </c>
      <c r="U114" s="1">
        <v>15.521315441662383</v>
      </c>
      <c r="V114" s="1">
        <v>15.476576797684897</v>
      </c>
      <c r="W114" s="1">
        <v>15.162653404827703</v>
      </c>
      <c r="X114" s="1">
        <v>15.638139824532479</v>
      </c>
      <c r="Y114" s="1">
        <v>15.623715767446091</v>
      </c>
      <c r="Z114" s="1">
        <v>15.617357037790329</v>
      </c>
      <c r="AA114" s="1">
        <v>15.747885643842572</v>
      </c>
      <c r="AB114" s="1">
        <v>16.55747053293803</v>
      </c>
      <c r="AC114" s="1">
        <v>16.963292766602876</v>
      </c>
      <c r="AD114" s="1">
        <v>16.944318914150966</v>
      </c>
      <c r="AE114" s="1">
        <v>16.80901433192215</v>
      </c>
      <c r="AF114" s="1">
        <v>16.671910051975658</v>
      </c>
      <c r="AG114" s="1">
        <v>16.630799703505726</v>
      </c>
      <c r="AH114" s="1">
        <v>16.591271851001903</v>
      </c>
      <c r="AI114" s="1">
        <v>16.630875904124199</v>
      </c>
      <c r="AJ114" s="1">
        <v>16.620298635024469</v>
      </c>
      <c r="AK114" s="1">
        <v>16.606699134200255</v>
      </c>
      <c r="AL114" s="1">
        <v>16.652714448856212</v>
      </c>
      <c r="AM114" s="1">
        <v>17.702458892484827</v>
      </c>
      <c r="AN114" s="1">
        <v>17.683413639183939</v>
      </c>
      <c r="AO114" s="1">
        <v>17.658233578361155</v>
      </c>
      <c r="AP114" s="1">
        <v>17.619056609292343</v>
      </c>
      <c r="AQ114" s="1">
        <v>17.937836286087915</v>
      </c>
      <c r="AR114" s="1">
        <v>17.907095512310342</v>
      </c>
      <c r="AS114" s="1">
        <v>17.886558245796493</v>
      </c>
      <c r="AT114" s="1">
        <v>17.870534708709101</v>
      </c>
      <c r="AU114" s="1">
        <v>17.913546772029953</v>
      </c>
      <c r="AV114" s="1">
        <v>18.076643705637803</v>
      </c>
      <c r="AW114" s="1">
        <v>18.042554372924339</v>
      </c>
      <c r="AX114" s="1">
        <v>18.029953093211663</v>
      </c>
      <c r="AY114" s="1">
        <v>18.252215530599059</v>
      </c>
      <c r="AZ114" s="1">
        <v>18.31451565191405</v>
      </c>
      <c r="BA114" s="1">
        <v>18.248360025475087</v>
      </c>
      <c r="BB114" s="1">
        <v>18.268657287413546</v>
      </c>
      <c r="BC114" s="1">
        <v>18.518985897571046</v>
      </c>
      <c r="BD114" s="1">
        <v>18.525748764991899</v>
      </c>
      <c r="BE114" s="1">
        <v>18.616912726092007</v>
      </c>
      <c r="BF114" s="1">
        <v>18.47422681086567</v>
      </c>
      <c r="BG114" s="1">
        <v>18.131628423058054</v>
      </c>
      <c r="BH114" s="1">
        <v>18.115744420312595</v>
      </c>
      <c r="BI114" s="1">
        <v>18.220931681561332</v>
      </c>
      <c r="BJ114" s="1">
        <v>18.937061719614178</v>
      </c>
      <c r="BK114" s="1">
        <v>19.562990975416028</v>
      </c>
      <c r="BL114" s="1">
        <v>19.573949866059117</v>
      </c>
      <c r="BM114" s="1">
        <v>20.40285367909879</v>
      </c>
      <c r="BN114" s="1">
        <v>20.652661288956594</v>
      </c>
      <c r="BO114" s="1">
        <v>21.599207657612023</v>
      </c>
      <c r="BP114" s="1">
        <v>21.571823615063604</v>
      </c>
      <c r="BQ114" s="1">
        <v>21.538796631913986</v>
      </c>
      <c r="BR114" s="1">
        <v>21.739173696562293</v>
      </c>
      <c r="BS114" s="1">
        <v>21.657932540691299</v>
      </c>
      <c r="BT114" s="1">
        <v>21.769355571063329</v>
      </c>
      <c r="BU114" s="1">
        <v>22.052736422953146</v>
      </c>
      <c r="BV114" s="1">
        <v>22.292070890470512</v>
      </c>
      <c r="BW114" s="1">
        <v>21.856330833448077</v>
      </c>
      <c r="BX114" s="1">
        <v>22.113585018460903</v>
      </c>
      <c r="BY114" s="1">
        <v>22.132356660684316</v>
      </c>
      <c r="BZ114" s="1">
        <v>22.833980266430487</v>
      </c>
      <c r="CA114" s="1">
        <v>22.349184080096201</v>
      </c>
      <c r="CB114" s="1">
        <v>22.406254946245198</v>
      </c>
      <c r="CC114" s="1">
        <v>22.599448903529101</v>
      </c>
      <c r="CD114" s="1">
        <v>23.200410515734401</v>
      </c>
      <c r="CE114" s="1">
        <v>21.564815664851601</v>
      </c>
      <c r="CF114" s="1">
        <v>21.5798067128196</v>
      </c>
      <c r="CG114" s="1">
        <v>21.869703509339001</v>
      </c>
      <c r="CH114" s="1">
        <v>22.104813252103298</v>
      </c>
      <c r="CI114" s="1">
        <v>23.611302173437501</v>
      </c>
      <c r="CJ114" s="1">
        <v>23.6889909718466</v>
      </c>
      <c r="CK114" s="1">
        <v>23.690993480681399</v>
      </c>
      <c r="CL114" s="1">
        <v>25.257052844670799</v>
      </c>
      <c r="CM114" s="1">
        <v>23.379942270463399</v>
      </c>
      <c r="CN114" s="1">
        <v>23.9070326813988</v>
      </c>
    </row>
    <row r="115" spans="1:92" x14ac:dyDescent="0.35">
      <c r="A115" t="s">
        <v>56</v>
      </c>
      <c r="B115" s="1">
        <v>8.718790704119403</v>
      </c>
      <c r="C115" s="1">
        <v>9.9297318786252582</v>
      </c>
      <c r="D115" s="1">
        <v>10.413756526193431</v>
      </c>
      <c r="E115" s="1">
        <v>10.453967242769227</v>
      </c>
      <c r="F115" s="1">
        <v>10.478439112792028</v>
      </c>
      <c r="G115" s="1">
        <v>10.464619065361912</v>
      </c>
      <c r="H115" s="1">
        <v>10.63929954999022</v>
      </c>
      <c r="I115" s="1">
        <v>10.825575860520512</v>
      </c>
      <c r="J115" s="1">
        <v>10.823570371236023</v>
      </c>
      <c r="K115" s="1">
        <v>10.862552482118284</v>
      </c>
      <c r="L115" s="1">
        <v>12.054390135482501</v>
      </c>
      <c r="M115" s="1">
        <v>12.41876441992361</v>
      </c>
      <c r="N115" s="1">
        <v>12.40993945704149</v>
      </c>
      <c r="O115" s="1">
        <v>12.49449377784606</v>
      </c>
      <c r="P115" s="1">
        <v>13.863761598036966</v>
      </c>
      <c r="Q115" s="1">
        <v>14.112345159005187</v>
      </c>
      <c r="R115" s="1">
        <v>14.115727719271419</v>
      </c>
      <c r="S115" s="1">
        <v>13.986242449568817</v>
      </c>
      <c r="T115" s="1">
        <v>14.410977635054252</v>
      </c>
      <c r="U115" s="1">
        <v>14.907105457856694</v>
      </c>
      <c r="V115" s="1">
        <v>14.855022479370199</v>
      </c>
      <c r="W115" s="1">
        <v>14.808101582014988</v>
      </c>
      <c r="X115" s="1">
        <v>14.676026183549325</v>
      </c>
      <c r="Y115" s="1">
        <v>14.678222658091773</v>
      </c>
      <c r="Z115" s="1">
        <v>14.659961524678902</v>
      </c>
      <c r="AA115" s="1">
        <v>14.721011248962899</v>
      </c>
      <c r="AB115" s="1">
        <v>15.355801038513199</v>
      </c>
      <c r="AC115" s="1">
        <v>15.714839157075428</v>
      </c>
      <c r="AD115" s="1">
        <v>15.714623315832753</v>
      </c>
      <c r="AE115" s="1">
        <v>16.080543923729895</v>
      </c>
      <c r="AF115" s="1">
        <v>15.778676318012122</v>
      </c>
      <c r="AG115" s="1">
        <v>15.811475359052418</v>
      </c>
      <c r="AH115" s="1">
        <v>15.820628911746029</v>
      </c>
      <c r="AI115" s="1">
        <v>15.497875134142783</v>
      </c>
      <c r="AJ115" s="1">
        <v>15.51198498509226</v>
      </c>
      <c r="AK115" s="1">
        <v>15.521233855280007</v>
      </c>
      <c r="AL115" s="1">
        <v>15.521089553694614</v>
      </c>
      <c r="AM115" s="1">
        <v>16.515318452978914</v>
      </c>
      <c r="AN115" s="1">
        <v>16.511282010150705</v>
      </c>
      <c r="AO115" s="1">
        <v>16.509496146440636</v>
      </c>
      <c r="AP115" s="1">
        <v>16.440562976467788</v>
      </c>
      <c r="AQ115" s="1">
        <v>16.743994113245854</v>
      </c>
      <c r="AR115" s="1">
        <v>16.728229568278522</v>
      </c>
      <c r="AS115" s="1">
        <v>16.648210672584963</v>
      </c>
      <c r="AT115" s="1">
        <v>16.636742646488095</v>
      </c>
      <c r="AU115" s="1">
        <v>16.584383523750788</v>
      </c>
      <c r="AV115" s="1">
        <v>17.128841314850547</v>
      </c>
      <c r="AW115" s="1">
        <v>17.080470895783279</v>
      </c>
      <c r="AX115" s="1">
        <v>17.070084041322474</v>
      </c>
      <c r="AY115" s="1">
        <v>17.419943121708044</v>
      </c>
      <c r="AZ115" s="1">
        <v>17.183227171688728</v>
      </c>
      <c r="BA115" s="1">
        <v>17.117240748189388</v>
      </c>
      <c r="BB115" s="1">
        <v>17.136969627766952</v>
      </c>
      <c r="BC115" s="1">
        <v>17.288925112184195</v>
      </c>
      <c r="BD115" s="1">
        <v>17.258648741829475</v>
      </c>
      <c r="BE115" s="1">
        <v>17.431788765292673</v>
      </c>
      <c r="BF115" s="1">
        <v>17.565777569044073</v>
      </c>
      <c r="BG115" s="1">
        <v>17.358622382476618</v>
      </c>
      <c r="BH115" s="1">
        <v>17.352103975068445</v>
      </c>
      <c r="BI115" s="1">
        <v>17.435198257408892</v>
      </c>
      <c r="BJ115" s="1">
        <v>17.995808536046695</v>
      </c>
      <c r="BK115" s="1">
        <v>18.6634761387079</v>
      </c>
      <c r="BL115" s="1">
        <v>18.647232706273513</v>
      </c>
      <c r="BM115" s="1">
        <v>19.289633406211944</v>
      </c>
      <c r="BN115" s="1">
        <v>19.496198568322587</v>
      </c>
      <c r="BO115" s="1">
        <v>20.407739697481453</v>
      </c>
      <c r="BP115" s="1">
        <v>20.378222445667269</v>
      </c>
      <c r="BQ115" s="1">
        <v>20.090676078045718</v>
      </c>
      <c r="BR115" s="1">
        <v>20.238004931205779</v>
      </c>
      <c r="BS115" s="1">
        <v>20.222833946942806</v>
      </c>
      <c r="BT115" s="1">
        <v>20.465666456868394</v>
      </c>
      <c r="BU115" s="1">
        <v>20.799924569705919</v>
      </c>
      <c r="BV115" s="1">
        <v>21.027057178768633</v>
      </c>
      <c r="BW115" s="1">
        <v>20.705880214660858</v>
      </c>
      <c r="BX115" s="1">
        <v>21.056549322106228</v>
      </c>
      <c r="BY115" s="1">
        <v>21.049177193943301</v>
      </c>
      <c r="BZ115" s="1">
        <v>21.625559029708242</v>
      </c>
      <c r="CA115" s="1">
        <v>21.293384220107999</v>
      </c>
      <c r="CB115" s="1">
        <v>21.339821052695399</v>
      </c>
      <c r="CC115" s="1">
        <v>21.620355861623398</v>
      </c>
      <c r="CD115" s="1">
        <v>21.812314162313999</v>
      </c>
      <c r="CE115" s="1">
        <v>20.649478644699599</v>
      </c>
      <c r="CF115" s="1">
        <v>20.781331799198298</v>
      </c>
      <c r="CG115" s="1">
        <v>21.173468994657799</v>
      </c>
      <c r="CH115" s="1">
        <v>21.370160194297799</v>
      </c>
      <c r="CI115" s="1">
        <v>21.615682197979702</v>
      </c>
      <c r="CJ115" s="1">
        <v>21.7034553119992</v>
      </c>
      <c r="CK115" s="1">
        <v>21.688263438584901</v>
      </c>
      <c r="CL115" s="1">
        <v>23.050802481791901</v>
      </c>
      <c r="CM115" s="1">
        <v>23.062096168583199</v>
      </c>
      <c r="CN115" s="1">
        <v>23.4210558151205</v>
      </c>
    </row>
    <row r="116" spans="1:92" x14ac:dyDescent="0.35">
      <c r="A116" t="s">
        <v>52</v>
      </c>
      <c r="B116" s="1">
        <v>8.7955620510469217</v>
      </c>
      <c r="C116" s="1">
        <v>8.362539776525642</v>
      </c>
      <c r="D116" s="1">
        <v>10.465243555742115</v>
      </c>
      <c r="E116" s="1">
        <v>10.614194631512676</v>
      </c>
      <c r="F116" s="1">
        <v>10.616621734985701</v>
      </c>
      <c r="G116" s="1">
        <v>10.613960682168186</v>
      </c>
      <c r="H116" s="1">
        <v>10.793987688098495</v>
      </c>
      <c r="I116" s="1">
        <v>10.906044210207023</v>
      </c>
      <c r="J116" s="1">
        <v>10.906852239904852</v>
      </c>
      <c r="K116" s="1">
        <v>10.782010452699659</v>
      </c>
      <c r="L116" s="1">
        <v>12.217165661915228</v>
      </c>
      <c r="M116" s="1">
        <v>12.36258414746198</v>
      </c>
      <c r="N116" s="1">
        <v>12.360258270838397</v>
      </c>
      <c r="O116" s="1">
        <v>12.445310674356534</v>
      </c>
      <c r="P116" s="1">
        <v>14.095631644603326</v>
      </c>
      <c r="Q116" s="1">
        <v>14.152703584874164</v>
      </c>
      <c r="R116" s="1">
        <v>14.153079824707383</v>
      </c>
      <c r="S116" s="1">
        <v>14.003967599410901</v>
      </c>
      <c r="T116" s="1">
        <v>14.596819303284724</v>
      </c>
      <c r="U116" s="1">
        <v>14.911643476026144</v>
      </c>
      <c r="V116" s="1">
        <v>14.870146525513755</v>
      </c>
      <c r="W116" s="1">
        <v>14.781273905166262</v>
      </c>
      <c r="X116" s="1">
        <v>14.784243328876759</v>
      </c>
      <c r="Y116" s="1">
        <v>14.823228012733065</v>
      </c>
      <c r="Z116" s="1">
        <v>14.832745236799127</v>
      </c>
      <c r="AA116" s="1">
        <v>14.847050729623056</v>
      </c>
      <c r="AB116" s="1">
        <v>15.45452961168559</v>
      </c>
      <c r="AC116" s="1">
        <v>15.884851395760357</v>
      </c>
      <c r="AD116" s="1">
        <v>15.87504689384529</v>
      </c>
      <c r="AE116" s="1">
        <v>16.08632467969047</v>
      </c>
      <c r="AF116" s="1">
        <v>15.920881546263145</v>
      </c>
      <c r="AG116" s="1">
        <v>15.925866694387514</v>
      </c>
      <c r="AH116" s="1">
        <v>15.912096354655018</v>
      </c>
      <c r="AI116" s="1">
        <v>15.515492902829253</v>
      </c>
      <c r="AJ116" s="1">
        <v>15.518214847731523</v>
      </c>
      <c r="AK116" s="1">
        <v>15.557317720573606</v>
      </c>
      <c r="AL116" s="1">
        <v>15.553659814030555</v>
      </c>
      <c r="AM116" s="1">
        <v>16.637069482079788</v>
      </c>
      <c r="AN116" s="1">
        <v>16.618646395043132</v>
      </c>
      <c r="AO116" s="1">
        <v>16.604178287847944</v>
      </c>
      <c r="AP116" s="1">
        <v>16.554519110353478</v>
      </c>
      <c r="AQ116" s="1">
        <v>16.807991449728043</v>
      </c>
      <c r="AR116" s="1">
        <v>16.666882849160267</v>
      </c>
      <c r="AS116" s="1">
        <v>16.646646718255596</v>
      </c>
      <c r="AT116" s="1">
        <v>16.63140663607188</v>
      </c>
      <c r="AU116" s="1">
        <v>16.687139279993914</v>
      </c>
      <c r="AV116" s="1">
        <v>16.874120144246906</v>
      </c>
      <c r="AW116" s="1">
        <v>16.844551930132461</v>
      </c>
      <c r="AX116" s="1">
        <v>16.833938800781059</v>
      </c>
      <c r="AY116" s="1">
        <v>17.134856183878846</v>
      </c>
      <c r="AZ116" s="1">
        <v>17.066468182272374</v>
      </c>
      <c r="BA116" s="1">
        <v>17.022306305967895</v>
      </c>
      <c r="BB116" s="1">
        <v>17.037741385820141</v>
      </c>
      <c r="BC116" s="1">
        <v>17.256931389056284</v>
      </c>
      <c r="BD116" s="1">
        <v>17.261779773066834</v>
      </c>
      <c r="BE116" s="1">
        <v>17.325770202326765</v>
      </c>
      <c r="BF116" s="1">
        <v>17.334622105135381</v>
      </c>
      <c r="BG116" s="1">
        <v>17.128057363793957</v>
      </c>
      <c r="BH116" s="1">
        <v>17.156388625746835</v>
      </c>
      <c r="BI116" s="1">
        <v>17.183890159632426</v>
      </c>
      <c r="BJ116" s="1">
        <v>17.865620888096117</v>
      </c>
      <c r="BK116" s="1">
        <v>18.399404240786762</v>
      </c>
      <c r="BL116" s="1">
        <v>18.517943640568507</v>
      </c>
      <c r="BM116" s="1">
        <v>19.136043142032314</v>
      </c>
      <c r="BN116" s="1">
        <v>19.398508642259166</v>
      </c>
      <c r="BO116" s="1">
        <v>20.227888866918164</v>
      </c>
      <c r="BP116" s="1">
        <v>20.202060391153545</v>
      </c>
      <c r="BQ116" s="1">
        <v>20.176947499452993</v>
      </c>
      <c r="BR116" s="1">
        <v>20.375888725241573</v>
      </c>
      <c r="BS116" s="1">
        <v>20.381553827916175</v>
      </c>
      <c r="BT116" s="1">
        <v>20.479797628509154</v>
      </c>
      <c r="BU116" s="1">
        <v>20.754595321892346</v>
      </c>
      <c r="BV116" s="1">
        <v>20.889118162082145</v>
      </c>
      <c r="BW116" s="1">
        <v>20.577439342950356</v>
      </c>
      <c r="BX116" s="1">
        <v>20.830661192784959</v>
      </c>
      <c r="BY116" s="1">
        <v>20.848199022628116</v>
      </c>
      <c r="BZ116" s="1">
        <v>21.470234621842195</v>
      </c>
      <c r="CA116" s="1">
        <v>21.312898647516</v>
      </c>
      <c r="CB116" s="1">
        <v>21.576145748286699</v>
      </c>
      <c r="CC116" s="1">
        <v>21.779017597614299</v>
      </c>
      <c r="CD116" s="1">
        <v>22.328988645276201</v>
      </c>
      <c r="CE116" s="1">
        <v>21.1282262628228</v>
      </c>
      <c r="CF116" s="1">
        <v>21.1783463970038</v>
      </c>
      <c r="CG116" s="1">
        <v>21.439494007508301</v>
      </c>
      <c r="CH116" s="1">
        <v>21.6138743204794</v>
      </c>
      <c r="CI116" s="1">
        <v>21.9578951891896</v>
      </c>
      <c r="CJ116" s="1">
        <v>22.051488588282702</v>
      </c>
      <c r="CK116" s="1">
        <v>22.035354528917999</v>
      </c>
      <c r="CL116" s="1">
        <v>23.607852923006199</v>
      </c>
      <c r="CM116" s="1">
        <v>23.372570364028299</v>
      </c>
      <c r="CN116" s="1">
        <v>23.8042099716919</v>
      </c>
    </row>
    <row r="117" spans="1:92" x14ac:dyDescent="0.35">
      <c r="A117" t="s">
        <v>69</v>
      </c>
      <c r="B117" s="1">
        <v>11.081281372235662</v>
      </c>
      <c r="C117" s="1">
        <v>12.640583262763128</v>
      </c>
      <c r="D117" s="1">
        <v>12.692721332652388</v>
      </c>
      <c r="E117" s="1">
        <v>12.691142852880622</v>
      </c>
      <c r="F117" s="1">
        <v>12.852668771212185</v>
      </c>
      <c r="G117" s="1">
        <v>12.628804898897595</v>
      </c>
      <c r="H117" s="1">
        <v>13.559819070258854</v>
      </c>
      <c r="I117" s="1">
        <v>13.520704523243431</v>
      </c>
      <c r="J117" s="1">
        <v>13.513329220854622</v>
      </c>
      <c r="K117" s="1">
        <v>13.995971055897032</v>
      </c>
      <c r="L117" s="1">
        <v>14.180988255226284</v>
      </c>
      <c r="M117" s="1">
        <v>14.198136601652235</v>
      </c>
      <c r="N117" s="1">
        <v>14.192825981993243</v>
      </c>
      <c r="O117" s="1">
        <v>15.54942611251643</v>
      </c>
      <c r="P117" s="1">
        <v>15.780515295870044</v>
      </c>
      <c r="Q117" s="1">
        <v>15.814462158618577</v>
      </c>
      <c r="R117" s="1">
        <v>15.815587782020133</v>
      </c>
      <c r="S117" s="1">
        <v>17.053696590657516</v>
      </c>
      <c r="T117" s="1">
        <v>17.409968253091872</v>
      </c>
      <c r="U117" s="1">
        <v>17.430448663234124</v>
      </c>
      <c r="V117" s="1">
        <v>17.41140220136144</v>
      </c>
      <c r="W117" s="1">
        <v>18.177467717614803</v>
      </c>
      <c r="X117" s="1">
        <v>18.203099384825698</v>
      </c>
      <c r="Y117" s="1">
        <v>18.192851055719672</v>
      </c>
      <c r="Z117" s="1">
        <v>18.019324663689304</v>
      </c>
      <c r="AA117" s="1">
        <v>18.584243023303046</v>
      </c>
      <c r="AB117" s="1">
        <v>18.615568326085189</v>
      </c>
      <c r="AC117" s="1">
        <v>19.010545361394616</v>
      </c>
      <c r="AD117" s="1">
        <v>18.99756705084015</v>
      </c>
      <c r="AE117" s="1">
        <v>19.834964418292778</v>
      </c>
      <c r="AF117" s="1">
        <v>19.709799086015153</v>
      </c>
      <c r="AG117" s="1">
        <v>19.680891727412124</v>
      </c>
      <c r="AH117" s="1">
        <v>19.646294490394531</v>
      </c>
      <c r="AI117" s="1">
        <v>20.398763032765217</v>
      </c>
      <c r="AJ117" s="1">
        <v>20.380708830698289</v>
      </c>
      <c r="AK117" s="1">
        <v>20.350335660620345</v>
      </c>
      <c r="AL117" s="1">
        <v>20.321277690720542</v>
      </c>
      <c r="AM117" s="1">
        <v>20.80354452516309</v>
      </c>
      <c r="AN117" s="1">
        <v>20.758265779601871</v>
      </c>
      <c r="AO117" s="1">
        <v>20.726459210296831</v>
      </c>
      <c r="AP117" s="1">
        <v>20.685135540455988</v>
      </c>
      <c r="AQ117" s="1">
        <v>20.719059161729948</v>
      </c>
      <c r="AR117" s="1">
        <v>20.733881922367328</v>
      </c>
      <c r="AS117" s="1">
        <v>20.712991797850115</v>
      </c>
      <c r="AT117" s="1">
        <v>20.680260486819407</v>
      </c>
      <c r="AU117" s="1">
        <v>20.62192946397964</v>
      </c>
      <c r="AV117" s="1">
        <v>20.641443581538525</v>
      </c>
      <c r="AW117" s="1">
        <v>20.614256519127231</v>
      </c>
      <c r="AX117" s="1">
        <v>20.589337441856344</v>
      </c>
      <c r="AY117" s="1">
        <v>20.682329852746228</v>
      </c>
      <c r="AZ117" s="1">
        <v>20.65636794352104</v>
      </c>
      <c r="BA117" s="1">
        <v>20.629793410345023</v>
      </c>
      <c r="BB117" s="1">
        <v>20.746357437914149</v>
      </c>
      <c r="BC117" s="1">
        <v>21.148366178319336</v>
      </c>
      <c r="BD117" s="1">
        <v>21.109496527280676</v>
      </c>
      <c r="BE117" s="1">
        <v>21.083090384782956</v>
      </c>
      <c r="BF117" s="1">
        <v>21.086870161941626</v>
      </c>
      <c r="BG117" s="1">
        <v>20.947218659300844</v>
      </c>
      <c r="BH117" s="1">
        <v>20.916440226760955</v>
      </c>
      <c r="BI117" s="1">
        <v>20.891676247882728</v>
      </c>
      <c r="BJ117" s="1">
        <v>20.99152366965285</v>
      </c>
      <c r="BK117" s="1">
        <v>21.047653272236023</v>
      </c>
      <c r="BL117" s="1">
        <v>21.023159229937651</v>
      </c>
      <c r="BM117" s="1">
        <v>21.770625873402569</v>
      </c>
      <c r="BN117" s="1">
        <v>21.822334990388551</v>
      </c>
      <c r="BO117" s="1">
        <v>22.809507039239051</v>
      </c>
      <c r="BP117" s="1">
        <v>22.778488143547079</v>
      </c>
      <c r="BQ117" s="1">
        <v>22.727277514919521</v>
      </c>
      <c r="BR117" s="1">
        <v>22.684988057079295</v>
      </c>
      <c r="BS117" s="1">
        <v>23.482671826969007</v>
      </c>
      <c r="BT117" s="1">
        <v>23.552519130088026</v>
      </c>
      <c r="BU117" s="1">
        <v>23.586813712705197</v>
      </c>
      <c r="BV117" s="1">
        <v>24.361766451964908</v>
      </c>
      <c r="BW117" s="1">
        <v>24.06513014044922</v>
      </c>
      <c r="BX117" s="1">
        <v>24.245855800929647</v>
      </c>
      <c r="BY117" s="1">
        <v>24.213682202628554</v>
      </c>
      <c r="BZ117" s="1">
        <v>24.444449441139916</v>
      </c>
      <c r="CA117" s="1">
        <v>25.251054603428301</v>
      </c>
      <c r="CB117" s="1">
        <v>25.770680538022098</v>
      </c>
      <c r="CC117" s="1">
        <v>25.78559947418</v>
      </c>
      <c r="CD117" s="1">
        <v>25.7364179117105</v>
      </c>
      <c r="CE117" s="1">
        <v>26.908983135036902</v>
      </c>
      <c r="CF117" s="1">
        <v>27.190740908800102</v>
      </c>
      <c r="CG117" s="1">
        <v>27.195300714914801</v>
      </c>
      <c r="CH117" s="1">
        <v>27.401107540147599</v>
      </c>
      <c r="CI117" s="1">
        <v>27.673551122147099</v>
      </c>
      <c r="CJ117" s="1">
        <v>27.944183953605901</v>
      </c>
      <c r="CK117" s="1">
        <v>27.782278552471201</v>
      </c>
      <c r="CL117" s="1">
        <v>29.7370041319619</v>
      </c>
      <c r="CM117" s="1">
        <v>29.451981149147102</v>
      </c>
      <c r="CN117" s="1">
        <v>29.435551433823498</v>
      </c>
    </row>
    <row r="118" spans="1:92" x14ac:dyDescent="0.35">
      <c r="A118" t="s">
        <v>70</v>
      </c>
      <c r="B118" s="1">
        <v>8.6729059479614712</v>
      </c>
      <c r="C118" s="1">
        <v>10.172772416270677</v>
      </c>
      <c r="D118" s="1">
        <v>10.169792443915869</v>
      </c>
      <c r="E118" s="1">
        <v>10.067336113454923</v>
      </c>
      <c r="F118" s="1">
        <v>11.239621294302411</v>
      </c>
      <c r="G118" s="1">
        <v>11.202968912734732</v>
      </c>
      <c r="H118" s="1">
        <v>11.215595161214111</v>
      </c>
      <c r="I118" s="1">
        <v>11.220211367060003</v>
      </c>
      <c r="J118" s="1">
        <v>11.219675089689595</v>
      </c>
      <c r="K118" s="1">
        <v>11.142607594543369</v>
      </c>
      <c r="L118" s="1">
        <v>12.552264683093133</v>
      </c>
      <c r="M118" s="1">
        <v>12.607869319060734</v>
      </c>
      <c r="N118" s="1">
        <v>12.606556230159955</v>
      </c>
      <c r="O118" s="1">
        <v>12.579062394551977</v>
      </c>
      <c r="P118" s="1">
        <v>13.54386462715105</v>
      </c>
      <c r="Q118" s="1">
        <v>13.80081018871376</v>
      </c>
      <c r="R118" s="1">
        <v>13.801824435925026</v>
      </c>
      <c r="S118" s="1">
        <v>13.80330258080077</v>
      </c>
      <c r="T118" s="1">
        <v>14.089064643024008</v>
      </c>
      <c r="U118" s="1">
        <v>14.254661303661377</v>
      </c>
      <c r="V118" s="1">
        <v>14.247238700776775</v>
      </c>
      <c r="W118" s="1">
        <v>14.046133561079394</v>
      </c>
      <c r="X118" s="1">
        <v>14.847012979245171</v>
      </c>
      <c r="Y118" s="1">
        <v>14.852163452928178</v>
      </c>
      <c r="Z118" s="1">
        <v>14.844909612323956</v>
      </c>
      <c r="AA118" s="1">
        <v>14.910830532171222</v>
      </c>
      <c r="AB118" s="1">
        <v>15.731781263461226</v>
      </c>
      <c r="AC118" s="1">
        <v>16.034113530095006</v>
      </c>
      <c r="AD118" s="1">
        <v>16.018870609954</v>
      </c>
      <c r="AE118" s="1">
        <v>16.552397238627044</v>
      </c>
      <c r="AF118" s="1">
        <v>16.222535530647971</v>
      </c>
      <c r="AG118" s="1">
        <v>16.218514098505793</v>
      </c>
      <c r="AH118" s="1">
        <v>16.20785545841921</v>
      </c>
      <c r="AI118" s="1">
        <v>16.505216014398727</v>
      </c>
      <c r="AJ118" s="1">
        <v>16.594220913560736</v>
      </c>
      <c r="AK118" s="1">
        <v>16.556954557886645</v>
      </c>
      <c r="AL118" s="1">
        <v>16.557150921222473</v>
      </c>
      <c r="AM118" s="1">
        <v>17.211770002168262</v>
      </c>
      <c r="AN118" s="1">
        <v>17.206975985561353</v>
      </c>
      <c r="AO118" s="1">
        <v>17.2277735288549</v>
      </c>
      <c r="AP118" s="1">
        <v>17.236616697830001</v>
      </c>
      <c r="AQ118" s="1">
        <v>17.051764573443318</v>
      </c>
      <c r="AR118" s="1">
        <v>17.072660614211586</v>
      </c>
      <c r="AS118" s="1">
        <v>17.070481517626039</v>
      </c>
      <c r="AT118" s="1">
        <v>16.919361771701958</v>
      </c>
      <c r="AU118" s="1">
        <v>16.959666439649997</v>
      </c>
      <c r="AV118" s="1">
        <v>17.005662726883969</v>
      </c>
      <c r="AW118" s="1">
        <v>17.010299655455448</v>
      </c>
      <c r="AX118" s="1">
        <v>17.008544386233297</v>
      </c>
      <c r="AY118" s="1">
        <v>17.2968807458737</v>
      </c>
      <c r="AZ118" s="1">
        <v>17.33777494267521</v>
      </c>
      <c r="BA118" s="1">
        <v>17.438864532700972</v>
      </c>
      <c r="BB118" s="1">
        <v>17.486476290730135</v>
      </c>
      <c r="BC118" s="1">
        <v>17.970068001528958</v>
      </c>
      <c r="BD118" s="1">
        <v>17.948029974166651</v>
      </c>
      <c r="BE118" s="1">
        <v>18.008745495370711</v>
      </c>
      <c r="BF118" s="1">
        <v>18.378471617607524</v>
      </c>
      <c r="BG118" s="1">
        <v>18.628650366651168</v>
      </c>
      <c r="BH118" s="1">
        <v>18.648931703347685</v>
      </c>
      <c r="BI118" s="1">
        <v>18.647576777613338</v>
      </c>
      <c r="BJ118" s="1">
        <v>19.123400247208792</v>
      </c>
      <c r="BK118" s="1">
        <v>19.280344885196151</v>
      </c>
      <c r="BL118" s="1">
        <v>19.259533266662274</v>
      </c>
      <c r="BM118" s="1">
        <v>20.088074969397731</v>
      </c>
      <c r="BN118" s="1">
        <v>20.185015341945288</v>
      </c>
      <c r="BO118" s="1">
        <v>21.275990824742887</v>
      </c>
      <c r="BP118" s="1">
        <v>21.280210933056249</v>
      </c>
      <c r="BQ118" s="1">
        <v>21.258319845080688</v>
      </c>
      <c r="BR118" s="1">
        <v>21.326905269548764</v>
      </c>
      <c r="BS118" s="1">
        <v>21.427372594729427</v>
      </c>
      <c r="BT118" s="1">
        <v>21.625832831588014</v>
      </c>
      <c r="BU118" s="1">
        <v>21.662310164103744</v>
      </c>
      <c r="BV118" s="1">
        <v>22.203004131196096</v>
      </c>
      <c r="BW118" s="1">
        <v>22.134174520939276</v>
      </c>
      <c r="BX118" s="1">
        <v>22.295907588123114</v>
      </c>
      <c r="BY118" s="1">
        <v>22.268337558884113</v>
      </c>
      <c r="BZ118" s="1">
        <v>23.023675096227663</v>
      </c>
      <c r="CA118" s="1">
        <v>21.935385721282799</v>
      </c>
      <c r="CB118" s="1">
        <v>22.625971323168901</v>
      </c>
      <c r="CC118" s="1">
        <v>22.8015856416093</v>
      </c>
      <c r="CD118" s="1">
        <v>22.643195866008099</v>
      </c>
      <c r="CE118" s="1">
        <v>23.151075775947699</v>
      </c>
      <c r="CF118" s="1">
        <v>23.5741295533265</v>
      </c>
      <c r="CG118" s="1">
        <v>24.069897986905598</v>
      </c>
      <c r="CH118" s="1">
        <v>24.321457167511898</v>
      </c>
      <c r="CI118" s="1">
        <v>24.1245371934452</v>
      </c>
      <c r="CJ118" s="1">
        <v>24.2139346111984</v>
      </c>
      <c r="CK118" s="1">
        <v>24.212470136531699</v>
      </c>
      <c r="CL118" s="1">
        <v>25.9240597422645</v>
      </c>
      <c r="CM118" s="1">
        <v>25.5775529896598</v>
      </c>
      <c r="CN118" s="1">
        <v>25.7461100854322</v>
      </c>
    </row>
    <row r="119" spans="1:92" x14ac:dyDescent="0.35">
      <c r="A119" t="s">
        <v>58</v>
      </c>
      <c r="B119" s="1">
        <v>10.189864487286952</v>
      </c>
      <c r="C119" s="1">
        <v>9.8282773831081371</v>
      </c>
      <c r="D119" s="1">
        <v>12.669296473096356</v>
      </c>
      <c r="E119" s="1">
        <v>12.712936846004258</v>
      </c>
      <c r="F119" s="1">
        <v>12.712333641404804</v>
      </c>
      <c r="G119" s="1">
        <v>12.740588154079802</v>
      </c>
      <c r="H119" s="1">
        <v>12.803473882655879</v>
      </c>
      <c r="I119" s="1">
        <v>12.997127610846466</v>
      </c>
      <c r="J119" s="1">
        <v>12.995376123352038</v>
      </c>
      <c r="K119" s="1">
        <v>12.71512914961346</v>
      </c>
      <c r="L119" s="1">
        <v>13.78312199546485</v>
      </c>
      <c r="M119" s="1">
        <v>14.139195859512725</v>
      </c>
      <c r="N119" s="1">
        <v>14.135507775524001</v>
      </c>
      <c r="O119" s="1">
        <v>14.235076397627182</v>
      </c>
      <c r="P119" s="1">
        <v>15.473392119906663</v>
      </c>
      <c r="Q119" s="1">
        <v>15.613549725605676</v>
      </c>
      <c r="R119" s="1">
        <v>15.604530764449972</v>
      </c>
      <c r="S119" s="1">
        <v>15.464068298285918</v>
      </c>
      <c r="T119" s="1">
        <v>15.478627138877835</v>
      </c>
      <c r="U119" s="1">
        <v>15.989268496893311</v>
      </c>
      <c r="V119" s="1">
        <v>15.958099652884576</v>
      </c>
      <c r="W119" s="1">
        <v>15.703341962091963</v>
      </c>
      <c r="X119" s="1">
        <v>16.200836798109329</v>
      </c>
      <c r="Y119" s="1">
        <v>16.204808238946953</v>
      </c>
      <c r="Z119" s="1">
        <v>16.200586567815087</v>
      </c>
      <c r="AA119" s="1">
        <v>16.415373160248343</v>
      </c>
      <c r="AB119" s="1">
        <v>17.317973657987089</v>
      </c>
      <c r="AC119" s="1">
        <v>17.701315766701281</v>
      </c>
      <c r="AD119" s="1">
        <v>17.671091222773345</v>
      </c>
      <c r="AE119" s="1">
        <v>17.745062342656382</v>
      </c>
      <c r="AF119" s="1">
        <v>17.161834596729637</v>
      </c>
      <c r="AG119" s="1">
        <v>17.175726374413003</v>
      </c>
      <c r="AH119" s="1">
        <v>17.183073980898904</v>
      </c>
      <c r="AI119" s="1">
        <v>16.760680809406921</v>
      </c>
      <c r="AJ119" s="1">
        <v>16.76340219348198</v>
      </c>
      <c r="AK119" s="1">
        <v>16.761274005850201</v>
      </c>
      <c r="AL119" s="1">
        <v>16.809166519170759</v>
      </c>
      <c r="AM119" s="1">
        <v>17.722967091111194</v>
      </c>
      <c r="AN119" s="1">
        <v>17.719198422727573</v>
      </c>
      <c r="AO119" s="1">
        <v>17.70832714834674</v>
      </c>
      <c r="AP119" s="1">
        <v>17.702870167330751</v>
      </c>
      <c r="AQ119" s="1">
        <v>17.896323054768125</v>
      </c>
      <c r="AR119" s="1">
        <v>17.880057170660365</v>
      </c>
      <c r="AS119" s="1">
        <v>17.881462915709392</v>
      </c>
      <c r="AT119" s="1">
        <v>17.870460980521088</v>
      </c>
      <c r="AU119" s="1">
        <v>17.941330575988722</v>
      </c>
      <c r="AV119" s="1">
        <v>18.081845521009054</v>
      </c>
      <c r="AW119" s="1">
        <v>18.191928270590541</v>
      </c>
      <c r="AX119" s="1">
        <v>18.184080332995723</v>
      </c>
      <c r="AY119" s="1">
        <v>18.521097876852551</v>
      </c>
      <c r="AZ119" s="1">
        <v>18.496827621541563</v>
      </c>
      <c r="BA119" s="1">
        <v>18.651911367077666</v>
      </c>
      <c r="BB119" s="1">
        <v>18.646623972021828</v>
      </c>
      <c r="BC119" s="1">
        <v>18.832476640759349</v>
      </c>
      <c r="BD119" s="1">
        <v>18.76944689064101</v>
      </c>
      <c r="BE119" s="1">
        <v>18.773851941234231</v>
      </c>
      <c r="BF119" s="1">
        <v>18.801999713053636</v>
      </c>
      <c r="BG119" s="1">
        <v>18.395361724602147</v>
      </c>
      <c r="BH119" s="1">
        <v>18.333606551541237</v>
      </c>
      <c r="BI119" s="1">
        <v>18.311011126396458</v>
      </c>
      <c r="BJ119" s="1">
        <v>18.903582423499252</v>
      </c>
      <c r="BK119" s="1">
        <v>19.572964258860537</v>
      </c>
      <c r="BL119" s="1">
        <v>19.497561087240619</v>
      </c>
      <c r="BM119" s="1">
        <v>20.223742600153287</v>
      </c>
      <c r="BN119" s="1">
        <v>20.331325062173917</v>
      </c>
      <c r="BO119" s="1">
        <v>21.453815983049044</v>
      </c>
      <c r="BP119" s="1">
        <v>21.416859504961582</v>
      </c>
      <c r="BQ119" s="1">
        <v>21.361201719160245</v>
      </c>
      <c r="BR119" s="1">
        <v>21.461839714700194</v>
      </c>
      <c r="BS119" s="1">
        <v>21.171723875432519</v>
      </c>
      <c r="BT119" s="1">
        <v>21.649646937504301</v>
      </c>
      <c r="BU119" s="1">
        <v>21.766598102405482</v>
      </c>
      <c r="BV119" s="1">
        <v>21.823143309233899</v>
      </c>
      <c r="BW119" s="1">
        <v>21.309911754071862</v>
      </c>
      <c r="BX119" s="1">
        <v>21.62769682314039</v>
      </c>
      <c r="BY119" s="1">
        <v>21.622920861582685</v>
      </c>
      <c r="BZ119" s="1">
        <v>22.288491646041308</v>
      </c>
      <c r="CA119" s="1">
        <v>22.043190758573601</v>
      </c>
      <c r="CB119" s="1">
        <v>22.385223962862302</v>
      </c>
      <c r="CC119" s="1">
        <v>22.513651056680299</v>
      </c>
      <c r="CD119" s="1">
        <v>22.784465756616999</v>
      </c>
      <c r="CE119" s="1">
        <v>21.274753512314302</v>
      </c>
      <c r="CF119" s="1">
        <v>21.436045786743499</v>
      </c>
      <c r="CG119" s="1">
        <v>21.843185825055201</v>
      </c>
      <c r="CH119" s="1">
        <v>22.089434770510799</v>
      </c>
      <c r="CI119" s="1">
        <v>23.313859537888</v>
      </c>
      <c r="CJ119" s="1">
        <v>23.403970662384602</v>
      </c>
      <c r="CK119" s="1">
        <v>23.414437731938602</v>
      </c>
      <c r="CL119" s="1">
        <v>24.869230427738302</v>
      </c>
      <c r="CM119" s="1">
        <v>23.4723891027086</v>
      </c>
      <c r="CN119" s="1">
        <v>23.766618733989699</v>
      </c>
    </row>
    <row r="120" spans="1:92" x14ac:dyDescent="0.35">
      <c r="A120" t="s">
        <v>55</v>
      </c>
      <c r="B120" s="1">
        <v>8.431518137586993</v>
      </c>
      <c r="C120" s="1">
        <v>8.3729561953980571</v>
      </c>
      <c r="D120" s="1">
        <v>10.373567096635167</v>
      </c>
      <c r="E120" s="1">
        <v>10.635700767499923</v>
      </c>
      <c r="F120" s="1">
        <v>10.641997090413842</v>
      </c>
      <c r="G120" s="1">
        <v>10.298032122299931</v>
      </c>
      <c r="H120" s="1">
        <v>10.467890932779104</v>
      </c>
      <c r="I120" s="1">
        <v>10.576854131142456</v>
      </c>
      <c r="J120" s="1">
        <v>10.574212575312833</v>
      </c>
      <c r="K120" s="1">
        <v>10.687628100446775</v>
      </c>
      <c r="L120" s="1">
        <v>11.956481840864987</v>
      </c>
      <c r="M120" s="1">
        <v>12.004083821263484</v>
      </c>
      <c r="N120" s="1">
        <v>12.000522415595592</v>
      </c>
      <c r="O120" s="1">
        <v>12.184579393343977</v>
      </c>
      <c r="P120" s="1">
        <v>13.579965641009906</v>
      </c>
      <c r="Q120" s="1">
        <v>14.018557556821666</v>
      </c>
      <c r="R120" s="1">
        <v>14.017096389957853</v>
      </c>
      <c r="S120" s="1">
        <v>13.890734944894358</v>
      </c>
      <c r="T120" s="1">
        <v>14.386900974075548</v>
      </c>
      <c r="U120" s="1">
        <v>14.678069714913626</v>
      </c>
      <c r="V120" s="1">
        <v>14.637580827354608</v>
      </c>
      <c r="W120" s="1">
        <v>14.492953323558163</v>
      </c>
      <c r="X120" s="1">
        <v>14.491773687258101</v>
      </c>
      <c r="Y120" s="1">
        <v>14.517479654972719</v>
      </c>
      <c r="Z120" s="1">
        <v>14.514924431714304</v>
      </c>
      <c r="AA120" s="1">
        <v>14.549776389946688</v>
      </c>
      <c r="AB120" s="1">
        <v>15.129266311787076</v>
      </c>
      <c r="AC120" s="1">
        <v>15.533287812889691</v>
      </c>
      <c r="AD120" s="1">
        <v>15.548159261396419</v>
      </c>
      <c r="AE120" s="1">
        <v>15.793674945963611</v>
      </c>
      <c r="AF120" s="1">
        <v>15.770449631482848</v>
      </c>
      <c r="AG120" s="1">
        <v>15.802540108861745</v>
      </c>
      <c r="AH120" s="1">
        <v>15.811457162165404</v>
      </c>
      <c r="AI120" s="1">
        <v>15.627992850500108</v>
      </c>
      <c r="AJ120" s="1">
        <v>15.648759096820273</v>
      </c>
      <c r="AK120" s="1">
        <v>15.684092953174099</v>
      </c>
      <c r="AL120" s="1">
        <v>15.688934605284528</v>
      </c>
      <c r="AM120" s="1">
        <v>16.913302943172223</v>
      </c>
      <c r="AN120" s="1">
        <v>16.900895276490971</v>
      </c>
      <c r="AO120" s="1">
        <v>16.895574526025218</v>
      </c>
      <c r="AP120" s="1">
        <v>16.832752094457362</v>
      </c>
      <c r="AQ120" s="1">
        <v>17.197848337340879</v>
      </c>
      <c r="AR120" s="1">
        <v>17.100033593847197</v>
      </c>
      <c r="AS120" s="1">
        <v>17.098422302240909</v>
      </c>
      <c r="AT120" s="1">
        <v>17.077389814949839</v>
      </c>
      <c r="AU120" s="1">
        <v>17.21815097557133</v>
      </c>
      <c r="AV120" s="1">
        <v>17.402891335982403</v>
      </c>
      <c r="AW120" s="1">
        <v>17.357122634575642</v>
      </c>
      <c r="AX120" s="1">
        <v>17.347629613850323</v>
      </c>
      <c r="AY120" s="1">
        <v>17.686747697048169</v>
      </c>
      <c r="AZ120" s="1">
        <v>17.618921756539855</v>
      </c>
      <c r="BA120" s="1">
        <v>18.174340307367352</v>
      </c>
      <c r="BB120" s="1">
        <v>18.172583655699796</v>
      </c>
      <c r="BC120" s="1">
        <v>18.420335974442516</v>
      </c>
      <c r="BD120" s="1">
        <v>18.373768742359637</v>
      </c>
      <c r="BE120" s="1">
        <v>18.394013902849942</v>
      </c>
      <c r="BF120" s="1">
        <v>18.06241326729036</v>
      </c>
      <c r="BG120" s="1">
        <v>18.023102922926661</v>
      </c>
      <c r="BH120" s="1">
        <v>18.746003322176769</v>
      </c>
      <c r="BI120" s="1">
        <v>18.713123562188876</v>
      </c>
      <c r="BJ120" s="1">
        <v>19.180723187405853</v>
      </c>
      <c r="BK120" s="1">
        <v>19.658336337110807</v>
      </c>
      <c r="BL120" s="1">
        <v>19.676078684561542</v>
      </c>
      <c r="BM120" s="1">
        <v>20.269409160321125</v>
      </c>
      <c r="BN120" s="1">
        <v>20.392728735049861</v>
      </c>
      <c r="BO120" s="1">
        <v>21.31473764186179</v>
      </c>
      <c r="BP120" s="1">
        <v>21.292784720678618</v>
      </c>
      <c r="BQ120" s="1">
        <v>21.271698827705301</v>
      </c>
      <c r="BR120" s="1">
        <v>21.335659506732121</v>
      </c>
      <c r="BS120" s="1">
        <v>21.473537501480401</v>
      </c>
      <c r="BT120" s="1">
        <v>21.659049890645889</v>
      </c>
      <c r="BU120" s="1">
        <v>21.675080424923792</v>
      </c>
      <c r="BV120" s="1">
        <v>21.96119949183953</v>
      </c>
      <c r="BW120" s="1">
        <v>21.552273370599622</v>
      </c>
      <c r="BX120" s="1">
        <v>21.822108161616214</v>
      </c>
      <c r="BY120" s="1">
        <v>21.810641332789061</v>
      </c>
      <c r="BZ120" s="1">
        <v>22.418815172183827</v>
      </c>
      <c r="CA120" s="1">
        <v>22.051148589672501</v>
      </c>
      <c r="CB120" s="1">
        <v>22.5343752056651</v>
      </c>
      <c r="CC120" s="1">
        <v>22.763991536562202</v>
      </c>
      <c r="CD120" s="1">
        <v>23.070015832180101</v>
      </c>
      <c r="CE120" s="1">
        <v>22.001669264310699</v>
      </c>
      <c r="CF120" s="1">
        <v>21.951228114915601</v>
      </c>
      <c r="CG120" s="1">
        <v>22.212781015266899</v>
      </c>
      <c r="CH120" s="1">
        <v>22.402365714475899</v>
      </c>
      <c r="CI120" s="1">
        <v>22.523523387231201</v>
      </c>
      <c r="CJ120" s="1">
        <v>22.657218674991199</v>
      </c>
      <c r="CK120" s="1">
        <v>22.614785088165</v>
      </c>
      <c r="CL120" s="1">
        <v>24.292570502143601</v>
      </c>
      <c r="CM120" s="1">
        <v>24.160948963905501</v>
      </c>
      <c r="CN120" s="1">
        <v>24.383068618144399</v>
      </c>
    </row>
    <row r="121" spans="1:92" x14ac:dyDescent="0.35">
      <c r="A121" t="s">
        <v>62</v>
      </c>
      <c r="B121" s="1">
        <v>10.110000000000001</v>
      </c>
      <c r="C121" s="1">
        <v>10.110000000000001</v>
      </c>
      <c r="D121" s="1">
        <v>9.6710725246325318</v>
      </c>
      <c r="E121" s="1">
        <v>11.729115977291158</v>
      </c>
      <c r="F121" s="1">
        <v>11.677818329278182</v>
      </c>
      <c r="G121" s="1">
        <v>10.966933797660637</v>
      </c>
      <c r="H121" s="1">
        <v>11.040834868963415</v>
      </c>
      <c r="I121" s="1">
        <v>11.526347912165477</v>
      </c>
      <c r="J121" s="1">
        <v>11.520691530601031</v>
      </c>
      <c r="K121" s="1">
        <v>11.445219638274363</v>
      </c>
      <c r="L121" s="1">
        <v>11.437244449448272</v>
      </c>
      <c r="M121" s="1">
        <v>11.428331162808309</v>
      </c>
      <c r="N121" s="1">
        <v>11.730707902782935</v>
      </c>
      <c r="O121" s="1">
        <v>11.910432724733919</v>
      </c>
      <c r="P121" s="1">
        <v>12.151177202777866</v>
      </c>
      <c r="Q121" s="1">
        <v>12.704587016202684</v>
      </c>
      <c r="R121" s="1">
        <v>12.704289899201214</v>
      </c>
      <c r="S121" s="1">
        <v>12.373922481050302</v>
      </c>
      <c r="T121" s="1">
        <v>12.603740888837892</v>
      </c>
      <c r="U121" s="1">
        <v>12.61160855466086</v>
      </c>
      <c r="V121" s="1">
        <v>12.667487638832148</v>
      </c>
      <c r="W121" s="1">
        <v>14.302107465309353</v>
      </c>
      <c r="X121" s="1">
        <v>14.233245125592701</v>
      </c>
      <c r="Y121" s="1">
        <v>14.224656857073464</v>
      </c>
      <c r="Z121" s="1">
        <v>14.211499117174368</v>
      </c>
      <c r="AA121" s="1">
        <v>13.988343307997686</v>
      </c>
      <c r="AB121" s="1">
        <v>14.101420838239354</v>
      </c>
      <c r="AC121" s="1">
        <v>14.889459684364153</v>
      </c>
      <c r="AD121" s="1">
        <v>14.889914834108881</v>
      </c>
      <c r="AE121" s="1">
        <v>14.641718759061336</v>
      </c>
      <c r="AF121" s="1">
        <v>15.373979886319288</v>
      </c>
      <c r="AG121" s="1">
        <v>15.3626908528309</v>
      </c>
      <c r="AH121" s="1">
        <v>15.352197478870421</v>
      </c>
      <c r="AI121" s="1">
        <v>15.173681579889964</v>
      </c>
      <c r="AJ121" s="1">
        <v>15.723831782582019</v>
      </c>
      <c r="AK121" s="1">
        <v>15.686413150076154</v>
      </c>
      <c r="AL121" s="1">
        <v>15.681566888776752</v>
      </c>
      <c r="AM121" s="1">
        <v>15.285665874444369</v>
      </c>
      <c r="AN121" s="1">
        <v>15.629736749368224</v>
      </c>
      <c r="AO121" s="1">
        <v>15.697803620180984</v>
      </c>
      <c r="AP121" s="1">
        <v>15.694183416698735</v>
      </c>
      <c r="AQ121" s="1">
        <v>15.490276674841169</v>
      </c>
      <c r="AR121" s="1">
        <v>15.48825569998699</v>
      </c>
      <c r="AS121" s="1">
        <v>15.479330890866319</v>
      </c>
      <c r="AT121" s="1">
        <v>15.464304911403524</v>
      </c>
      <c r="AU121" s="1">
        <v>15.265545585233138</v>
      </c>
      <c r="AV121" s="1">
        <v>15.25697134475223</v>
      </c>
      <c r="AW121" s="1">
        <v>15.245624844648447</v>
      </c>
      <c r="AX121" s="1">
        <v>15.238686145851467</v>
      </c>
      <c r="AY121" s="1">
        <v>16.012323652485026</v>
      </c>
      <c r="AZ121" s="1">
        <v>16.420551360129704</v>
      </c>
      <c r="BA121" s="1">
        <v>16.403026045988781</v>
      </c>
      <c r="BB121" s="1">
        <v>16.604490381078794</v>
      </c>
      <c r="BC121" s="1">
        <v>16.454472866869772</v>
      </c>
      <c r="BD121" s="1">
        <v>16.426091109459829</v>
      </c>
      <c r="BE121" s="1">
        <v>16.740115875004314</v>
      </c>
      <c r="BF121" s="1">
        <v>16.904847612099893</v>
      </c>
      <c r="BG121" s="1">
        <v>16.96555452379182</v>
      </c>
      <c r="BH121" s="1">
        <v>16.969957352451292</v>
      </c>
      <c r="BI121" s="1">
        <v>16.973135704145264</v>
      </c>
      <c r="BJ121" s="1">
        <v>17.682655618430967</v>
      </c>
      <c r="BK121" s="1">
        <v>17.49399436202668</v>
      </c>
      <c r="BL121" s="1">
        <v>17.598684211591912</v>
      </c>
      <c r="BM121" s="1">
        <v>18.147617330968249</v>
      </c>
      <c r="BN121" s="1">
        <v>18.259962330067733</v>
      </c>
      <c r="BO121" s="1">
        <v>18.735352625520498</v>
      </c>
      <c r="BP121" s="1">
        <v>18.749143700240666</v>
      </c>
      <c r="BQ121" s="1">
        <v>18.736970211604756</v>
      </c>
      <c r="BR121" s="1">
        <v>18.829295948516709</v>
      </c>
      <c r="BS121" s="1">
        <v>19.091963431544386</v>
      </c>
      <c r="BT121" s="1">
        <v>19.163479717010595</v>
      </c>
      <c r="BU121" s="1">
        <v>19.462544229593682</v>
      </c>
      <c r="BV121" s="1">
        <v>19.85735894425121</v>
      </c>
      <c r="BW121" s="1">
        <v>19.990104589796651</v>
      </c>
      <c r="BX121" s="1">
        <v>19.849632954932382</v>
      </c>
      <c r="BY121" s="1">
        <v>19.867142580387252</v>
      </c>
      <c r="BZ121" s="1">
        <v>20.309866030760617</v>
      </c>
      <c r="CA121" s="1">
        <v>19.763579315146199</v>
      </c>
      <c r="CB121" s="1">
        <v>19.8970908102233</v>
      </c>
      <c r="CC121" s="1">
        <v>20.128676478181799</v>
      </c>
      <c r="CD121" s="1">
        <v>20.462778586451599</v>
      </c>
      <c r="CE121" s="1">
        <v>21.459180848662999</v>
      </c>
      <c r="CF121" s="1">
        <v>21.717281535721899</v>
      </c>
      <c r="CG121" s="1">
        <v>22.199054219645301</v>
      </c>
      <c r="CH121" s="1">
        <v>22.5940444873325</v>
      </c>
      <c r="CI121" s="1">
        <v>23.906617719108301</v>
      </c>
      <c r="CJ121" s="1">
        <v>23.984339987453399</v>
      </c>
      <c r="CK121" s="1">
        <v>24.0162478519667</v>
      </c>
      <c r="CL121" s="1">
        <v>24.774804234117799</v>
      </c>
      <c r="CM121" s="1">
        <v>25.615198710697602</v>
      </c>
      <c r="CN121" s="1">
        <v>25.803592875528601</v>
      </c>
    </row>
    <row r="122" spans="1:92" x14ac:dyDescent="0.35">
      <c r="A122" t="s">
        <v>64</v>
      </c>
      <c r="B122" s="1">
        <v>12.609095328112341</v>
      </c>
      <c r="C122" s="1">
        <v>12.342479554237439</v>
      </c>
      <c r="D122" s="1">
        <v>12.33736818467619</v>
      </c>
      <c r="E122" s="1">
        <v>13.123076715531973</v>
      </c>
      <c r="F122" s="1">
        <v>13.12597465271514</v>
      </c>
      <c r="G122" s="1">
        <v>13.128250124024717</v>
      </c>
      <c r="H122" s="1">
        <v>13.205824971878517</v>
      </c>
      <c r="I122" s="1">
        <v>13.7865098161421</v>
      </c>
      <c r="J122" s="1">
        <v>13.788870177314447</v>
      </c>
      <c r="K122" s="1">
        <v>13.75796909298446</v>
      </c>
      <c r="L122" s="1">
        <v>13.924772717252328</v>
      </c>
      <c r="M122" s="1">
        <v>13.920178901912401</v>
      </c>
      <c r="N122" s="1">
        <v>13.911855670103094</v>
      </c>
      <c r="O122" s="1">
        <v>14.017409837509362</v>
      </c>
      <c r="P122" s="1">
        <v>14.020647466149164</v>
      </c>
      <c r="Q122" s="1">
        <v>14.037429608641762</v>
      </c>
      <c r="R122" s="1">
        <v>14.03964221432021</v>
      </c>
      <c r="S122" s="1">
        <v>13.49127602565229</v>
      </c>
      <c r="T122" s="1">
        <v>13.48977412280702</v>
      </c>
      <c r="U122" s="1">
        <v>13.985583212608102</v>
      </c>
      <c r="V122" s="1">
        <v>14.150688853810401</v>
      </c>
      <c r="W122" s="1">
        <v>12.779483848314603</v>
      </c>
      <c r="X122" s="1">
        <v>12.847457478520075</v>
      </c>
      <c r="Y122" s="1">
        <v>12.84768845765465</v>
      </c>
      <c r="Z122" s="1">
        <v>12.847624736472243</v>
      </c>
      <c r="AA122" s="1">
        <v>15.735716234051916</v>
      </c>
      <c r="AB122" s="1">
        <v>15.805924317617867</v>
      </c>
      <c r="AC122" s="1">
        <v>16.156607102970739</v>
      </c>
      <c r="AD122" s="1">
        <v>16.15603469862279</v>
      </c>
      <c r="AE122" s="1">
        <v>16.074910482383416</v>
      </c>
      <c r="AF122" s="1">
        <v>16.091766734565855</v>
      </c>
      <c r="AG122" s="1">
        <v>16.119180551481207</v>
      </c>
      <c r="AH122" s="1">
        <v>16.11827892070103</v>
      </c>
      <c r="AI122" s="1">
        <v>16.124255137272009</v>
      </c>
      <c r="AJ122" s="1">
        <v>16.179326850677718</v>
      </c>
      <c r="AK122" s="1">
        <v>16.146929125420023</v>
      </c>
      <c r="AL122" s="1">
        <v>16.136315303458531</v>
      </c>
      <c r="AM122" s="1">
        <v>16.138888909500011</v>
      </c>
      <c r="AN122" s="1">
        <v>16.213648532352394</v>
      </c>
      <c r="AO122" s="1">
        <v>16.216686110110111</v>
      </c>
      <c r="AP122" s="1">
        <v>16.902345891300179</v>
      </c>
      <c r="AQ122" s="1">
        <v>16.122633575480101</v>
      </c>
      <c r="AR122" s="1">
        <v>16.175533916044706</v>
      </c>
      <c r="AS122" s="1">
        <v>16.171190160006827</v>
      </c>
      <c r="AT122" s="1">
        <v>16.559019928174223</v>
      </c>
      <c r="AU122" s="1">
        <v>17.57961709440022</v>
      </c>
      <c r="AV122" s="1">
        <v>17.511861184723379</v>
      </c>
      <c r="AW122" s="1">
        <v>17.532667036160632</v>
      </c>
      <c r="AX122" s="1">
        <v>17.529907159090662</v>
      </c>
      <c r="AY122" s="1">
        <v>17.584006292389919</v>
      </c>
      <c r="AZ122" s="1">
        <v>17.62363242472588</v>
      </c>
      <c r="BA122" s="1">
        <v>17.717236348226276</v>
      </c>
      <c r="BB122" s="1">
        <v>17.713726752866602</v>
      </c>
      <c r="BC122" s="1">
        <v>17.719676588530838</v>
      </c>
      <c r="BD122" s="1">
        <v>17.768166385406467</v>
      </c>
      <c r="BE122" s="1">
        <v>18.138939849257035</v>
      </c>
      <c r="BF122" s="1">
        <v>18.165504984861776</v>
      </c>
      <c r="BG122" s="1">
        <v>18.195016196302007</v>
      </c>
      <c r="BH122" s="1">
        <v>17.529915796203703</v>
      </c>
      <c r="BI122" s="1">
        <v>17.986790045760635</v>
      </c>
      <c r="BJ122" s="1">
        <v>18.06434345972982</v>
      </c>
      <c r="BK122" s="1">
        <v>18.113034201350562</v>
      </c>
      <c r="BL122" s="1">
        <v>18.040920444754089</v>
      </c>
      <c r="BM122" s="1">
        <v>18.181699408357257</v>
      </c>
      <c r="BN122" s="1">
        <v>18.949726630111773</v>
      </c>
      <c r="BO122" s="1">
        <v>19.115128736340981</v>
      </c>
      <c r="BP122" s="1">
        <v>19.155512523302949</v>
      </c>
      <c r="BQ122" s="1">
        <v>19.081669906050305</v>
      </c>
      <c r="BR122" s="1">
        <v>19.097207483658668</v>
      </c>
      <c r="BS122" s="1">
        <v>19.920806142973777</v>
      </c>
      <c r="BT122" s="1">
        <v>19.908429366353889</v>
      </c>
      <c r="BU122" s="1">
        <v>20.167245287781181</v>
      </c>
      <c r="BV122" s="1">
        <v>20.411043914315837</v>
      </c>
      <c r="BW122" s="1">
        <v>19.83365362758494</v>
      </c>
      <c r="BX122" s="1">
        <v>19.885766232768848</v>
      </c>
      <c r="BY122" s="1">
        <v>20.134949875977565</v>
      </c>
      <c r="BZ122" s="1">
        <v>20.34553705123815</v>
      </c>
      <c r="CA122" s="1">
        <v>21.710839982904801</v>
      </c>
      <c r="CB122" s="1">
        <v>21.8748412120548</v>
      </c>
      <c r="CC122" s="1">
        <v>21.909403515944401</v>
      </c>
      <c r="CD122" s="1">
        <v>22.051738145889999</v>
      </c>
      <c r="CE122" s="1">
        <v>22.386130301205402</v>
      </c>
      <c r="CF122" s="1">
        <v>22.659419324915302</v>
      </c>
      <c r="CG122" s="1">
        <v>22.945282139625501</v>
      </c>
      <c r="CH122" s="1">
        <v>23.298741688729301</v>
      </c>
      <c r="CI122" s="1">
        <v>23.908268231796601</v>
      </c>
      <c r="CJ122" s="1">
        <v>23.992075469792699</v>
      </c>
      <c r="CK122" s="1">
        <v>23.9391179416981</v>
      </c>
      <c r="CL122" s="1">
        <v>25.999985238072501</v>
      </c>
      <c r="CM122" s="1">
        <v>25.202971865016099</v>
      </c>
      <c r="CN122" s="1">
        <v>25.257160557228399</v>
      </c>
    </row>
    <row r="123" spans="1:92" x14ac:dyDescent="0.35">
      <c r="A123" t="s">
        <v>63</v>
      </c>
      <c r="B123" s="1">
        <v>12.691654964443241</v>
      </c>
      <c r="C123" s="1">
        <v>12.412213984002875</v>
      </c>
      <c r="D123" s="1">
        <v>12.404712566244498</v>
      </c>
      <c r="E123" s="1">
        <v>12.41881464160446</v>
      </c>
      <c r="F123" s="1">
        <v>12.420130344578748</v>
      </c>
      <c r="G123" s="1">
        <v>12.421159518333109</v>
      </c>
      <c r="H123" s="1">
        <v>12.505885714285714</v>
      </c>
      <c r="I123" s="1">
        <v>13.023065485464986</v>
      </c>
      <c r="J123" s="1">
        <v>13.024680566693402</v>
      </c>
      <c r="K123" s="1">
        <v>13.005429800684876</v>
      </c>
      <c r="L123" s="1">
        <v>13.186750584189411</v>
      </c>
      <c r="M123" s="1">
        <v>13.182389618401341</v>
      </c>
      <c r="N123" s="1">
        <v>13.283663758921492</v>
      </c>
      <c r="O123" s="1">
        <v>13.291081949887708</v>
      </c>
      <c r="P123" s="1">
        <v>13.294122524588719</v>
      </c>
      <c r="Q123" s="1">
        <v>13.313136178501857</v>
      </c>
      <c r="R123" s="1">
        <v>13.314254796084111</v>
      </c>
      <c r="S123" s="1">
        <v>12.94589036282175</v>
      </c>
      <c r="T123" s="1">
        <v>12.941456578947367</v>
      </c>
      <c r="U123" s="1">
        <v>13.278871328855526</v>
      </c>
      <c r="V123" s="1">
        <v>13.469248004910991</v>
      </c>
      <c r="W123" s="1">
        <v>12.562487710674157</v>
      </c>
      <c r="X123" s="1">
        <v>12.629980273540243</v>
      </c>
      <c r="Y123" s="1">
        <v>12.630291961188918</v>
      </c>
      <c r="Z123" s="1">
        <v>12.630208186929023</v>
      </c>
      <c r="AA123" s="1">
        <v>15.73571623405191</v>
      </c>
      <c r="AB123" s="1">
        <v>15.804880804679193</v>
      </c>
      <c r="AC123" s="1">
        <v>16.15732320750503</v>
      </c>
      <c r="AD123" s="1">
        <v>16.156778304417816</v>
      </c>
      <c r="AE123" s="1">
        <v>16.074910482383423</v>
      </c>
      <c r="AF123" s="1">
        <v>16.091766734565851</v>
      </c>
      <c r="AG123" s="1">
        <v>16.119180551481204</v>
      </c>
      <c r="AH123" s="1">
        <v>16.118278920701037</v>
      </c>
      <c r="AI123" s="1">
        <v>16.125527476227006</v>
      </c>
      <c r="AJ123" s="1">
        <v>16.180599189632719</v>
      </c>
      <c r="AK123" s="1">
        <v>16.148201464375024</v>
      </c>
      <c r="AL123" s="1">
        <v>16.137587642413528</v>
      </c>
      <c r="AM123" s="1">
        <v>16.140130589685015</v>
      </c>
      <c r="AN123" s="1">
        <v>16.214890212537398</v>
      </c>
      <c r="AO123" s="1">
        <v>16.217927790295107</v>
      </c>
      <c r="AP123" s="1">
        <v>16.903587571485176</v>
      </c>
      <c r="AQ123" s="1">
        <v>17.100301790704826</v>
      </c>
      <c r="AR123" s="1">
        <v>16.235798142237208</v>
      </c>
      <c r="AS123" s="1">
        <v>16.231454386199331</v>
      </c>
      <c r="AT123" s="1">
        <v>16.619284154366717</v>
      </c>
      <c r="AU123" s="1">
        <v>17.579617094400227</v>
      </c>
      <c r="AV123" s="1">
        <v>17.511861184723372</v>
      </c>
      <c r="AW123" s="1">
        <v>17.532667036160632</v>
      </c>
      <c r="AX123" s="1">
        <v>17.529907159090662</v>
      </c>
      <c r="AY123" s="1">
        <v>17.584006292389923</v>
      </c>
      <c r="AZ123" s="1">
        <v>17.623632424725876</v>
      </c>
      <c r="BA123" s="1">
        <v>17.717236348226265</v>
      </c>
      <c r="BB123" s="1">
        <v>17.713726752866606</v>
      </c>
      <c r="BC123" s="1">
        <v>17.719676588530845</v>
      </c>
      <c r="BD123" s="1">
        <v>17.76816638540646</v>
      </c>
      <c r="BE123" s="1">
        <v>18.138939849257035</v>
      </c>
      <c r="BF123" s="1">
        <v>18.165504984861784</v>
      </c>
      <c r="BG123" s="1">
        <v>18.195016196302017</v>
      </c>
      <c r="BH123" s="1">
        <v>17.529915796203706</v>
      </c>
      <c r="BI123" s="1">
        <v>17.986790045760635</v>
      </c>
      <c r="BJ123" s="1">
        <v>18.06434345972982</v>
      </c>
      <c r="BK123" s="1">
        <v>18.113034201350562</v>
      </c>
      <c r="BL123" s="1">
        <v>18.040920444754089</v>
      </c>
      <c r="BM123" s="1">
        <v>18.181699408357257</v>
      </c>
      <c r="BN123" s="1">
        <v>18.949726630111773</v>
      </c>
      <c r="BO123" s="1">
        <v>19.115128736340981</v>
      </c>
      <c r="BP123" s="1">
        <v>19.155512523302949</v>
      </c>
      <c r="BQ123" s="1">
        <v>19.081669906050305</v>
      </c>
      <c r="BR123" s="1">
        <v>19.097207483658668</v>
      </c>
      <c r="BS123" s="1">
        <v>19.920806142973777</v>
      </c>
      <c r="BT123" s="1">
        <v>19.908429366353889</v>
      </c>
      <c r="BU123" s="1">
        <v>20.167245287781181</v>
      </c>
      <c r="BV123" s="1">
        <v>20.411043914315837</v>
      </c>
      <c r="BW123" s="1">
        <v>19.83365362758494</v>
      </c>
      <c r="BX123" s="1">
        <v>19.885766232768848</v>
      </c>
      <c r="BY123" s="1">
        <v>20.134949875977565</v>
      </c>
      <c r="BZ123" s="1">
        <v>20.34553705123815</v>
      </c>
      <c r="CA123" s="1">
        <v>21.710839982904801</v>
      </c>
      <c r="CB123" s="1">
        <v>21.8748412120548</v>
      </c>
      <c r="CC123" s="1">
        <v>21.909403515944401</v>
      </c>
      <c r="CD123" s="1">
        <v>22.051738145889999</v>
      </c>
      <c r="CE123" s="1">
        <v>22.386130301205402</v>
      </c>
      <c r="CF123" s="1">
        <v>22.659419324915302</v>
      </c>
      <c r="CG123" s="1">
        <v>22.945282139625501</v>
      </c>
      <c r="CH123" s="1">
        <v>23.298741688729301</v>
      </c>
      <c r="CI123" s="1">
        <v>23.908268231796601</v>
      </c>
      <c r="CJ123" s="1">
        <v>23.992075469792699</v>
      </c>
      <c r="CK123" s="1">
        <v>23.9391179416981</v>
      </c>
      <c r="CL123" s="1">
        <v>25.999985238072501</v>
      </c>
      <c r="CM123" s="1">
        <v>25.202971865016099</v>
      </c>
      <c r="CN123" s="1">
        <v>25.257160557228399</v>
      </c>
    </row>
    <row r="124" spans="1:92" x14ac:dyDescent="0.35">
      <c r="A124" t="s">
        <v>65</v>
      </c>
      <c r="B124" s="1">
        <v>11.193229246509148</v>
      </c>
      <c r="C124" s="1">
        <v>11.289094065024369</v>
      </c>
      <c r="D124" s="1">
        <v>11.288285159909009</v>
      </c>
      <c r="E124" s="1">
        <v>11.957466925030067</v>
      </c>
      <c r="F124" s="1">
        <v>11.95817653153304</v>
      </c>
      <c r="G124" s="1">
        <v>11.981362842358525</v>
      </c>
      <c r="H124" s="1">
        <v>12.160616564619133</v>
      </c>
      <c r="I124" s="1">
        <v>12.665097103357471</v>
      </c>
      <c r="J124" s="1">
        <v>12.665142153644123</v>
      </c>
      <c r="K124" s="1">
        <v>11.895204261716449</v>
      </c>
      <c r="L124" s="1">
        <v>13.03427148520691</v>
      </c>
      <c r="M124" s="1">
        <v>13.04208964006669</v>
      </c>
      <c r="N124" s="1">
        <v>13.118745195126722</v>
      </c>
      <c r="O124" s="1">
        <v>14.273579633956389</v>
      </c>
      <c r="P124" s="1">
        <v>14.271260185034903</v>
      </c>
      <c r="Q124" s="1">
        <v>14.443917703055428</v>
      </c>
      <c r="R124" s="1">
        <v>14.442577511684027</v>
      </c>
      <c r="S124" s="1">
        <v>14.878143047399968</v>
      </c>
      <c r="T124" s="1">
        <v>14.876896105069735</v>
      </c>
      <c r="U124" s="1">
        <v>15.061743454556348</v>
      </c>
      <c r="V124" s="1">
        <v>14.974097319538446</v>
      </c>
      <c r="W124" s="1">
        <v>14.198039705183072</v>
      </c>
      <c r="X124" s="1">
        <v>14.175972925738323</v>
      </c>
      <c r="Y124" s="1">
        <v>14.206752717391305</v>
      </c>
      <c r="Z124" s="1">
        <v>15.174109641499983</v>
      </c>
      <c r="AA124" s="1">
        <v>14.945861947215116</v>
      </c>
      <c r="AB124" s="1">
        <v>15.555960777416237</v>
      </c>
      <c r="AC124" s="1">
        <v>15.898306055886934</v>
      </c>
      <c r="AD124" s="1">
        <v>17.144349538533888</v>
      </c>
      <c r="AE124" s="1">
        <v>16.702414931237598</v>
      </c>
      <c r="AF124" s="1">
        <v>14.117402027030534</v>
      </c>
      <c r="AG124" s="1">
        <v>14.136159619988005</v>
      </c>
      <c r="AH124" s="1">
        <v>14.11307068645498</v>
      </c>
      <c r="AI124" s="1">
        <v>14.930457548821693</v>
      </c>
      <c r="AJ124" s="1">
        <v>14.917067697706404</v>
      </c>
      <c r="AK124" s="1">
        <v>15.854304375653637</v>
      </c>
      <c r="AL124" s="1">
        <v>15.855551749016467</v>
      </c>
      <c r="AM124" s="1">
        <v>16.618584545164111</v>
      </c>
      <c r="AN124" s="1">
        <v>16.620531838656618</v>
      </c>
      <c r="AO124" s="1">
        <v>16.616319078467583</v>
      </c>
      <c r="AP124" s="1">
        <v>16.620804850447875</v>
      </c>
      <c r="AQ124" s="1">
        <v>16.929572719410302</v>
      </c>
      <c r="AR124" s="1">
        <v>16.937080767583844</v>
      </c>
      <c r="AS124" s="1">
        <v>16.949813476771574</v>
      </c>
      <c r="AT124" s="1">
        <v>16.952066587630497</v>
      </c>
      <c r="AU124" s="1">
        <v>17.112553907707216</v>
      </c>
      <c r="AV124" s="1">
        <v>17.110280490687686</v>
      </c>
      <c r="AW124" s="1">
        <v>17.237101059655412</v>
      </c>
      <c r="AX124" s="1">
        <v>17.233355219677545</v>
      </c>
      <c r="AY124" s="1">
        <v>17.854742198320125</v>
      </c>
      <c r="AZ124" s="1">
        <v>18.02171606666041</v>
      </c>
      <c r="BA124" s="1">
        <v>18.134164023001951</v>
      </c>
      <c r="BB124" s="1">
        <v>18.20740108678886</v>
      </c>
      <c r="BC124" s="1">
        <v>17.912364712561914</v>
      </c>
      <c r="BD124" s="1">
        <v>18.023068587196036</v>
      </c>
      <c r="BE124" s="1">
        <v>18.23456868542506</v>
      </c>
      <c r="BF124" s="1">
        <v>18.315788477891218</v>
      </c>
      <c r="BG124" s="1">
        <v>18.24020540027281</v>
      </c>
      <c r="BH124" s="1">
        <v>18.383410701663838</v>
      </c>
      <c r="BI124" s="1">
        <v>18.380027204485213</v>
      </c>
      <c r="BJ124" s="1">
        <v>18.624391255292942</v>
      </c>
      <c r="BK124" s="1">
        <v>18.48843026392084</v>
      </c>
      <c r="BL124" s="1">
        <v>18.710275951161897</v>
      </c>
      <c r="BM124" s="1">
        <v>19.195512088126058</v>
      </c>
      <c r="BN124" s="1">
        <v>19.252117942393014</v>
      </c>
      <c r="BO124" s="1">
        <v>19.460861528718809</v>
      </c>
      <c r="BP124" s="1">
        <v>19.45039109573402</v>
      </c>
      <c r="BQ124" s="1">
        <v>18.586726649077747</v>
      </c>
      <c r="BR124" s="1">
        <v>18.633693461124899</v>
      </c>
      <c r="BS124" s="1">
        <v>18.568248974818914</v>
      </c>
      <c r="BT124" s="1">
        <v>19.062418397933982</v>
      </c>
      <c r="BU124" s="1">
        <v>19.871776952194999</v>
      </c>
      <c r="BV124" s="1">
        <v>19.973017973083671</v>
      </c>
      <c r="BW124" s="1">
        <v>19.362652921139595</v>
      </c>
      <c r="BX124" s="1">
        <v>18.683338725190747</v>
      </c>
      <c r="BY124" s="1">
        <v>20.191706222541431</v>
      </c>
      <c r="BZ124" s="1">
        <v>20.127551041676359</v>
      </c>
      <c r="CA124" s="1">
        <v>20.6928266329287</v>
      </c>
      <c r="CB124" s="1">
        <v>20.789467919069601</v>
      </c>
      <c r="CC124" s="1">
        <v>21.246934775907601</v>
      </c>
      <c r="CD124" s="1">
        <v>21.20787905309</v>
      </c>
      <c r="CE124" s="1">
        <v>21.301261409540899</v>
      </c>
      <c r="CF124" s="1">
        <v>21.755820278384501</v>
      </c>
      <c r="CG124" s="1">
        <v>22.709793712187501</v>
      </c>
      <c r="CH124" s="1">
        <v>22.895990085318399</v>
      </c>
      <c r="CI124" s="1">
        <v>24.283013157985</v>
      </c>
      <c r="CJ124" s="1">
        <v>24.315589062190099</v>
      </c>
      <c r="CK124" s="1">
        <v>24.306619415445599</v>
      </c>
      <c r="CL124" s="1">
        <v>24.971767101104799</v>
      </c>
      <c r="CM124" s="1">
        <v>24.7440399314468</v>
      </c>
      <c r="CN124" s="1">
        <v>24.937010462108201</v>
      </c>
    </row>
    <row r="125" spans="1:92" x14ac:dyDescent="0.35">
      <c r="A125" t="s">
        <v>86</v>
      </c>
      <c r="B125" s="1">
        <v>10.150365617525345</v>
      </c>
      <c r="C125" s="1">
        <v>12.455701804152953</v>
      </c>
      <c r="D125" s="1">
        <v>12.453706451734396</v>
      </c>
      <c r="E125" s="1">
        <v>12.487909632014373</v>
      </c>
      <c r="F125" s="1">
        <v>12.486116533679718</v>
      </c>
      <c r="G125" s="1">
        <v>12.154160263041229</v>
      </c>
      <c r="H125" s="1">
        <v>13.561370653532306</v>
      </c>
      <c r="I125" s="1">
        <v>13.598664548641539</v>
      </c>
      <c r="J125" s="1">
        <v>13.596651934502242</v>
      </c>
      <c r="K125" s="1">
        <v>14.060923992969625</v>
      </c>
      <c r="L125" s="1">
        <v>14.078666023441967</v>
      </c>
      <c r="M125" s="1">
        <v>14.067984063178118</v>
      </c>
      <c r="N125" s="1">
        <v>14.087113987444448</v>
      </c>
      <c r="O125" s="1">
        <v>14.414783892051446</v>
      </c>
      <c r="P125" s="1">
        <v>16.055255075207736</v>
      </c>
      <c r="Q125" s="1">
        <v>16.138201255667941</v>
      </c>
      <c r="R125" s="1">
        <v>16.136338985401711</v>
      </c>
      <c r="S125" s="1">
        <v>15.375164657251119</v>
      </c>
      <c r="T125" s="1">
        <v>16.657539087892161</v>
      </c>
      <c r="U125" s="1">
        <v>16.808582808510643</v>
      </c>
      <c r="V125" s="1">
        <v>16.680228903313974</v>
      </c>
      <c r="W125" s="1">
        <v>16.48946529829886</v>
      </c>
      <c r="X125" s="1">
        <v>16.250802627630133</v>
      </c>
      <c r="Y125" s="1">
        <v>16.280876101779477</v>
      </c>
      <c r="Z125" s="1">
        <v>16.475121522596901</v>
      </c>
      <c r="AA125" s="1">
        <v>17.106470724522563</v>
      </c>
      <c r="AB125" s="1">
        <v>17.698643093192331</v>
      </c>
      <c r="AC125" s="1">
        <v>18.015349159248274</v>
      </c>
      <c r="AD125" s="1">
        <v>19.298013815789474</v>
      </c>
      <c r="AE125" s="1">
        <v>18.72884985426878</v>
      </c>
      <c r="AF125" s="1">
        <v>16.044566886998638</v>
      </c>
      <c r="AG125" s="1">
        <v>16.081338661459874</v>
      </c>
      <c r="AH125" s="1">
        <v>16.085998274662252</v>
      </c>
      <c r="AI125" s="1">
        <v>15.437104922554624</v>
      </c>
      <c r="AJ125" s="1">
        <v>16.439568566785336</v>
      </c>
      <c r="AK125" s="1">
        <v>16.4131334699691</v>
      </c>
      <c r="AL125" s="1">
        <v>16.407906501708414</v>
      </c>
      <c r="AM125" s="1">
        <v>16.955230379890217</v>
      </c>
      <c r="AN125" s="1">
        <v>17.375581157100761</v>
      </c>
      <c r="AO125" s="1">
        <v>17.385953710587806</v>
      </c>
      <c r="AP125" s="1">
        <v>17.381690909504435</v>
      </c>
      <c r="AQ125" s="1">
        <v>17.062878089871752</v>
      </c>
      <c r="AR125" s="1">
        <v>17.237979099959169</v>
      </c>
      <c r="AS125" s="1">
        <v>17.23139705430107</v>
      </c>
      <c r="AT125" s="1">
        <v>17.299702399563309</v>
      </c>
      <c r="AU125" s="1">
        <v>17.068365706084165</v>
      </c>
      <c r="AV125" s="1">
        <v>17.318480107624318</v>
      </c>
      <c r="AW125" s="1">
        <v>17.422985947270561</v>
      </c>
      <c r="AX125" s="1">
        <v>17.417757742977862</v>
      </c>
      <c r="AY125" s="1">
        <v>16.866120942674666</v>
      </c>
      <c r="AZ125" s="1">
        <v>18.45668242882746</v>
      </c>
      <c r="BA125" s="1">
        <v>18.515268280538326</v>
      </c>
      <c r="BB125" s="1">
        <v>18.695645489446658</v>
      </c>
      <c r="BC125" s="1">
        <v>18.990423288043157</v>
      </c>
      <c r="BD125" s="1">
        <v>19.127229202061823</v>
      </c>
      <c r="BE125" s="1">
        <v>20.078263108302824</v>
      </c>
      <c r="BF125" s="1">
        <v>20.130735814749588</v>
      </c>
      <c r="BG125" s="1">
        <v>18.22496739840237</v>
      </c>
      <c r="BH125" s="1">
        <v>18.494434220765093</v>
      </c>
      <c r="BI125" s="1">
        <v>18.486449117764934</v>
      </c>
      <c r="BJ125" s="1">
        <v>18.785323335308391</v>
      </c>
      <c r="BK125" s="1">
        <v>18.014498134949964</v>
      </c>
      <c r="BL125" s="1">
        <v>17.336623425880045</v>
      </c>
      <c r="BM125" s="1">
        <v>18.181312160403433</v>
      </c>
      <c r="BN125" s="1">
        <v>18.230323345377567</v>
      </c>
      <c r="BO125" s="1">
        <v>20.071630391867036</v>
      </c>
      <c r="BP125" s="1">
        <v>20.078949165944213</v>
      </c>
      <c r="BQ125" s="1">
        <v>20.045712165704845</v>
      </c>
      <c r="BR125" s="1">
        <v>20.018606008504204</v>
      </c>
      <c r="BS125" s="1">
        <v>20.127902104257181</v>
      </c>
      <c r="BT125" s="1">
        <v>21.289610495040762</v>
      </c>
      <c r="BU125" s="1">
        <v>21.284812596854209</v>
      </c>
      <c r="BV125" s="1">
        <v>22.270878327525054</v>
      </c>
      <c r="BW125" s="1">
        <v>24.978465683922511</v>
      </c>
      <c r="BX125" s="1">
        <v>25.026897449688743</v>
      </c>
      <c r="BY125" s="1">
        <v>24.649216640696363</v>
      </c>
      <c r="BZ125" s="1">
        <v>24.944574680629469</v>
      </c>
      <c r="CA125" s="1">
        <v>24.0896249494416</v>
      </c>
      <c r="CB125" s="1">
        <v>25.123888271233</v>
      </c>
      <c r="CC125" s="1">
        <v>25.5538382205803</v>
      </c>
      <c r="CD125" s="1">
        <v>25.7280884925169</v>
      </c>
      <c r="CE125" s="1">
        <v>26.158072310183499</v>
      </c>
      <c r="CF125" s="1">
        <v>24.806463935357701</v>
      </c>
      <c r="CG125" s="1">
        <v>25.903241116209401</v>
      </c>
      <c r="CH125" s="1">
        <v>25.9886473832162</v>
      </c>
      <c r="CI125" s="1">
        <v>26.367961292568101</v>
      </c>
      <c r="CJ125" s="1">
        <v>26.476582848362799</v>
      </c>
      <c r="CK125" s="1">
        <v>26.457934243997698</v>
      </c>
      <c r="CL125" s="1">
        <v>27.495279007164999</v>
      </c>
      <c r="CM125" s="1">
        <v>27.2955348602237</v>
      </c>
      <c r="CN125" s="1">
        <v>27.3546169302933</v>
      </c>
    </row>
    <row r="126" spans="1:92" x14ac:dyDescent="0.35">
      <c r="A126" t="s">
        <v>37</v>
      </c>
      <c r="B126" s="1">
        <v>9.6643530384456398</v>
      </c>
      <c r="C126" s="1">
        <v>10.567194367207819</v>
      </c>
      <c r="D126" s="1">
        <v>10.564782522984281</v>
      </c>
      <c r="E126" s="1">
        <v>11.497718763994623</v>
      </c>
      <c r="F126" s="1">
        <v>11.491820977720558</v>
      </c>
      <c r="G126" s="1">
        <v>11.490210180741162</v>
      </c>
      <c r="H126" s="1">
        <v>12.351946726057907</v>
      </c>
      <c r="I126" s="1">
        <v>12.662767277705672</v>
      </c>
      <c r="J126" s="1">
        <v>12.63288594888893</v>
      </c>
      <c r="K126" s="1">
        <v>12.568227302506809</v>
      </c>
      <c r="L126" s="1">
        <v>12.928973737998316</v>
      </c>
      <c r="M126" s="1">
        <v>12.896392226087848</v>
      </c>
      <c r="N126" s="1">
        <v>13.681098699965787</v>
      </c>
      <c r="O126" s="1">
        <v>13.627914796292821</v>
      </c>
      <c r="P126" s="1">
        <v>13.998464264417752</v>
      </c>
      <c r="Q126" s="1">
        <v>14.017100993799367</v>
      </c>
      <c r="R126" s="1">
        <v>14.021490195418924</v>
      </c>
      <c r="S126" s="1">
        <v>14.527818483340868</v>
      </c>
      <c r="T126" s="1">
        <v>14.454516382743735</v>
      </c>
      <c r="U126" s="1">
        <v>14.755834266330227</v>
      </c>
      <c r="V126" s="1">
        <v>14.850803861737782</v>
      </c>
      <c r="W126" s="1">
        <v>14.268253703734567</v>
      </c>
      <c r="X126" s="1">
        <v>14.263402842497674</v>
      </c>
      <c r="Y126" s="1">
        <v>14.303759073769543</v>
      </c>
      <c r="Z126" s="1">
        <v>14.344253804410963</v>
      </c>
      <c r="AA126" s="1">
        <v>13.905146668436423</v>
      </c>
      <c r="AB126" s="1">
        <v>13.965915904031661</v>
      </c>
      <c r="AC126" s="1">
        <v>14.904427602778048</v>
      </c>
      <c r="AD126" s="1">
        <v>14.958276756827777</v>
      </c>
      <c r="AE126" s="1">
        <v>15.199519951074306</v>
      </c>
      <c r="AF126" s="1">
        <v>13.457557607422574</v>
      </c>
      <c r="AG126" s="1">
        <v>13.458007173177583</v>
      </c>
      <c r="AH126" s="1">
        <v>13.515794333154263</v>
      </c>
      <c r="AI126" s="1">
        <v>14.230737603998357</v>
      </c>
      <c r="AJ126" s="1">
        <v>14.354388054711233</v>
      </c>
      <c r="AK126" s="1">
        <v>14.344477013667035</v>
      </c>
      <c r="AL126" s="1">
        <v>14.362245659496789</v>
      </c>
      <c r="AM126" s="1">
        <v>14.378332689679153</v>
      </c>
      <c r="AN126" s="1">
        <v>14.901597555474046</v>
      </c>
      <c r="AO126" s="1">
        <v>15.039215577798844</v>
      </c>
      <c r="AP126" s="1">
        <v>15.1050130269159</v>
      </c>
      <c r="AQ126" s="1">
        <v>14.879273838438383</v>
      </c>
      <c r="AR126" s="1">
        <v>14.889671824175547</v>
      </c>
      <c r="AS126" s="1">
        <v>14.931125753435264</v>
      </c>
      <c r="AT126" s="1">
        <v>14.94216794411193</v>
      </c>
      <c r="AU126" s="1">
        <v>14.971998605243391</v>
      </c>
      <c r="AV126" s="1">
        <v>14.988113318064299</v>
      </c>
      <c r="AW126" s="1">
        <v>15.743796678373373</v>
      </c>
      <c r="AX126" s="1">
        <v>15.745746199763326</v>
      </c>
      <c r="AY126" s="1">
        <v>15.542822476602316</v>
      </c>
      <c r="AZ126" s="1">
        <v>15.869866340452708</v>
      </c>
      <c r="BA126" s="1">
        <v>15.877077908047889</v>
      </c>
      <c r="BB126" s="1">
        <v>15.941466448618028</v>
      </c>
      <c r="BC126" s="1">
        <v>15.822216136261263</v>
      </c>
      <c r="BD126" s="1">
        <v>15.859248010894659</v>
      </c>
      <c r="BE126" s="1">
        <v>16.149517945465533</v>
      </c>
      <c r="BF126" s="1">
        <v>16.255614582711758</v>
      </c>
      <c r="BG126" s="1">
        <v>16.248284915380545</v>
      </c>
      <c r="BH126" s="1">
        <v>16.271057214039075</v>
      </c>
      <c r="BI126" s="1">
        <v>16.301597151820211</v>
      </c>
      <c r="BJ126" s="1">
        <v>16.46265215911292</v>
      </c>
      <c r="BK126" s="1">
        <v>17.439459547210532</v>
      </c>
      <c r="BL126" s="1">
        <v>17.454135045708586</v>
      </c>
      <c r="BM126" s="1">
        <v>18.002816484550166</v>
      </c>
      <c r="BN126" s="1">
        <v>18.136735261828715</v>
      </c>
      <c r="BO126" s="1">
        <v>19.709092740321196</v>
      </c>
      <c r="BP126" s="1">
        <v>19.724292363048392</v>
      </c>
      <c r="BQ126" s="1">
        <v>19.004791903462646</v>
      </c>
      <c r="BR126" s="1">
        <v>19.089335537319151</v>
      </c>
      <c r="BS126" s="1">
        <v>19.114347458351524</v>
      </c>
      <c r="BT126" s="1">
        <v>19.350334038808271</v>
      </c>
      <c r="BU126" s="1">
        <v>19.95105232463532</v>
      </c>
      <c r="BV126" s="1">
        <v>20.87318765032331</v>
      </c>
      <c r="BW126" s="1">
        <v>21.237581759886346</v>
      </c>
      <c r="BX126" s="1">
        <v>21.07525267555026</v>
      </c>
      <c r="BY126" s="1">
        <v>21.071228379286765</v>
      </c>
      <c r="BZ126" s="1">
        <v>21.102882028473765</v>
      </c>
      <c r="CA126" s="1">
        <v>20.7701330638406</v>
      </c>
      <c r="CB126" s="1">
        <v>21.467815709505501</v>
      </c>
      <c r="CC126" s="1">
        <v>21.576795578249701</v>
      </c>
      <c r="CD126" s="1">
        <v>21.613542367589201</v>
      </c>
      <c r="CE126" s="1">
        <v>22.3697435811305</v>
      </c>
      <c r="CF126" s="1">
        <v>21.755075830019099</v>
      </c>
      <c r="CG126" s="1">
        <v>22.532706271121999</v>
      </c>
      <c r="CH126" s="1">
        <v>23.619545394128998</v>
      </c>
      <c r="CI126" s="1">
        <v>23.751978587317002</v>
      </c>
      <c r="CJ126" s="1">
        <v>24.448675071235598</v>
      </c>
      <c r="CK126" s="1">
        <v>24.643727861425699</v>
      </c>
      <c r="CL126" s="1">
        <v>25.2642504017508</v>
      </c>
      <c r="CM126" s="1">
        <v>24.4584821260597</v>
      </c>
      <c r="CN126" s="1">
        <v>24.660334023109801</v>
      </c>
    </row>
    <row r="127" spans="1:92" x14ac:dyDescent="0.35">
      <c r="A127" t="s">
        <v>67</v>
      </c>
      <c r="B127" s="1">
        <v>10.435107995846314</v>
      </c>
      <c r="C127" s="1">
        <v>11.612978592435539</v>
      </c>
      <c r="D127" s="1">
        <v>11.558094214029698</v>
      </c>
      <c r="E127" s="1">
        <v>11.276217358696393</v>
      </c>
      <c r="F127" s="1">
        <v>11.598420085106376</v>
      </c>
      <c r="G127" s="1">
        <v>12.407755157437567</v>
      </c>
      <c r="H127" s="1">
        <v>12.796820535381904</v>
      </c>
      <c r="I127" s="1">
        <v>13.03652087408107</v>
      </c>
      <c r="J127" s="1">
        <v>13.021176826806624</v>
      </c>
      <c r="K127" s="1">
        <v>13.596219221337638</v>
      </c>
      <c r="L127" s="1">
        <v>14.109385964912281</v>
      </c>
      <c r="M127" s="1">
        <v>14.123264461430626</v>
      </c>
      <c r="N127" s="1">
        <v>14.257245526938327</v>
      </c>
      <c r="O127" s="1">
        <v>14.017166400850611</v>
      </c>
      <c r="P127" s="1">
        <v>14.024051481076063</v>
      </c>
      <c r="Q127" s="1">
        <v>14.196155605648746</v>
      </c>
      <c r="R127" s="1">
        <v>14.521830846100395</v>
      </c>
      <c r="S127" s="1">
        <v>14.523286053569075</v>
      </c>
      <c r="T127" s="1">
        <v>14.677495052117701</v>
      </c>
      <c r="U127" s="1">
        <v>14.849589095219281</v>
      </c>
      <c r="V127" s="1">
        <v>14.831154681943895</v>
      </c>
      <c r="W127" s="1">
        <v>15.92727554077635</v>
      </c>
      <c r="X127" s="1">
        <v>15.879368767483953</v>
      </c>
      <c r="Y127" s="1">
        <v>15.849621040165793</v>
      </c>
      <c r="Z127" s="1">
        <v>15.764301145877795</v>
      </c>
      <c r="AA127" s="1">
        <v>16.519353674540682</v>
      </c>
      <c r="AB127" s="1">
        <v>16.668662216113621</v>
      </c>
      <c r="AC127" s="1">
        <v>17.194720379146922</v>
      </c>
      <c r="AD127" s="1">
        <v>17.177258106609251</v>
      </c>
      <c r="AE127" s="1">
        <v>17.416244757727036</v>
      </c>
      <c r="AF127" s="1">
        <v>17.048373880616396</v>
      </c>
      <c r="AG127" s="1">
        <v>16.945409277218477</v>
      </c>
      <c r="AH127" s="1">
        <v>16.850766199723068</v>
      </c>
      <c r="AI127" s="1">
        <v>17.306760323936352</v>
      </c>
      <c r="AJ127" s="1">
        <v>17.248307125925418</v>
      </c>
      <c r="AK127" s="1">
        <v>17.207882452263444</v>
      </c>
      <c r="AL127" s="1">
        <v>17.178744530523545</v>
      </c>
      <c r="AM127" s="1">
        <v>17.69387680218</v>
      </c>
      <c r="AN127" s="1">
        <v>18.227703645795991</v>
      </c>
      <c r="AO127" s="1">
        <v>18.184490398792811</v>
      </c>
      <c r="AP127" s="1">
        <v>18.157327383596893</v>
      </c>
      <c r="AQ127" s="1">
        <v>17.832022374470686</v>
      </c>
      <c r="AR127" s="1">
        <v>17.784844596670446</v>
      </c>
      <c r="AS127" s="1">
        <v>17.74707379149946</v>
      </c>
      <c r="AT127" s="1">
        <v>17.570708425606547</v>
      </c>
      <c r="AU127" s="1">
        <v>17.498099380693489</v>
      </c>
      <c r="AV127" s="1">
        <v>17.545834523988109</v>
      </c>
      <c r="AW127" s="1">
        <v>17.542223065792871</v>
      </c>
      <c r="AX127" s="1">
        <v>17.526948489970426</v>
      </c>
      <c r="AY127" s="1">
        <v>18.066632863495975</v>
      </c>
      <c r="AZ127" s="1">
        <v>18.180808034609672</v>
      </c>
      <c r="BA127" s="1">
        <v>18.224054553016874</v>
      </c>
      <c r="BB127" s="1">
        <v>18.453307063124758</v>
      </c>
      <c r="BC127" s="1">
        <v>18.368032594271348</v>
      </c>
      <c r="BD127" s="1">
        <v>18.472012600493521</v>
      </c>
      <c r="BE127" s="1">
        <v>18.470028997053568</v>
      </c>
      <c r="BF127" s="1">
        <v>18.447287159285473</v>
      </c>
      <c r="BG127" s="1">
        <v>18.552393314287574</v>
      </c>
      <c r="BH127" s="1">
        <v>18.566896697513446</v>
      </c>
      <c r="BI127" s="1">
        <v>18.584772989630689</v>
      </c>
      <c r="BJ127" s="1">
        <v>18.842099795866137</v>
      </c>
      <c r="BK127" s="1">
        <v>19.36745598700854</v>
      </c>
      <c r="BL127" s="1">
        <v>19.372533730612012</v>
      </c>
      <c r="BM127" s="1">
        <v>19.788397889727463</v>
      </c>
      <c r="BN127" s="1">
        <v>20.061205580190013</v>
      </c>
      <c r="BO127" s="1">
        <v>21.248902194812707</v>
      </c>
      <c r="BP127" s="1">
        <v>21.205030060905216</v>
      </c>
      <c r="BQ127" s="1">
        <v>21.15088976293768</v>
      </c>
      <c r="BR127" s="1">
        <v>21.312103234691406</v>
      </c>
      <c r="BS127" s="1">
        <v>21.648850868773117</v>
      </c>
      <c r="BT127" s="1">
        <v>21.823818738351271</v>
      </c>
      <c r="BU127" s="1">
        <v>21.879914707583715</v>
      </c>
      <c r="BV127" s="1">
        <v>22.653169116883518</v>
      </c>
      <c r="BW127" s="1">
        <v>23.096824573800411</v>
      </c>
      <c r="BX127" s="1">
        <v>22.858853444857047</v>
      </c>
      <c r="BY127" s="1">
        <v>22.830280875715381</v>
      </c>
      <c r="BZ127" s="1">
        <v>22.833961172239327</v>
      </c>
      <c r="CA127" s="1">
        <v>22.999142788048001</v>
      </c>
      <c r="CB127" s="1">
        <v>23.921011780391201</v>
      </c>
      <c r="CC127" s="1">
        <v>23.659600019996901</v>
      </c>
      <c r="CD127" s="1">
        <v>24.033176832880098</v>
      </c>
      <c r="CE127" s="1">
        <v>25.2403924062823</v>
      </c>
      <c r="CF127" s="1">
        <v>24.838975010388701</v>
      </c>
      <c r="CG127" s="1">
        <v>25.1140441495264</v>
      </c>
      <c r="CH127" s="1">
        <v>25.465865009934301</v>
      </c>
      <c r="CI127" s="1">
        <v>26.1170936423906</v>
      </c>
      <c r="CJ127" s="1">
        <v>26.629186427785601</v>
      </c>
      <c r="CK127" s="1">
        <v>26.666562346307099</v>
      </c>
      <c r="CL127" s="1">
        <v>27.556840863866999</v>
      </c>
      <c r="CM127" s="1">
        <v>27.432177377625301</v>
      </c>
      <c r="CN127" s="1">
        <v>27.606537947384201</v>
      </c>
    </row>
    <row r="128" spans="1:92" x14ac:dyDescent="0.35">
      <c r="A128" t="s">
        <v>68</v>
      </c>
      <c r="B128" s="1">
        <v>9.8109847358121307</v>
      </c>
      <c r="C128" s="1">
        <v>11.016782724646269</v>
      </c>
      <c r="D128" s="1">
        <v>11.050794741118246</v>
      </c>
      <c r="E128" s="1">
        <v>11.001290251433613</v>
      </c>
      <c r="F128" s="1">
        <v>11.151796297651273</v>
      </c>
      <c r="G128" s="1">
        <v>11.999413395593169</v>
      </c>
      <c r="H128" s="1">
        <v>12.161171256266801</v>
      </c>
      <c r="I128" s="1">
        <v>12.401113674043106</v>
      </c>
      <c r="J128" s="1">
        <v>12.381504380295851</v>
      </c>
      <c r="K128" s="1">
        <v>13.135813887104835</v>
      </c>
      <c r="L128" s="1">
        <v>13.395531445645986</v>
      </c>
      <c r="M128" s="1">
        <v>13.384316012725346</v>
      </c>
      <c r="N128" s="1">
        <v>13.511818948552154</v>
      </c>
      <c r="O128" s="1">
        <v>13.07580800670719</v>
      </c>
      <c r="P128" s="1">
        <v>13.053072648979027</v>
      </c>
      <c r="Q128" s="1">
        <v>13.193817805383022</v>
      </c>
      <c r="R128" s="1">
        <v>13.643970598337573</v>
      </c>
      <c r="S128" s="1">
        <v>14.260302180898341</v>
      </c>
      <c r="T128" s="1">
        <v>14.448133460959935</v>
      </c>
      <c r="U128" s="1">
        <v>14.739798803697662</v>
      </c>
      <c r="V128" s="1">
        <v>14.692251910978827</v>
      </c>
      <c r="W128" s="1">
        <v>15.358709023318688</v>
      </c>
      <c r="X128" s="1">
        <v>15.316117710583161</v>
      </c>
      <c r="Y128" s="1">
        <v>15.306632845047705</v>
      </c>
      <c r="Z128" s="1">
        <v>15.175866604039456</v>
      </c>
      <c r="AA128" s="1">
        <v>16.004510433386837</v>
      </c>
      <c r="AB128" s="1">
        <v>16.139734962280528</v>
      </c>
      <c r="AC128" s="1">
        <v>16.60474803359552</v>
      </c>
      <c r="AD128" s="1">
        <v>16.883483280254779</v>
      </c>
      <c r="AE128" s="1">
        <v>17.360639166616259</v>
      </c>
      <c r="AF128" s="1">
        <v>16.709793821299584</v>
      </c>
      <c r="AG128" s="1">
        <v>16.535662387329545</v>
      </c>
      <c r="AH128" s="1">
        <v>16.366242665075173</v>
      </c>
      <c r="AI128" s="1">
        <v>17.059294891570595</v>
      </c>
      <c r="AJ128" s="1">
        <v>16.968342693849525</v>
      </c>
      <c r="AK128" s="1">
        <v>16.907773165257286</v>
      </c>
      <c r="AL128" s="1">
        <v>16.867660352580554</v>
      </c>
      <c r="AM128" s="1">
        <v>17.644434548492008</v>
      </c>
      <c r="AN128" s="1">
        <v>17.906823148365994</v>
      </c>
      <c r="AO128" s="1">
        <v>17.862588168349212</v>
      </c>
      <c r="AP128" s="1">
        <v>17.833958858719321</v>
      </c>
      <c r="AQ128" s="1">
        <v>17.480962711748461</v>
      </c>
      <c r="AR128" s="1">
        <v>17.444065055301582</v>
      </c>
      <c r="AS128" s="1">
        <v>17.403333598629459</v>
      </c>
      <c r="AT128" s="1">
        <v>17.306890373010731</v>
      </c>
      <c r="AU128" s="1">
        <v>17.201987031380874</v>
      </c>
      <c r="AV128" s="1">
        <v>17.26788570441871</v>
      </c>
      <c r="AW128" s="1">
        <v>17.28417584471876</v>
      </c>
      <c r="AX128" s="1">
        <v>17.248684668657596</v>
      </c>
      <c r="AY128" s="1">
        <v>17.458200695341642</v>
      </c>
      <c r="AZ128" s="1">
        <v>18.195108604048809</v>
      </c>
      <c r="BA128" s="1">
        <v>18.202160611867988</v>
      </c>
      <c r="BB128" s="1">
        <v>18.381668503744226</v>
      </c>
      <c r="BC128" s="1">
        <v>18.253530089672381</v>
      </c>
      <c r="BD128" s="1">
        <v>18.326391255368385</v>
      </c>
      <c r="BE128" s="1">
        <v>18.408746410117125</v>
      </c>
      <c r="BF128" s="1">
        <v>18.368256246142352</v>
      </c>
      <c r="BG128" s="1">
        <v>18.516122646664481</v>
      </c>
      <c r="BH128" s="1">
        <v>18.525643971430913</v>
      </c>
      <c r="BI128" s="1">
        <v>18.516967779999934</v>
      </c>
      <c r="BJ128" s="1">
        <v>18.733291226961054</v>
      </c>
      <c r="BK128" s="1">
        <v>19.184967994016795</v>
      </c>
      <c r="BL128" s="1">
        <v>19.272594525967769</v>
      </c>
      <c r="BM128" s="1">
        <v>19.760118515938849</v>
      </c>
      <c r="BN128" s="1">
        <v>19.974840000992117</v>
      </c>
      <c r="BO128" s="1">
        <v>21.263014038687267</v>
      </c>
      <c r="BP128" s="1">
        <v>21.243502903501152</v>
      </c>
      <c r="BQ128" s="1">
        <v>21.224269452663741</v>
      </c>
      <c r="BR128" s="1">
        <v>21.371143984341344</v>
      </c>
      <c r="BS128" s="1">
        <v>21.87158109168967</v>
      </c>
      <c r="BT128" s="1">
        <v>22.1086518599461</v>
      </c>
      <c r="BU128" s="1">
        <v>22.003238947417053</v>
      </c>
      <c r="BV128" s="1">
        <v>22.920247191091931</v>
      </c>
      <c r="BW128" s="1">
        <v>23.216561404874327</v>
      </c>
      <c r="BX128" s="1">
        <v>23.328227187455084</v>
      </c>
      <c r="BY128" s="1">
        <v>23.095178292082828</v>
      </c>
      <c r="BZ128" s="1">
        <v>23.20581675754385</v>
      </c>
      <c r="CA128" s="1">
        <v>23.063906191726101</v>
      </c>
      <c r="CB128" s="1">
        <v>24.1725193503204</v>
      </c>
      <c r="CC128" s="1">
        <v>24.1445963432461</v>
      </c>
      <c r="CD128" s="1">
        <v>24.523459276976599</v>
      </c>
      <c r="CE128" s="1">
        <v>25.560520406249999</v>
      </c>
      <c r="CF128" s="1">
        <v>24.9752443950665</v>
      </c>
      <c r="CG128" s="1">
        <v>25.5540132435972</v>
      </c>
      <c r="CH128" s="1">
        <v>25.814269570274799</v>
      </c>
      <c r="CI128" s="1">
        <v>26.380996578562499</v>
      </c>
      <c r="CJ128" s="1">
        <v>26.764417695334799</v>
      </c>
      <c r="CK128" s="1">
        <v>26.819214224646</v>
      </c>
      <c r="CL128" s="1">
        <v>27.813047453079399</v>
      </c>
      <c r="CM128" s="1">
        <v>27.410013310141402</v>
      </c>
      <c r="CN128" s="1">
        <v>26.8323723406791</v>
      </c>
    </row>
    <row r="129" spans="1:92" x14ac:dyDescent="0.35">
      <c r="A129" t="s">
        <v>72</v>
      </c>
      <c r="B129" s="1">
        <v>10.080707942642338</v>
      </c>
      <c r="C129" s="1">
        <v>9.8379241373521999</v>
      </c>
      <c r="D129" s="1">
        <v>9.792778050307902</v>
      </c>
      <c r="E129" s="1">
        <v>10.062243694641417</v>
      </c>
      <c r="F129" s="1">
        <v>10.835151661124403</v>
      </c>
      <c r="G129" s="1">
        <v>11.151365415031943</v>
      </c>
      <c r="H129" s="1">
        <v>11.172909223067396</v>
      </c>
      <c r="I129" s="1">
        <v>11.167621989480722</v>
      </c>
      <c r="J129" s="1">
        <v>11.856380255198008</v>
      </c>
      <c r="K129" s="1">
        <v>11.9355045081988</v>
      </c>
      <c r="L129" s="1">
        <v>11.977162257638</v>
      </c>
      <c r="M129" s="1">
        <v>12.257867233416768</v>
      </c>
      <c r="N129" s="1">
        <v>12.87821031182402</v>
      </c>
      <c r="O129" s="1">
        <v>12.552423040566561</v>
      </c>
      <c r="P129" s="1">
        <v>12.550574607961702</v>
      </c>
      <c r="Q129" s="1">
        <v>12.986784042094625</v>
      </c>
      <c r="R129" s="1">
        <v>13.701766335479794</v>
      </c>
      <c r="S129" s="1">
        <v>12.855545063533802</v>
      </c>
      <c r="T129" s="1">
        <v>12.85728041237113</v>
      </c>
      <c r="U129" s="1">
        <v>13.237261719247696</v>
      </c>
      <c r="V129" s="1">
        <v>13.97774877044772</v>
      </c>
      <c r="W129" s="1">
        <v>13.779039481265199</v>
      </c>
      <c r="X129" s="1">
        <v>13.786384102995774</v>
      </c>
      <c r="Y129" s="1">
        <v>13.795886089463012</v>
      </c>
      <c r="Z129" s="1">
        <v>13.797930261386641</v>
      </c>
      <c r="AA129" s="1">
        <v>14.216852319900253</v>
      </c>
      <c r="AB129" s="1">
        <v>14.685470534974664</v>
      </c>
      <c r="AC129" s="1">
        <v>15.020517344943077</v>
      </c>
      <c r="AD129" s="1">
        <v>15.028491493637613</v>
      </c>
      <c r="AE129" s="1">
        <v>16.15005890134967</v>
      </c>
      <c r="AF129" s="1">
        <v>15.21329466632594</v>
      </c>
      <c r="AG129" s="1">
        <v>15.187288244179008</v>
      </c>
      <c r="AH129" s="1">
        <v>15.178352330241246</v>
      </c>
      <c r="AI129" s="1">
        <v>15.688449933628897</v>
      </c>
      <c r="AJ129" s="1">
        <v>15.706780557418037</v>
      </c>
      <c r="AK129" s="1">
        <v>15.775890654485336</v>
      </c>
      <c r="AL129" s="1">
        <v>15.771247489555131</v>
      </c>
      <c r="AM129" s="1">
        <v>16.423944705925358</v>
      </c>
      <c r="AN129" s="1">
        <v>16.405109742366932</v>
      </c>
      <c r="AO129" s="1">
        <v>16.406225971813434</v>
      </c>
      <c r="AP129" s="1">
        <v>16.404806593827651</v>
      </c>
      <c r="AQ129" s="1">
        <v>16.203215816486505</v>
      </c>
      <c r="AR129" s="1">
        <v>16.156212363744846</v>
      </c>
      <c r="AS129" s="1">
        <v>16.143188617354415</v>
      </c>
      <c r="AT129" s="1">
        <v>16.13090088750025</v>
      </c>
      <c r="AU129" s="1">
        <v>16.123569859965851</v>
      </c>
      <c r="AV129" s="1">
        <v>16.187391211480897</v>
      </c>
      <c r="AW129" s="1">
        <v>16.121565830287189</v>
      </c>
      <c r="AX129" s="1">
        <v>16.106595424468075</v>
      </c>
      <c r="AY129" s="1">
        <v>16.3190757274647</v>
      </c>
      <c r="AZ129" s="1">
        <v>16.165224005092924</v>
      </c>
      <c r="BA129" s="1">
        <v>16.223464773460009</v>
      </c>
      <c r="BB129" s="1">
        <v>15.930533804766677</v>
      </c>
      <c r="BC129" s="1">
        <v>16.052894738534981</v>
      </c>
      <c r="BD129" s="1">
        <v>16.108808111192992</v>
      </c>
      <c r="BE129" s="1">
        <v>16.39108765867703</v>
      </c>
      <c r="BF129" s="1">
        <v>16.662620771589996</v>
      </c>
      <c r="BG129" s="1">
        <v>16.801228814797426</v>
      </c>
      <c r="BH129" s="1">
        <v>16.816336332853865</v>
      </c>
      <c r="BI129" s="1">
        <v>16.90424907540946</v>
      </c>
      <c r="BJ129" s="1">
        <v>17.188046490021552</v>
      </c>
      <c r="BK129" s="1">
        <v>17.436565603252006</v>
      </c>
      <c r="BL129" s="1">
        <v>17.505269857862544</v>
      </c>
      <c r="BM129" s="1">
        <v>18.103419866662335</v>
      </c>
      <c r="BN129" s="1">
        <v>18.197385496338427</v>
      </c>
      <c r="BO129" s="1">
        <v>19.103646458483226</v>
      </c>
      <c r="BP129" s="1">
        <v>19.077102122133766</v>
      </c>
      <c r="BQ129" s="1">
        <v>19.075630014970873</v>
      </c>
      <c r="BR129" s="1">
        <v>18.962112005869198</v>
      </c>
      <c r="BS129" s="1">
        <v>18.847142204385158</v>
      </c>
      <c r="BT129" s="1">
        <v>19.210436354038897</v>
      </c>
      <c r="BU129" s="1">
        <v>19.466739301699405</v>
      </c>
      <c r="BV129" s="1">
        <v>20.007060174985263</v>
      </c>
      <c r="BW129" s="1">
        <v>20.245877392716572</v>
      </c>
      <c r="BX129" s="1">
        <v>20.377530421909231</v>
      </c>
      <c r="BY129" s="1">
        <v>20.385381708992988</v>
      </c>
      <c r="BZ129" s="1">
        <v>20.828753769676187</v>
      </c>
      <c r="CA129" s="1">
        <v>20.682237945163902</v>
      </c>
      <c r="CB129" s="1">
        <v>21.071050240892799</v>
      </c>
      <c r="CC129" s="1">
        <v>21.435859924863099</v>
      </c>
      <c r="CD129" s="1">
        <v>20.9750589424692</v>
      </c>
      <c r="CE129" s="1">
        <v>21.357879840147799</v>
      </c>
      <c r="CF129" s="1">
        <v>21.510619582215501</v>
      </c>
      <c r="CG129" s="1">
        <v>22.0282106197714</v>
      </c>
      <c r="CH129" s="1">
        <v>22.2855825556965</v>
      </c>
      <c r="CI129" s="1">
        <v>24.0934268968971</v>
      </c>
      <c r="CJ129" s="1">
        <v>24.210930671379199</v>
      </c>
      <c r="CK129" s="1">
        <v>24.0692672136929</v>
      </c>
      <c r="CL129" s="1">
        <v>25.373013990804399</v>
      </c>
      <c r="CM129" s="1">
        <v>25.110281280986101</v>
      </c>
      <c r="CN129" s="1">
        <v>25.239240158162801</v>
      </c>
    </row>
    <row r="130" spans="1:92" x14ac:dyDescent="0.35">
      <c r="A130" t="s">
        <v>73</v>
      </c>
      <c r="B130" s="1">
        <v>10.019114965692626</v>
      </c>
      <c r="C130" s="1">
        <v>10.004174475972604</v>
      </c>
      <c r="D130" s="1">
        <v>10.0001335101589</v>
      </c>
      <c r="E130" s="1">
        <v>11.173922411297767</v>
      </c>
      <c r="F130" s="1">
        <v>11.168529738696506</v>
      </c>
      <c r="G130" s="1">
        <v>11.301188296318674</v>
      </c>
      <c r="H130" s="1">
        <v>11.395205947250531</v>
      </c>
      <c r="I130" s="1">
        <v>11.406826168373239</v>
      </c>
      <c r="J130" s="1">
        <v>11.405273337717396</v>
      </c>
      <c r="K130" s="1">
        <v>11.998219262705824</v>
      </c>
      <c r="L130" s="1">
        <v>12.009275530041997</v>
      </c>
      <c r="M130" s="1">
        <v>12.020751967090014</v>
      </c>
      <c r="N130" s="1">
        <v>12.015831615623831</v>
      </c>
      <c r="O130" s="1">
        <v>11.989805539988533</v>
      </c>
      <c r="P130" s="1">
        <v>12.191659401269989</v>
      </c>
      <c r="Q130" s="1">
        <v>12.207854578392622</v>
      </c>
      <c r="R130" s="1">
        <v>12.237993480075451</v>
      </c>
      <c r="S130" s="1">
        <v>12.792773441977598</v>
      </c>
      <c r="T130" s="1">
        <v>12.947430981620187</v>
      </c>
      <c r="U130" s="1">
        <v>13.656612186877691</v>
      </c>
      <c r="V130" s="1">
        <v>13.543806754282723</v>
      </c>
      <c r="W130" s="1">
        <v>13.431564756420798</v>
      </c>
      <c r="X130" s="1">
        <v>13.471624755827584</v>
      </c>
      <c r="Y130" s="1">
        <v>13.511000875695355</v>
      </c>
      <c r="Z130" s="1">
        <v>13.510635063962603</v>
      </c>
      <c r="AA130" s="1">
        <v>14.125963807827846</v>
      </c>
      <c r="AB130" s="1">
        <v>14.828905253667985</v>
      </c>
      <c r="AC130" s="1">
        <v>15.162717775805602</v>
      </c>
      <c r="AD130" s="1">
        <v>15.161422048678256</v>
      </c>
      <c r="AE130" s="1">
        <v>16.233281694462335</v>
      </c>
      <c r="AF130" s="1">
        <v>15.547297849433649</v>
      </c>
      <c r="AG130" s="1">
        <v>15.514604259351442</v>
      </c>
      <c r="AH130" s="1">
        <v>15.503457812565022</v>
      </c>
      <c r="AI130" s="1">
        <v>15.858102184084087</v>
      </c>
      <c r="AJ130" s="1">
        <v>15.893717849421032</v>
      </c>
      <c r="AK130" s="1">
        <v>16.008915908666928</v>
      </c>
      <c r="AL130" s="1">
        <v>16.007617902435392</v>
      </c>
      <c r="AM130" s="1">
        <v>16.263660420649526</v>
      </c>
      <c r="AN130" s="1">
        <v>16.272560063610378</v>
      </c>
      <c r="AO130" s="1">
        <v>16.253514019863267</v>
      </c>
      <c r="AP130" s="1">
        <v>16.236591954077376</v>
      </c>
      <c r="AQ130" s="1">
        <v>15.906969808188315</v>
      </c>
      <c r="AR130" s="1">
        <v>15.892110408051167</v>
      </c>
      <c r="AS130" s="1">
        <v>15.89398428992342</v>
      </c>
      <c r="AT130" s="1">
        <v>15.89126802135927</v>
      </c>
      <c r="AU130" s="1">
        <v>15.857892207763481</v>
      </c>
      <c r="AV130" s="1">
        <v>15.920238604056625</v>
      </c>
      <c r="AW130" s="1">
        <v>15.884096845477707</v>
      </c>
      <c r="AX130" s="1">
        <v>15.882065632130185</v>
      </c>
      <c r="AY130" s="1">
        <v>16.011898724535016</v>
      </c>
      <c r="AZ130" s="1">
        <v>16.264228075659545</v>
      </c>
      <c r="BA130" s="1">
        <v>16.291836352322576</v>
      </c>
      <c r="BB130" s="1">
        <v>15.975674583512616</v>
      </c>
      <c r="BC130" s="1">
        <v>15.942619970720962</v>
      </c>
      <c r="BD130" s="1">
        <v>15.969944009327961</v>
      </c>
      <c r="BE130" s="1">
        <v>16.259536522038882</v>
      </c>
      <c r="BF130" s="1">
        <v>16.348681559873118</v>
      </c>
      <c r="BG130" s="1">
        <v>16.503292271066442</v>
      </c>
      <c r="BH130" s="1">
        <v>16.52639623056433</v>
      </c>
      <c r="BI130" s="1">
        <v>16.561678020082375</v>
      </c>
      <c r="BJ130" s="1">
        <v>16.704603749472021</v>
      </c>
      <c r="BK130" s="1">
        <v>16.930353986202462</v>
      </c>
      <c r="BL130" s="1">
        <v>17.011399811672078</v>
      </c>
      <c r="BM130" s="1">
        <v>17.374791917518948</v>
      </c>
      <c r="BN130" s="1">
        <v>17.46766811553271</v>
      </c>
      <c r="BO130" s="1">
        <v>18.36737278513063</v>
      </c>
      <c r="BP130" s="1">
        <v>18.338496621126087</v>
      </c>
      <c r="BQ130" s="1">
        <v>18.317471044343048</v>
      </c>
      <c r="BR130" s="1">
        <v>18.180907571366323</v>
      </c>
      <c r="BS130" s="1">
        <v>18.196233788433958</v>
      </c>
      <c r="BT130" s="1">
        <v>18.570998597818786</v>
      </c>
      <c r="BU130" s="1">
        <v>18.886644629410604</v>
      </c>
      <c r="BV130" s="1">
        <v>19.49603158607151</v>
      </c>
      <c r="BW130" s="1">
        <v>19.839676919303319</v>
      </c>
      <c r="BX130" s="1">
        <v>20.128512805214328</v>
      </c>
      <c r="BY130" s="1">
        <v>20.111978337103192</v>
      </c>
      <c r="BZ130" s="1">
        <v>20.427240392500281</v>
      </c>
      <c r="CA130" s="1">
        <v>20.393837820530202</v>
      </c>
      <c r="CB130" s="1">
        <v>20.914014687003501</v>
      </c>
      <c r="CC130" s="1">
        <v>21.297671404837899</v>
      </c>
      <c r="CD130" s="1">
        <v>20.883051589343602</v>
      </c>
      <c r="CE130" s="1">
        <v>21.429302764145302</v>
      </c>
      <c r="CF130" s="1">
        <v>21.519098236534401</v>
      </c>
      <c r="CG130" s="1">
        <v>22.028685858519101</v>
      </c>
      <c r="CH130" s="1">
        <v>22.24909855181</v>
      </c>
      <c r="CI130" s="1">
        <v>23.9228548733251</v>
      </c>
      <c r="CJ130" s="1">
        <v>24.006888018272299</v>
      </c>
      <c r="CK130" s="1">
        <v>23.8453789005865</v>
      </c>
      <c r="CL130" s="1">
        <v>25.420866836921501</v>
      </c>
      <c r="CM130" s="1">
        <v>25.028130902139601</v>
      </c>
      <c r="CN130" s="1">
        <v>25.156166163838201</v>
      </c>
    </row>
    <row r="131" spans="1:92" x14ac:dyDescent="0.35">
      <c r="A131" t="s">
        <v>82</v>
      </c>
      <c r="B131" s="1">
        <v>9.7271539086003553</v>
      </c>
      <c r="C131" s="1">
        <v>11.071071564341377</v>
      </c>
      <c r="D131" s="1">
        <v>11.060328436018956</v>
      </c>
      <c r="E131" s="1">
        <v>11.152950087030153</v>
      </c>
      <c r="F131" s="1">
        <v>11.148319902548725</v>
      </c>
      <c r="G131" s="1">
        <v>11.941218467839519</v>
      </c>
      <c r="H131" s="1">
        <v>12.033337809056391</v>
      </c>
      <c r="I131" s="1">
        <v>11.995025792188653</v>
      </c>
      <c r="J131" s="1">
        <v>11.982619080364916</v>
      </c>
      <c r="K131" s="1">
        <v>13.014690794578062</v>
      </c>
      <c r="L131" s="1">
        <v>13.220332682793991</v>
      </c>
      <c r="M131" s="1">
        <v>13.213379989163808</v>
      </c>
      <c r="N131" s="1">
        <v>13.211954555680542</v>
      </c>
      <c r="O131" s="1">
        <v>14.257805531971936</v>
      </c>
      <c r="P131" s="1">
        <v>14.231700426439232</v>
      </c>
      <c r="Q131" s="1">
        <v>14.927567185289959</v>
      </c>
      <c r="R131" s="1">
        <v>14.92664376321353</v>
      </c>
      <c r="S131" s="1">
        <v>15.221737395879</v>
      </c>
      <c r="T131" s="1">
        <v>15.118451666593664</v>
      </c>
      <c r="U131" s="1">
        <v>15.222083042263357</v>
      </c>
      <c r="V131" s="1">
        <v>15.214884115319386</v>
      </c>
      <c r="W131" s="1">
        <v>16.278053566002519</v>
      </c>
      <c r="X131" s="1">
        <v>16.247708432586947</v>
      </c>
      <c r="Y131" s="1">
        <v>16.231883276538845</v>
      </c>
      <c r="Z131" s="1">
        <v>16.069164551516455</v>
      </c>
      <c r="AA131" s="1">
        <v>15.900362179075049</v>
      </c>
      <c r="AB131" s="1">
        <v>15.990255160918068</v>
      </c>
      <c r="AC131" s="1">
        <v>16.379468996377586</v>
      </c>
      <c r="AD131" s="1">
        <v>16.878498363164834</v>
      </c>
      <c r="AE131" s="1">
        <v>16.875270615773356</v>
      </c>
      <c r="AF131" s="1">
        <v>16.762641151774179</v>
      </c>
      <c r="AG131" s="1">
        <v>16.733916696772127</v>
      </c>
      <c r="AH131" s="1">
        <v>17.149323452535082</v>
      </c>
      <c r="AI131" s="1">
        <v>17.017041020856819</v>
      </c>
      <c r="AJ131" s="1">
        <v>17.321481963766054</v>
      </c>
      <c r="AK131" s="1">
        <v>17.379596636563747</v>
      </c>
      <c r="AL131" s="1">
        <v>17.357627292081396</v>
      </c>
      <c r="AM131" s="1">
        <v>17.286476843523278</v>
      </c>
      <c r="AN131" s="1">
        <v>17.332334548522013</v>
      </c>
      <c r="AO131" s="1">
        <v>17.61466007436437</v>
      </c>
      <c r="AP131" s="1">
        <v>17.602616128881348</v>
      </c>
      <c r="AQ131" s="1">
        <v>17.664947458579594</v>
      </c>
      <c r="AR131" s="1">
        <v>17.673272203458335</v>
      </c>
      <c r="AS131" s="1">
        <v>17.65834033680229</v>
      </c>
      <c r="AT131" s="1">
        <v>17.625871905765798</v>
      </c>
      <c r="AU131" s="1">
        <v>17.596490882139243</v>
      </c>
      <c r="AV131" s="1">
        <v>17.607185256544696</v>
      </c>
      <c r="AW131" s="1">
        <v>17.606793494742288</v>
      </c>
      <c r="AX131" s="1">
        <v>17.575608898817602</v>
      </c>
      <c r="AY131" s="1">
        <v>17.690680950156885</v>
      </c>
      <c r="AZ131" s="1">
        <v>17.814796661698349</v>
      </c>
      <c r="BA131" s="1">
        <v>17.862321192119907</v>
      </c>
      <c r="BB131" s="1">
        <v>18.185734455800578</v>
      </c>
      <c r="BC131" s="1">
        <v>18.004382791083806</v>
      </c>
      <c r="BD131" s="1">
        <v>18.157501070588058</v>
      </c>
      <c r="BE131" s="1">
        <v>18.266877274952357</v>
      </c>
      <c r="BF131" s="1">
        <v>18.516268479620596</v>
      </c>
      <c r="BG131" s="1">
        <v>19.039942517267431</v>
      </c>
      <c r="BH131" s="1">
        <v>19.084175741029878</v>
      </c>
      <c r="BI131" s="1">
        <v>18.950013775176988</v>
      </c>
      <c r="BJ131" s="1">
        <v>19.151410166114484</v>
      </c>
      <c r="BK131" s="1">
        <v>19.413669674332393</v>
      </c>
      <c r="BL131" s="1">
        <v>19.3961474932056</v>
      </c>
      <c r="BM131" s="1">
        <v>19.789906660372271</v>
      </c>
      <c r="BN131" s="1">
        <v>19.897187471707692</v>
      </c>
      <c r="BO131" s="1">
        <v>20.575017473960294</v>
      </c>
      <c r="BP131" s="1">
        <v>20.559057920909872</v>
      </c>
      <c r="BQ131" s="1">
        <v>20.517276272054438</v>
      </c>
      <c r="BR131" s="1">
        <v>20.571343496290233</v>
      </c>
      <c r="BS131" s="1">
        <v>20.924437740598893</v>
      </c>
      <c r="BT131" s="1">
        <v>21.093734444080756</v>
      </c>
      <c r="BU131" s="1">
        <v>21.250046436699321</v>
      </c>
      <c r="BV131" s="1">
        <v>21.691202410978072</v>
      </c>
      <c r="BW131" s="1">
        <v>21.380668716725289</v>
      </c>
      <c r="BX131" s="1">
        <v>21.273953375988405</v>
      </c>
      <c r="BY131" s="1">
        <v>21.467200807218028</v>
      </c>
      <c r="BZ131" s="1">
        <v>21.793980945334859</v>
      </c>
      <c r="CA131" s="1">
        <v>21.440170669376599</v>
      </c>
      <c r="CB131" s="1">
        <v>21.848453901695599</v>
      </c>
      <c r="CC131" s="1">
        <v>21.803483128979401</v>
      </c>
      <c r="CD131" s="1">
        <v>22.2224901047088</v>
      </c>
      <c r="CE131" s="1">
        <v>22.327093983668899</v>
      </c>
      <c r="CF131" s="1">
        <v>23.117530535077599</v>
      </c>
      <c r="CG131" s="1">
        <v>23.393151801415101</v>
      </c>
      <c r="CH131" s="1">
        <v>23.857410824736</v>
      </c>
      <c r="CI131" s="1">
        <v>24.5031205219626</v>
      </c>
      <c r="CJ131" s="1">
        <v>24.9330867395567</v>
      </c>
      <c r="CK131" s="1">
        <v>24.7764699165606</v>
      </c>
      <c r="CL131" s="1">
        <v>26.425121502874099</v>
      </c>
      <c r="CM131" s="1">
        <v>27.024564306256298</v>
      </c>
      <c r="CN131" s="1">
        <v>27.157708865075001</v>
      </c>
    </row>
    <row r="132" spans="1:92" x14ac:dyDescent="0.35">
      <c r="A132" t="s">
        <v>76</v>
      </c>
      <c r="B132" s="1">
        <v>9.3070898330969758</v>
      </c>
      <c r="C132" s="1">
        <v>9.3480923553045923</v>
      </c>
      <c r="D132" s="1">
        <v>9.4011514037884716</v>
      </c>
      <c r="E132" s="1">
        <v>9.4568221189465866</v>
      </c>
      <c r="F132" s="1">
        <v>10.489413197341156</v>
      </c>
      <c r="G132" s="1">
        <v>9.9232570008373102</v>
      </c>
      <c r="H132" s="1">
        <v>9.9631292489961432</v>
      </c>
      <c r="I132" s="1">
        <v>9.9740597184437831</v>
      </c>
      <c r="J132" s="1">
        <v>11.472168801313636</v>
      </c>
      <c r="K132" s="1">
        <v>11.316739618406288</v>
      </c>
      <c r="L132" s="1">
        <v>11.357115895246523</v>
      </c>
      <c r="M132" s="1">
        <v>11.377584358614961</v>
      </c>
      <c r="N132" s="1">
        <v>11.376681311297471</v>
      </c>
      <c r="O132" s="1">
        <v>12.803901098901097</v>
      </c>
      <c r="P132" s="1">
        <v>12.834732163384167</v>
      </c>
      <c r="Q132" s="1">
        <v>12.477336291038155</v>
      </c>
      <c r="R132" s="1">
        <v>13.514704342024098</v>
      </c>
      <c r="S132" s="1">
        <v>13.100358706256102</v>
      </c>
      <c r="T132" s="1">
        <v>13.188662253810158</v>
      </c>
      <c r="U132" s="1">
        <v>13.253038509998632</v>
      </c>
      <c r="V132" s="1">
        <v>13.23994267627047</v>
      </c>
      <c r="W132" s="1">
        <v>12.820539679775074</v>
      </c>
      <c r="X132" s="1">
        <v>13.522182956055278</v>
      </c>
      <c r="Y132" s="1">
        <v>13.545399729753182</v>
      </c>
      <c r="Z132" s="1">
        <v>13.551526693030159</v>
      </c>
      <c r="AA132" s="1">
        <v>13.651064594331844</v>
      </c>
      <c r="AB132" s="1">
        <v>14.339330503900692</v>
      </c>
      <c r="AC132" s="1">
        <v>14.711371802716926</v>
      </c>
      <c r="AD132" s="1">
        <v>14.703058098742193</v>
      </c>
      <c r="AE132" s="1">
        <v>15.079904164834444</v>
      </c>
      <c r="AF132" s="1">
        <v>14.656633844321588</v>
      </c>
      <c r="AG132" s="1">
        <v>14.76575256034671</v>
      </c>
      <c r="AH132" s="1">
        <v>14.763870013849308</v>
      </c>
      <c r="AI132" s="1">
        <v>15.173293388026297</v>
      </c>
      <c r="AJ132" s="1">
        <v>15.174024293895505</v>
      </c>
      <c r="AK132" s="1">
        <v>15.16655188844573</v>
      </c>
      <c r="AL132" s="1">
        <v>15.157918639224119</v>
      </c>
      <c r="AM132" s="1">
        <v>15.555990619537688</v>
      </c>
      <c r="AN132" s="1">
        <v>15.508453929652596</v>
      </c>
      <c r="AO132" s="1">
        <v>15.498358432382283</v>
      </c>
      <c r="AP132" s="1">
        <v>15.582001042537499</v>
      </c>
      <c r="AQ132" s="1">
        <v>15.356980536624265</v>
      </c>
      <c r="AR132" s="1">
        <v>15.413092084054211</v>
      </c>
      <c r="AS132" s="1">
        <v>15.403067913476802</v>
      </c>
      <c r="AT132" s="1">
        <v>15.402547635390706</v>
      </c>
      <c r="AU132" s="1">
        <v>15.22518705413264</v>
      </c>
      <c r="AV132" s="1">
        <v>15.36610783970405</v>
      </c>
      <c r="AW132" s="1">
        <v>15.341559447853406</v>
      </c>
      <c r="AX132" s="1">
        <v>15.39579738675117</v>
      </c>
      <c r="AY132" s="1">
        <v>15.386362452109932</v>
      </c>
      <c r="AZ132" s="1">
        <v>15.651123993308509</v>
      </c>
      <c r="BA132" s="1">
        <v>15.645485184085036</v>
      </c>
      <c r="BB132" s="1">
        <v>15.67926734565464</v>
      </c>
      <c r="BC132" s="1">
        <v>16.038960679599704</v>
      </c>
      <c r="BD132" s="1">
        <v>16.03295901181788</v>
      </c>
      <c r="BE132" s="1">
        <v>16.072688035604671</v>
      </c>
      <c r="BF132" s="1">
        <v>16.532729387260353</v>
      </c>
      <c r="BG132" s="1">
        <v>17.469047523847415</v>
      </c>
      <c r="BH132" s="1">
        <v>17.013732745171726</v>
      </c>
      <c r="BI132" s="1">
        <v>17.018949477422332</v>
      </c>
      <c r="BJ132" s="1">
        <v>17.520936804434672</v>
      </c>
      <c r="BK132" s="1">
        <v>18.610050242308475</v>
      </c>
      <c r="BL132" s="1">
        <v>18.483103095778031</v>
      </c>
      <c r="BM132" s="1">
        <v>19.138186470468778</v>
      </c>
      <c r="BN132" s="1">
        <v>19.251177354449847</v>
      </c>
      <c r="BO132" s="1">
        <v>20.166425700126517</v>
      </c>
      <c r="BP132" s="1">
        <v>20.040737491921448</v>
      </c>
      <c r="BQ132" s="1">
        <v>19.856083397702548</v>
      </c>
      <c r="BR132" s="1">
        <v>19.999446579724541</v>
      </c>
      <c r="BS132" s="1">
        <v>20.002277252971062</v>
      </c>
      <c r="BT132" s="1">
        <v>20.200921992520044</v>
      </c>
      <c r="BU132" s="1">
        <v>20.451626620598866</v>
      </c>
      <c r="BV132" s="1">
        <v>20.909830518358575</v>
      </c>
      <c r="BW132" s="1">
        <v>21.233858160171877</v>
      </c>
      <c r="BX132" s="1">
        <v>21.337998647370995</v>
      </c>
      <c r="BY132" s="1">
        <v>21.152989259847001</v>
      </c>
      <c r="BZ132" s="1">
        <v>21.716126745079336</v>
      </c>
      <c r="CA132" s="1">
        <v>21.319677594225698</v>
      </c>
      <c r="CB132" s="1">
        <v>21.462307560294899</v>
      </c>
      <c r="CC132" s="1">
        <v>21.622244637786402</v>
      </c>
      <c r="CD132" s="1">
        <v>21.644969601909398</v>
      </c>
      <c r="CE132" s="1">
        <v>21.7762971423425</v>
      </c>
      <c r="CF132" s="1">
        <v>21.781084355595301</v>
      </c>
      <c r="CG132" s="1">
        <v>22.1054950187666</v>
      </c>
      <c r="CH132" s="1">
        <v>22.327999000400599</v>
      </c>
      <c r="CI132" s="1">
        <v>23.795841711008201</v>
      </c>
      <c r="CJ132" s="1">
        <v>23.888777662896999</v>
      </c>
      <c r="CK132" s="1">
        <v>23.892487467094099</v>
      </c>
      <c r="CL132" s="1">
        <v>25.586135526207599</v>
      </c>
      <c r="CM132" s="1">
        <v>24.7435638184703</v>
      </c>
      <c r="CN132" s="1">
        <v>24.768869274266599</v>
      </c>
    </row>
    <row r="133" spans="1:92" x14ac:dyDescent="0.35">
      <c r="A133" t="s">
        <v>75</v>
      </c>
      <c r="B133" s="1">
        <v>9.1808098371335518</v>
      </c>
      <c r="C133" s="1">
        <v>8.9728947453894676</v>
      </c>
      <c r="D133" s="1">
        <v>8.9968930692941029</v>
      </c>
      <c r="E133" s="1">
        <v>10.607788540501392</v>
      </c>
      <c r="F133" s="1">
        <v>10.6099856685431</v>
      </c>
      <c r="G133" s="1">
        <v>10.674952480162558</v>
      </c>
      <c r="H133" s="1">
        <v>10.73328576923077</v>
      </c>
      <c r="I133" s="1">
        <v>10.750652494870925</v>
      </c>
      <c r="J133" s="1">
        <v>11.691562456287594</v>
      </c>
      <c r="K133" s="1">
        <v>11.151201377915429</v>
      </c>
      <c r="L133" s="1">
        <v>11.171713893247135</v>
      </c>
      <c r="M133" s="1">
        <v>12.796258386202298</v>
      </c>
      <c r="N133" s="1">
        <v>12.789425208755498</v>
      </c>
      <c r="O133" s="1">
        <v>13.016377785130569</v>
      </c>
      <c r="P133" s="1">
        <v>13.011736127975688</v>
      </c>
      <c r="Q133" s="1">
        <v>13.236313036680396</v>
      </c>
      <c r="R133" s="1">
        <v>13.874887023486735</v>
      </c>
      <c r="S133" s="1">
        <v>13.687611954119493</v>
      </c>
      <c r="T133" s="1">
        <v>13.67630473482507</v>
      </c>
      <c r="U133" s="1">
        <v>14.365381281154217</v>
      </c>
      <c r="V133" s="1">
        <v>14.74701049685973</v>
      </c>
      <c r="W133" s="1">
        <v>14.342628631008768</v>
      </c>
      <c r="X133" s="1">
        <v>14.292973964368251</v>
      </c>
      <c r="Y133" s="1">
        <v>14.284102971034983</v>
      </c>
      <c r="Z133" s="1">
        <v>14.252418309913573</v>
      </c>
      <c r="AA133" s="1">
        <v>14.566116247839471</v>
      </c>
      <c r="AB133" s="1">
        <v>14.621795139846459</v>
      </c>
      <c r="AC133" s="1">
        <v>15.17511150947397</v>
      </c>
      <c r="AD133" s="1">
        <v>15.184912396012555</v>
      </c>
      <c r="AE133" s="1">
        <v>15.64479328315133</v>
      </c>
      <c r="AF133" s="1">
        <v>15.073114565366062</v>
      </c>
      <c r="AG133" s="1">
        <v>15.059225264787571</v>
      </c>
      <c r="AH133" s="1">
        <v>15.059210241253805</v>
      </c>
      <c r="AI133" s="1">
        <v>15.733195802987415</v>
      </c>
      <c r="AJ133" s="1">
        <v>15.769469236313265</v>
      </c>
      <c r="AK133" s="1">
        <v>15.761850687536809</v>
      </c>
      <c r="AL133" s="1">
        <v>15.763580398967717</v>
      </c>
      <c r="AM133" s="1">
        <v>16.153881563844728</v>
      </c>
      <c r="AN133" s="1">
        <v>16.151473732540641</v>
      </c>
      <c r="AO133" s="1">
        <v>16.158735384519556</v>
      </c>
      <c r="AP133" s="1">
        <v>16.157800716379718</v>
      </c>
      <c r="AQ133" s="1">
        <v>16.262725028963022</v>
      </c>
      <c r="AR133" s="1">
        <v>16.271951800100869</v>
      </c>
      <c r="AS133" s="1">
        <v>16.261373290378149</v>
      </c>
      <c r="AT133" s="1">
        <v>16.258304422048525</v>
      </c>
      <c r="AU133" s="1">
        <v>16.17986710684178</v>
      </c>
      <c r="AV133" s="1">
        <v>16.248517250183017</v>
      </c>
      <c r="AW133" s="1">
        <v>16.16472544876498</v>
      </c>
      <c r="AX133" s="1">
        <v>16.133471276040034</v>
      </c>
      <c r="AY133" s="1">
        <v>16.019541435727316</v>
      </c>
      <c r="AZ133" s="1">
        <v>15.957970183772417</v>
      </c>
      <c r="BA133" s="1">
        <v>15.898549989051844</v>
      </c>
      <c r="BB133" s="1">
        <v>15.782803063134029</v>
      </c>
      <c r="BC133" s="1">
        <v>15.972691327179463</v>
      </c>
      <c r="BD133" s="1">
        <v>16.063464105527558</v>
      </c>
      <c r="BE133" s="1">
        <v>16.18851146456516</v>
      </c>
      <c r="BF133" s="1">
        <v>16.548340708446055</v>
      </c>
      <c r="BG133" s="1">
        <v>16.603475035998223</v>
      </c>
      <c r="BH133" s="1">
        <v>16.634538714944981</v>
      </c>
      <c r="BI133" s="1">
        <v>16.764333525602765</v>
      </c>
      <c r="BJ133" s="1">
        <v>17.163040728405967</v>
      </c>
      <c r="BK133" s="1">
        <v>17.344977202247271</v>
      </c>
      <c r="BL133" s="1">
        <v>17.387951592597808</v>
      </c>
      <c r="BM133" s="1">
        <v>18.137762997655805</v>
      </c>
      <c r="BN133" s="1">
        <v>18.32478293427036</v>
      </c>
      <c r="BO133" s="1">
        <v>19.247879003961376</v>
      </c>
      <c r="BP133" s="1">
        <v>19.046999760309422</v>
      </c>
      <c r="BQ133" s="1">
        <v>19.048946581834908</v>
      </c>
      <c r="BR133" s="1">
        <v>19.239685270833977</v>
      </c>
      <c r="BS133" s="1">
        <v>18.778571780688335</v>
      </c>
      <c r="BT133" s="1">
        <v>18.825330385487419</v>
      </c>
      <c r="BU133" s="1">
        <v>19.168522695012157</v>
      </c>
      <c r="BV133" s="1">
        <v>19.540309371311398</v>
      </c>
      <c r="BW133" s="1">
        <v>20.437190548268113</v>
      </c>
      <c r="BX133" s="1">
        <v>20.490287828784201</v>
      </c>
      <c r="BY133" s="1">
        <v>20.484262089985201</v>
      </c>
      <c r="BZ133" s="1">
        <v>20.953681983905017</v>
      </c>
      <c r="CA133" s="1">
        <v>21.028846797373699</v>
      </c>
      <c r="CB133" s="1">
        <v>21.399972921460101</v>
      </c>
      <c r="CC133" s="1">
        <v>21.6126204280135</v>
      </c>
      <c r="CD133" s="1">
        <v>21.289972272796501</v>
      </c>
      <c r="CE133" s="1">
        <v>21.477243901391098</v>
      </c>
      <c r="CF133" s="1">
        <v>21.842558801869099</v>
      </c>
      <c r="CG133" s="1">
        <v>22.2496844699535</v>
      </c>
      <c r="CH133" s="1">
        <v>22.3572944232269</v>
      </c>
      <c r="CI133" s="1">
        <v>23.461158435636701</v>
      </c>
      <c r="CJ133" s="1">
        <v>23.5185611037558</v>
      </c>
      <c r="CK133" s="1">
        <v>23.338777239006198</v>
      </c>
      <c r="CL133" s="1">
        <v>24.811604845966301</v>
      </c>
      <c r="CM133" s="1">
        <v>24.7306086806081</v>
      </c>
      <c r="CN133" s="1">
        <v>24.9175890647053</v>
      </c>
    </row>
    <row r="134" spans="1:92" x14ac:dyDescent="0.35">
      <c r="A134" t="s">
        <v>77</v>
      </c>
      <c r="B134" s="1">
        <v>10.930948616600791</v>
      </c>
      <c r="C134" s="1">
        <v>11.010000000000002</v>
      </c>
      <c r="D134" s="1">
        <v>13.014486685503893</v>
      </c>
      <c r="E134" s="1">
        <v>13.010716968248548</v>
      </c>
      <c r="F134" s="1">
        <v>13.004019199728148</v>
      </c>
      <c r="G134" s="1">
        <v>12.990987947716857</v>
      </c>
      <c r="H134" s="1">
        <v>13.580879790203873</v>
      </c>
      <c r="I134" s="1">
        <v>13.605612674869377</v>
      </c>
      <c r="J134" s="1">
        <v>13.598237567204304</v>
      </c>
      <c r="K134" s="1">
        <v>13.404383309641274</v>
      </c>
      <c r="L134" s="1">
        <v>15.60576621644155</v>
      </c>
      <c r="M134" s="1">
        <v>15.611693930083872</v>
      </c>
      <c r="N134" s="1">
        <v>15.661823753519956</v>
      </c>
      <c r="O134" s="1">
        <v>15.564691520950181</v>
      </c>
      <c r="P134" s="1">
        <v>16.268407596185462</v>
      </c>
      <c r="Q134" s="1">
        <v>16.365115211152109</v>
      </c>
      <c r="R134" s="1">
        <v>16.352519569471625</v>
      </c>
      <c r="S134" s="1">
        <v>16.337174866049679</v>
      </c>
      <c r="T134" s="1">
        <v>16.512043088258846</v>
      </c>
      <c r="U134" s="1">
        <v>18.356871454821441</v>
      </c>
      <c r="V134" s="1">
        <v>18.341636537389501</v>
      </c>
      <c r="W134" s="1">
        <v>18.424352997145579</v>
      </c>
      <c r="X134" s="1">
        <v>18.425017002767898</v>
      </c>
      <c r="Y134" s="1">
        <v>19.090699952599152</v>
      </c>
      <c r="Z134" s="1">
        <v>18.931649654522616</v>
      </c>
      <c r="AA134" s="1">
        <v>19.072867750508053</v>
      </c>
      <c r="AB134" s="1">
        <v>19.962979766536964</v>
      </c>
      <c r="AC134" s="1">
        <v>20.392947081712062</v>
      </c>
      <c r="AD134" s="1">
        <v>20.356785686623812</v>
      </c>
      <c r="AE134" s="1">
        <v>20.449562976737852</v>
      </c>
      <c r="AF134" s="1">
        <v>19.682857766655264</v>
      </c>
      <c r="AG134" s="1">
        <v>19.631291547613458</v>
      </c>
      <c r="AH134" s="1">
        <v>19.599384285326522</v>
      </c>
      <c r="AI134" s="1">
        <v>19.982545659185355</v>
      </c>
      <c r="AJ134" s="1">
        <v>19.963540180552314</v>
      </c>
      <c r="AK134" s="1">
        <v>20.045343128718585</v>
      </c>
      <c r="AL134" s="1">
        <v>20.88255041395135</v>
      </c>
      <c r="AM134" s="1">
        <v>20.133119320257499</v>
      </c>
      <c r="AN134" s="1">
        <v>20.189079923991294</v>
      </c>
      <c r="AO134" s="1">
        <v>20.859160715952378</v>
      </c>
      <c r="AP134" s="1">
        <v>20.85032007625567</v>
      </c>
      <c r="AQ134" s="1">
        <v>20.350892111094893</v>
      </c>
      <c r="AR134" s="1">
        <v>20.607851888209908</v>
      </c>
      <c r="AS134" s="1">
        <v>20.594054717406927</v>
      </c>
      <c r="AT134" s="1">
        <v>20.584700409909971</v>
      </c>
      <c r="AU134" s="1">
        <v>20.473925602891711</v>
      </c>
      <c r="AV134" s="1">
        <v>20.543323719739782</v>
      </c>
      <c r="AW134" s="1">
        <v>20.455833607023052</v>
      </c>
      <c r="AX134" s="1">
        <v>20.431316571223789</v>
      </c>
      <c r="AY134" s="1">
        <v>20.417505143489066</v>
      </c>
      <c r="AZ134" s="1">
        <v>20.869340602369611</v>
      </c>
      <c r="BA134" s="1">
        <v>20.919861358246536</v>
      </c>
      <c r="BB134" s="1">
        <v>21.033840579486473</v>
      </c>
      <c r="BC134" s="1">
        <v>20.812741573105335</v>
      </c>
      <c r="BD134" s="1">
        <v>20.770756309676891</v>
      </c>
      <c r="BE134" s="1">
        <v>21.352301309643828</v>
      </c>
      <c r="BF134" s="1">
        <v>21.461080710913173</v>
      </c>
      <c r="BG134" s="1">
        <v>21.615143297859785</v>
      </c>
      <c r="BH134" s="1">
        <v>21.853860537010537</v>
      </c>
      <c r="BI134" s="1">
        <v>21.829261128075974</v>
      </c>
      <c r="BJ134" s="1">
        <v>21.853161865771273</v>
      </c>
      <c r="BK134" s="1">
        <v>22.052781461415343</v>
      </c>
      <c r="BL134" s="1">
        <v>22.110633365809583</v>
      </c>
      <c r="BM134" s="1">
        <v>22.368180368648538</v>
      </c>
      <c r="BN134" s="1">
        <v>22.42501738046635</v>
      </c>
      <c r="BO134" s="1">
        <v>23.230994751088183</v>
      </c>
      <c r="BP134" s="1">
        <v>23.167405767173044</v>
      </c>
      <c r="BQ134" s="1">
        <v>23.127203525272805</v>
      </c>
      <c r="BR134" s="1">
        <v>23.104577347739841</v>
      </c>
      <c r="BS134" s="1">
        <v>23.680128706945503</v>
      </c>
      <c r="BT134" s="1">
        <v>23.746650920576812</v>
      </c>
      <c r="BU134" s="1">
        <v>23.89996793794532</v>
      </c>
      <c r="BV134" s="1">
        <v>24.046851050761582</v>
      </c>
      <c r="BW134" s="1">
        <v>24.030658935048564</v>
      </c>
      <c r="BX134" s="1">
        <v>24.3087163639251</v>
      </c>
      <c r="BY134" s="1">
        <v>24.293088885010611</v>
      </c>
      <c r="BZ134" s="1">
        <v>24.240261845118049</v>
      </c>
      <c r="CA134" s="1">
        <v>24.6549380823554</v>
      </c>
      <c r="CB134" s="1">
        <v>24.8852537748682</v>
      </c>
      <c r="CC134" s="1">
        <v>25.1251246431199</v>
      </c>
      <c r="CD134" s="1">
        <v>25.2094407209031</v>
      </c>
      <c r="CE134" s="1">
        <v>25.1655148470523</v>
      </c>
      <c r="CF134" s="1">
        <v>26.5703417708947</v>
      </c>
      <c r="CG134" s="1">
        <v>27.3141736679143</v>
      </c>
      <c r="CH134" s="1">
        <v>27.603481513301901</v>
      </c>
      <c r="CI134" s="1">
        <v>27.380425725230499</v>
      </c>
      <c r="CJ134" s="1">
        <v>27.436699086439699</v>
      </c>
      <c r="CK134" s="1">
        <v>27.441986144868501</v>
      </c>
      <c r="CL134" s="1">
        <v>28.676444096729401</v>
      </c>
      <c r="CM134" s="1">
        <v>28.357568924007001</v>
      </c>
      <c r="CN134" s="1">
        <v>28.592983625272801</v>
      </c>
    </row>
    <row r="135" spans="1:92" x14ac:dyDescent="0.35">
      <c r="A135" t="s">
        <v>122</v>
      </c>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T135" s="13"/>
      <c r="AV135" s="13"/>
      <c r="AW135" s="13"/>
      <c r="AX135" s="13"/>
      <c r="AY135" s="13"/>
      <c r="AZ135" s="13"/>
      <c r="BA135" s="13"/>
      <c r="BC135" s="13"/>
      <c r="BF135" s="13"/>
      <c r="BG135" s="13"/>
      <c r="BH135" s="13"/>
    </row>
    <row r="136" spans="1:92" x14ac:dyDescent="0.35">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T136" s="13"/>
      <c r="AV136" s="13"/>
      <c r="AW136" s="13"/>
      <c r="AX136" s="13"/>
      <c r="AY136" s="13"/>
      <c r="AZ136" s="13"/>
      <c r="BA136" s="13"/>
      <c r="BC136" s="13"/>
      <c r="BF136" s="13"/>
      <c r="BG136" s="13"/>
      <c r="BH136" s="13"/>
    </row>
    <row r="137" spans="1:92" ht="21" x14ac:dyDescent="0.5">
      <c r="A137" s="73" t="s">
        <v>130</v>
      </c>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T137" s="13"/>
      <c r="AV137" s="13"/>
      <c r="AW137" s="13"/>
      <c r="AX137" s="13"/>
      <c r="AY137" s="13"/>
      <c r="AZ137" s="13"/>
      <c r="BA137" s="13"/>
      <c r="BC137" s="13"/>
      <c r="BF137" s="13"/>
      <c r="BG137" s="13"/>
      <c r="BH137" s="13"/>
    </row>
    <row r="138" spans="1:92" ht="18.5" x14ac:dyDescent="0.45">
      <c r="A138" s="74" t="s">
        <v>123</v>
      </c>
      <c r="B138" s="18">
        <v>38032</v>
      </c>
      <c r="C138" s="18">
        <v>38122</v>
      </c>
      <c r="D138" s="18">
        <v>38214</v>
      </c>
      <c r="E138" s="18">
        <v>38306</v>
      </c>
      <c r="F138" s="18">
        <v>38398</v>
      </c>
      <c r="G138" s="18">
        <v>38487</v>
      </c>
      <c r="H138" s="18">
        <v>38579</v>
      </c>
      <c r="I138" s="18">
        <v>38671</v>
      </c>
      <c r="J138" s="18">
        <v>38763</v>
      </c>
      <c r="K138" s="18">
        <v>38852</v>
      </c>
      <c r="L138" s="18">
        <v>38944</v>
      </c>
      <c r="M138" s="18">
        <v>39036</v>
      </c>
      <c r="N138" s="18">
        <v>39128</v>
      </c>
      <c r="O138" s="18">
        <v>39217</v>
      </c>
      <c r="P138" s="18">
        <v>39309</v>
      </c>
      <c r="Q138" s="18">
        <v>39401</v>
      </c>
      <c r="R138" s="18">
        <v>39493</v>
      </c>
      <c r="S138" s="18">
        <v>39583</v>
      </c>
      <c r="T138" s="18">
        <v>39675</v>
      </c>
      <c r="U138" s="18">
        <v>39767</v>
      </c>
      <c r="V138" s="18">
        <v>39859</v>
      </c>
      <c r="W138" s="18">
        <v>39948</v>
      </c>
      <c r="X138" s="18">
        <v>40040</v>
      </c>
      <c r="Y138" s="18">
        <v>40132</v>
      </c>
      <c r="Z138" s="18">
        <v>40224</v>
      </c>
      <c r="AA138" s="18">
        <v>40313</v>
      </c>
      <c r="AB138" s="18">
        <v>40405</v>
      </c>
      <c r="AC138" s="18">
        <v>40497</v>
      </c>
      <c r="AD138" s="18">
        <v>40589</v>
      </c>
      <c r="AE138" s="18">
        <v>40678</v>
      </c>
      <c r="AF138" s="18">
        <v>40770</v>
      </c>
      <c r="AG138" s="18">
        <v>40862</v>
      </c>
      <c r="AH138" s="18">
        <v>40954</v>
      </c>
      <c r="AI138" s="18">
        <v>41044</v>
      </c>
      <c r="AJ138" s="18">
        <v>41136</v>
      </c>
      <c r="AK138" s="18">
        <v>41228</v>
      </c>
      <c r="AL138" s="18">
        <v>41320</v>
      </c>
      <c r="AM138" s="18">
        <v>41409</v>
      </c>
      <c r="AN138" s="18">
        <v>41501</v>
      </c>
      <c r="AO138" s="18">
        <v>41593</v>
      </c>
      <c r="AP138" s="18">
        <v>41685</v>
      </c>
      <c r="AQ138" s="18">
        <v>41774</v>
      </c>
      <c r="AR138" s="18">
        <v>41866</v>
      </c>
      <c r="AS138" s="18">
        <v>41958</v>
      </c>
      <c r="AT138" s="18">
        <v>42050</v>
      </c>
      <c r="AU138" s="18">
        <v>42139</v>
      </c>
      <c r="AV138" s="18">
        <v>42231</v>
      </c>
      <c r="AW138" s="18">
        <v>42323</v>
      </c>
      <c r="AX138" s="18">
        <v>42415</v>
      </c>
      <c r="AY138" s="18">
        <v>42505</v>
      </c>
      <c r="AZ138" s="18">
        <v>42597</v>
      </c>
      <c r="BA138" s="18">
        <v>42689</v>
      </c>
      <c r="BB138" s="18">
        <v>42781</v>
      </c>
      <c r="BC138" s="18">
        <v>42870</v>
      </c>
      <c r="BD138" s="18">
        <v>42962</v>
      </c>
      <c r="BE138" s="18">
        <v>43054</v>
      </c>
      <c r="BF138" s="18">
        <v>43146</v>
      </c>
      <c r="BG138" s="18">
        <v>43235</v>
      </c>
      <c r="BH138" s="18">
        <v>43327</v>
      </c>
      <c r="BI138" s="18">
        <v>43419</v>
      </c>
      <c r="BJ138" s="18">
        <v>43511</v>
      </c>
      <c r="BK138" s="18">
        <v>43600</v>
      </c>
      <c r="BL138" s="18">
        <v>43692</v>
      </c>
      <c r="BM138" s="18">
        <v>43784</v>
      </c>
      <c r="BN138" s="18">
        <v>43876</v>
      </c>
      <c r="BO138" s="18">
        <v>43966</v>
      </c>
      <c r="BP138" s="18">
        <v>44058</v>
      </c>
      <c r="BQ138" s="18">
        <v>44150</v>
      </c>
      <c r="BR138" s="18">
        <v>44242</v>
      </c>
      <c r="BS138" s="18">
        <v>44331</v>
      </c>
      <c r="BT138" s="18">
        <v>44423</v>
      </c>
      <c r="BU138" s="18">
        <v>44515</v>
      </c>
      <c r="BV138" s="18">
        <v>44607</v>
      </c>
      <c r="BW138" s="18">
        <v>44696</v>
      </c>
      <c r="BX138" s="18">
        <v>44788</v>
      </c>
      <c r="BY138" s="18">
        <v>44880</v>
      </c>
      <c r="BZ138" s="18">
        <v>44972</v>
      </c>
      <c r="CA138" s="18">
        <v>45061</v>
      </c>
      <c r="CB138" s="18">
        <v>45153</v>
      </c>
      <c r="CC138" s="18">
        <v>45245</v>
      </c>
      <c r="CD138" s="18">
        <v>45337</v>
      </c>
      <c r="CE138" s="18">
        <v>45427</v>
      </c>
      <c r="CF138" s="18">
        <v>45519</v>
      </c>
      <c r="CG138" s="18">
        <v>45611</v>
      </c>
      <c r="CH138" s="18">
        <v>45703</v>
      </c>
      <c r="CI138" s="18">
        <v>45792</v>
      </c>
      <c r="CJ138" s="18">
        <v>45884</v>
      </c>
      <c r="CK138" s="18">
        <v>45976</v>
      </c>
      <c r="CL138" s="18">
        <v>46068</v>
      </c>
      <c r="CM138" s="18">
        <v>46157</v>
      </c>
      <c r="CN138" s="18">
        <v>46249</v>
      </c>
    </row>
    <row r="139" spans="1:92" x14ac:dyDescent="0.35">
      <c r="A139" s="16" t="s">
        <v>85</v>
      </c>
      <c r="B139" s="15">
        <v>1.5681348844987215</v>
      </c>
      <c r="C139" s="15">
        <v>1.6105670752758154</v>
      </c>
      <c r="D139" s="15">
        <v>1.6181219405407361</v>
      </c>
      <c r="E139" s="15">
        <v>1.613464281888497</v>
      </c>
      <c r="F139" s="15">
        <v>1.6300745244892665</v>
      </c>
      <c r="G139" s="15">
        <v>1.6397685897532974</v>
      </c>
      <c r="H139" s="15">
        <v>1.642859445207824</v>
      </c>
      <c r="I139" s="15">
        <v>1.6376521782634401</v>
      </c>
      <c r="J139" s="15">
        <v>1.637609382431179</v>
      </c>
      <c r="K139" s="15">
        <v>1.8686660265003809</v>
      </c>
      <c r="L139" s="15">
        <v>1.8687328198133455</v>
      </c>
      <c r="M139" s="15">
        <v>1.8685891728204218</v>
      </c>
      <c r="N139" s="15">
        <v>1.8473403402896682</v>
      </c>
      <c r="O139" s="15">
        <v>1.8034713533858031</v>
      </c>
      <c r="P139" s="15">
        <v>1.8035591903642294</v>
      </c>
      <c r="Q139" s="15">
        <v>1.8036645713592083</v>
      </c>
      <c r="R139" s="15">
        <v>1.8036203849840922</v>
      </c>
      <c r="S139" s="15">
        <v>2.0096902181939611</v>
      </c>
      <c r="T139" s="15">
        <v>2.0143640208675819</v>
      </c>
      <c r="U139" s="15">
        <v>2.0344747799412772</v>
      </c>
      <c r="V139" s="15">
        <v>2.034492013665901</v>
      </c>
      <c r="W139" s="15">
        <v>2.1610838288908325</v>
      </c>
      <c r="X139" s="15">
        <v>2.1610575377362333</v>
      </c>
      <c r="Y139" s="15">
        <v>2.1610646425768101</v>
      </c>
      <c r="Z139" s="15">
        <v>2.1547079370075428</v>
      </c>
      <c r="AA139" s="15">
        <v>2.1585927028451546</v>
      </c>
      <c r="AB139" s="15">
        <v>2.1585899006686216</v>
      </c>
      <c r="AC139" s="15">
        <v>2.203723525054941</v>
      </c>
      <c r="AD139" s="15">
        <v>2.2036467166927061</v>
      </c>
      <c r="AE139" s="15">
        <v>2.3815732931725755</v>
      </c>
      <c r="AF139" s="15">
        <v>2.3853525145461636</v>
      </c>
      <c r="AG139" s="15">
        <v>2.3857046071271109</v>
      </c>
      <c r="AH139" s="15">
        <v>2.3857522138443583</v>
      </c>
      <c r="AI139" s="15">
        <v>2.9438312972841341</v>
      </c>
      <c r="AJ139" s="15">
        <v>2.9437417411756766</v>
      </c>
      <c r="AK139" s="15">
        <v>2.9435189068658225</v>
      </c>
      <c r="AL139" s="15">
        <v>2.9393871993383978</v>
      </c>
      <c r="AM139" s="15">
        <v>3.0002175489203098</v>
      </c>
      <c r="AN139" s="15">
        <v>3.0000557928482023</v>
      </c>
      <c r="AO139" s="15">
        <v>2.9999452650980696</v>
      </c>
      <c r="AP139" s="15">
        <v>3.0094650045482001</v>
      </c>
      <c r="AQ139" s="15">
        <v>3.3213356577845352</v>
      </c>
      <c r="AR139" s="15">
        <v>3.3240800817928928</v>
      </c>
      <c r="AS139" s="15">
        <v>3.3246395219426099</v>
      </c>
      <c r="AT139" s="15">
        <v>3.3246029245590258</v>
      </c>
      <c r="AU139" s="15">
        <v>3.4759247430528388</v>
      </c>
      <c r="AV139" s="15">
        <v>3.4756597672847747</v>
      </c>
      <c r="AW139" s="15">
        <v>3.4754706035967837</v>
      </c>
      <c r="AX139" s="15">
        <v>3.4752503395229399</v>
      </c>
      <c r="AY139" s="15">
        <v>3.6170373946102456</v>
      </c>
      <c r="AZ139" s="15">
        <v>3.6167458989744392</v>
      </c>
      <c r="BA139" s="15">
        <v>3.6165470473193921</v>
      </c>
      <c r="BB139" s="15">
        <v>3.6146070960734225</v>
      </c>
      <c r="BC139" s="15">
        <v>3.7910396744952246</v>
      </c>
      <c r="BD139" s="15">
        <v>3.7905876055735113</v>
      </c>
      <c r="BE139" s="15">
        <v>3.7901163772215138</v>
      </c>
      <c r="BF139" s="15">
        <v>3.7899781450708905</v>
      </c>
      <c r="BG139" s="15">
        <v>3.5819420869149767</v>
      </c>
      <c r="BH139" s="15">
        <v>3.3962894149929017</v>
      </c>
      <c r="BI139" s="15">
        <v>3.3912522429377492</v>
      </c>
      <c r="BJ139" s="15">
        <v>3.3910201907085344</v>
      </c>
      <c r="BK139" s="15">
        <v>3.07367018281185</v>
      </c>
      <c r="BL139" s="15">
        <v>3.073653441909717</v>
      </c>
      <c r="BM139" s="15">
        <v>3.0735352871479491</v>
      </c>
      <c r="BN139" s="15">
        <v>3.0734188112835628</v>
      </c>
      <c r="BO139" s="15">
        <v>2.5975742514560736</v>
      </c>
      <c r="BP139" s="15">
        <v>2.5977749484372468</v>
      </c>
      <c r="BQ139" s="15">
        <v>2.5976461237188126</v>
      </c>
      <c r="BR139" s="15">
        <v>2.5973070501138822</v>
      </c>
      <c r="BS139" s="15">
        <v>2.6386384671419325</v>
      </c>
      <c r="BT139" s="15">
        <v>2.638855561625296</v>
      </c>
      <c r="BU139" s="15">
        <v>2.6393084758061907</v>
      </c>
      <c r="BV139" s="15">
        <v>2.6423054710496094</v>
      </c>
      <c r="BW139" s="15">
        <v>2.5430582532486317</v>
      </c>
      <c r="BX139" s="15">
        <v>2.5431207670698819</v>
      </c>
      <c r="BY139" s="15">
        <v>2.5433823529708066</v>
      </c>
      <c r="BZ139" s="15">
        <v>2.5433273205386882</v>
      </c>
      <c r="CA139" s="15">
        <v>2.25530946336964</v>
      </c>
      <c r="CB139" s="15">
        <v>2.2555084227642599</v>
      </c>
      <c r="CC139" s="15">
        <v>2.25591103689215</v>
      </c>
      <c r="CD139" s="15">
        <v>2.25595512234006</v>
      </c>
      <c r="CE139" s="15">
        <v>2.2784569528528502</v>
      </c>
      <c r="CF139" s="15">
        <v>2.2786608432111</v>
      </c>
      <c r="CG139" s="15">
        <v>2.2788473174756998</v>
      </c>
      <c r="CH139" s="15">
        <v>2.27939616200086</v>
      </c>
      <c r="CI139" s="15">
        <v>2.6388470684278702</v>
      </c>
      <c r="CJ139" s="15">
        <v>2.6390733616196802</v>
      </c>
      <c r="CK139" s="15">
        <v>2.6393702327868902</v>
      </c>
      <c r="CL139" s="15">
        <v>2.6393196136886998</v>
      </c>
      <c r="CM139" s="15">
        <v>2.975001640621</v>
      </c>
      <c r="CN139" s="15">
        <v>2.9754905509099601</v>
      </c>
    </row>
    <row r="140" spans="1:92" x14ac:dyDescent="0.35">
      <c r="A140" t="s">
        <v>24</v>
      </c>
      <c r="B140" s="1">
        <v>2.2799999999999998</v>
      </c>
      <c r="C140" s="1">
        <v>2.2799999999999998</v>
      </c>
      <c r="D140" s="1">
        <v>2.2799999999999998</v>
      </c>
      <c r="E140" s="1">
        <v>2.2799999999999998</v>
      </c>
      <c r="F140" s="1">
        <v>2.2799999999999998</v>
      </c>
      <c r="G140" s="1">
        <v>2.35</v>
      </c>
      <c r="H140" s="1">
        <v>2.35</v>
      </c>
      <c r="I140" s="1">
        <v>2.35</v>
      </c>
      <c r="J140" s="1">
        <v>2.35</v>
      </c>
      <c r="K140" s="1">
        <v>2.35</v>
      </c>
      <c r="L140" s="1">
        <v>2.35</v>
      </c>
      <c r="M140" s="1">
        <v>2.35</v>
      </c>
      <c r="N140" s="1">
        <v>2.35</v>
      </c>
      <c r="O140" s="1">
        <v>2.41</v>
      </c>
      <c r="P140" s="1">
        <v>2.41</v>
      </c>
      <c r="Q140" s="1">
        <v>2.41</v>
      </c>
      <c r="R140" s="1">
        <v>2.41</v>
      </c>
      <c r="S140" s="1">
        <v>2.41</v>
      </c>
      <c r="T140" s="1">
        <v>2.41</v>
      </c>
      <c r="U140" s="1">
        <v>2.41</v>
      </c>
      <c r="V140" s="1">
        <v>2.41</v>
      </c>
      <c r="W140" s="1">
        <v>2.65</v>
      </c>
      <c r="X140" s="1">
        <v>2.65</v>
      </c>
      <c r="Y140" s="1">
        <v>2.65</v>
      </c>
      <c r="Z140" s="1">
        <v>2.65</v>
      </c>
      <c r="AA140" s="1">
        <v>1.37</v>
      </c>
      <c r="AB140" s="1">
        <v>1.37</v>
      </c>
      <c r="AC140" s="1">
        <v>1.4</v>
      </c>
      <c r="AD140" s="1">
        <v>1.4</v>
      </c>
      <c r="AE140" s="1">
        <v>1.4720000000000002</v>
      </c>
      <c r="AF140" s="1">
        <v>1.4720000000000002</v>
      </c>
      <c r="AG140" s="1">
        <v>1.4720000000000002</v>
      </c>
      <c r="AH140" s="1">
        <v>1.4720000000000002</v>
      </c>
      <c r="AI140" s="1">
        <v>1.6007999999999998</v>
      </c>
      <c r="AJ140" s="1">
        <v>1.6007999999999998</v>
      </c>
      <c r="AK140" s="1">
        <v>1.6007999999999998</v>
      </c>
      <c r="AL140" s="1">
        <v>1.6007999999999998</v>
      </c>
      <c r="AM140" s="1">
        <v>1.7157999999999998</v>
      </c>
      <c r="AN140" s="1">
        <v>1.7157999999999998</v>
      </c>
      <c r="AO140" s="1">
        <v>1.7157999999999998</v>
      </c>
      <c r="AP140" s="1">
        <v>1.7157999999999998</v>
      </c>
      <c r="AQ140" s="1">
        <v>1.9538499999999999</v>
      </c>
      <c r="AR140" s="1">
        <v>1.9538499999999999</v>
      </c>
      <c r="AS140" s="1">
        <v>1.9538499999999999</v>
      </c>
      <c r="AT140" s="1">
        <v>1.9538499999999999</v>
      </c>
      <c r="AU140" s="1">
        <v>1.4972999999999996</v>
      </c>
      <c r="AV140" s="1">
        <v>1.4972999999999996</v>
      </c>
      <c r="AW140" s="1">
        <v>1.4972999999999996</v>
      </c>
      <c r="AX140" s="1">
        <v>1.4972999999999996</v>
      </c>
      <c r="AY140" s="1">
        <v>2.4011999999999998</v>
      </c>
      <c r="AZ140" s="1">
        <v>2.4011999999999998</v>
      </c>
      <c r="BA140" s="1">
        <v>2.4011999999999998</v>
      </c>
      <c r="BB140" s="1">
        <v>2.4011999999999998</v>
      </c>
      <c r="BC140" s="1">
        <v>2.4132864999999994</v>
      </c>
      <c r="BD140" s="1">
        <v>2.4132864999999994</v>
      </c>
      <c r="BE140" s="1">
        <v>2.4132864999999994</v>
      </c>
      <c r="BF140" s="1">
        <v>2.4132864999999994</v>
      </c>
      <c r="BG140" s="1">
        <v>2.2286999999999999</v>
      </c>
      <c r="BH140" s="1">
        <v>2.2286999999999999</v>
      </c>
      <c r="BI140" s="1">
        <v>2.2286999999999999</v>
      </c>
      <c r="BJ140" s="1">
        <v>2.2286999999999999</v>
      </c>
      <c r="BK140" s="1">
        <v>2.6093500000000001</v>
      </c>
      <c r="BL140" s="1">
        <v>2.6093500000000001</v>
      </c>
      <c r="BM140" s="1">
        <v>2.6093500000000001</v>
      </c>
      <c r="BN140" s="1">
        <v>2.6093500000000001</v>
      </c>
      <c r="BO140" s="1">
        <v>2.0676999999999999</v>
      </c>
      <c r="BP140" s="1">
        <v>2.0676999999999999</v>
      </c>
      <c r="BQ140" s="1">
        <v>2.0676999999999999</v>
      </c>
      <c r="BR140" s="1">
        <v>2.0676999999999999</v>
      </c>
      <c r="BS140" s="1">
        <v>2.1930499999999999</v>
      </c>
      <c r="BT140" s="1">
        <v>2.1930499999999999</v>
      </c>
      <c r="BU140" s="1">
        <v>2.1930499999999999</v>
      </c>
      <c r="BV140" s="1">
        <v>2.1930499999999999</v>
      </c>
      <c r="BW140" s="1">
        <v>2.2010999999999998</v>
      </c>
      <c r="BX140" s="1">
        <v>2.2010999999999998</v>
      </c>
      <c r="BY140" s="1">
        <v>2.2010999999999998</v>
      </c>
      <c r="BZ140" s="1">
        <v>2.2010999999999998</v>
      </c>
      <c r="CA140" s="1">
        <v>2.6680000000000001</v>
      </c>
      <c r="CB140" s="1">
        <v>2.6680000000000001</v>
      </c>
      <c r="CC140" s="1">
        <v>2.6680000000000001</v>
      </c>
      <c r="CD140" s="1">
        <v>2.6680000000000001</v>
      </c>
      <c r="CE140" s="1">
        <v>2.7715000000000001</v>
      </c>
      <c r="CF140" s="1">
        <v>2.7715000000000001</v>
      </c>
      <c r="CG140" s="1">
        <v>2.7715000000000001</v>
      </c>
      <c r="CH140" s="1">
        <v>2.7715000000000001</v>
      </c>
      <c r="CI140" s="1">
        <v>2.3690000000000002</v>
      </c>
      <c r="CJ140" s="1">
        <v>2.3690000000000002</v>
      </c>
      <c r="CK140" s="1">
        <v>2.3690000000000002</v>
      </c>
      <c r="CL140" s="1">
        <v>2.3690000000000002</v>
      </c>
      <c r="CM140" s="1">
        <v>3.68</v>
      </c>
      <c r="CN140" s="1">
        <v>3.68</v>
      </c>
    </row>
    <row r="141" spans="1:92" x14ac:dyDescent="0.35">
      <c r="A141" t="s">
        <v>35</v>
      </c>
      <c r="B141" s="1">
        <v>1.97</v>
      </c>
      <c r="C141" s="1">
        <v>2.11</v>
      </c>
      <c r="D141" s="1">
        <v>2.11</v>
      </c>
      <c r="E141" s="1">
        <v>2.11</v>
      </c>
      <c r="F141" s="1">
        <v>2.11</v>
      </c>
      <c r="G141" s="1">
        <v>2.0499999999999998</v>
      </c>
      <c r="H141" s="1">
        <v>2.0499999999999998</v>
      </c>
      <c r="I141" s="1">
        <v>2.0499999999999998</v>
      </c>
      <c r="J141" s="1">
        <v>2.0499999999999998</v>
      </c>
      <c r="K141" s="1">
        <v>1.77</v>
      </c>
      <c r="L141" s="1">
        <v>1.77</v>
      </c>
      <c r="M141" s="1">
        <v>1.77</v>
      </c>
      <c r="N141" s="1">
        <v>1.77</v>
      </c>
      <c r="O141" s="1">
        <v>1.61</v>
      </c>
      <c r="P141" s="1">
        <v>1.61</v>
      </c>
      <c r="Q141" s="1">
        <v>1.61</v>
      </c>
      <c r="R141" s="1">
        <v>1.61</v>
      </c>
      <c r="S141" s="1">
        <v>2.1</v>
      </c>
      <c r="T141" s="1">
        <v>2.1</v>
      </c>
      <c r="U141" s="1">
        <v>2.1</v>
      </c>
      <c r="V141" s="1">
        <v>2.1</v>
      </c>
      <c r="W141" s="1">
        <v>1.71</v>
      </c>
      <c r="X141" s="1">
        <v>1.71</v>
      </c>
      <c r="Y141" s="1">
        <v>1.71</v>
      </c>
      <c r="Z141" s="1">
        <v>1.71</v>
      </c>
      <c r="AA141" s="1">
        <v>1.68</v>
      </c>
      <c r="AB141" s="1">
        <v>1.68</v>
      </c>
      <c r="AC141" s="1">
        <v>1.72</v>
      </c>
      <c r="AD141" s="1">
        <v>1.72</v>
      </c>
      <c r="AE141" s="1">
        <v>2.1642999999999999</v>
      </c>
      <c r="AF141" s="1">
        <v>2.1642999999999999</v>
      </c>
      <c r="AG141" s="1">
        <v>2.1642999999999999</v>
      </c>
      <c r="AH141" s="1">
        <v>2.1642999999999999</v>
      </c>
      <c r="AI141" s="1">
        <v>2.7740300000000002</v>
      </c>
      <c r="AJ141" s="1">
        <v>2.7740300000000002</v>
      </c>
      <c r="AK141" s="1">
        <v>2.7740300000000002</v>
      </c>
      <c r="AL141" s="1">
        <v>2.7740300000000002</v>
      </c>
      <c r="AM141" s="1">
        <v>2.6165949999999998</v>
      </c>
      <c r="AN141" s="1">
        <v>2.6165949999999998</v>
      </c>
      <c r="AO141" s="1">
        <v>2.6165949999999998</v>
      </c>
      <c r="AP141" s="1">
        <v>2.6165949999999998</v>
      </c>
      <c r="AQ141" s="1">
        <v>3.0865999999999998</v>
      </c>
      <c r="AR141" s="1">
        <v>3.0865999999999998</v>
      </c>
      <c r="AS141" s="1">
        <v>3.0865999999999998</v>
      </c>
      <c r="AT141" s="1">
        <v>3.0865999999999998</v>
      </c>
      <c r="AU141" s="1">
        <v>3.0797000000000003</v>
      </c>
      <c r="AV141" s="1">
        <v>3.0797000000000003</v>
      </c>
      <c r="AW141" s="1">
        <v>3.0797000000000003</v>
      </c>
      <c r="AX141" s="1">
        <v>3.0797000000000003</v>
      </c>
      <c r="AY141" s="1">
        <v>3.1400749999999999</v>
      </c>
      <c r="AZ141" s="1">
        <v>3.1400749999999999</v>
      </c>
      <c r="BA141" s="1">
        <v>3.1400749999999999</v>
      </c>
      <c r="BB141" s="1">
        <v>3.1400749999999999</v>
      </c>
      <c r="BC141" s="1">
        <v>3.2493250000000002</v>
      </c>
      <c r="BD141" s="1">
        <v>3.2493250000000002</v>
      </c>
      <c r="BE141" s="1">
        <v>3.2493250000000002</v>
      </c>
      <c r="BF141" s="1">
        <v>3.2493250000000002</v>
      </c>
      <c r="BG141" s="1">
        <v>2.2551499999999995</v>
      </c>
      <c r="BH141" s="1">
        <v>2.2551499999999995</v>
      </c>
      <c r="BI141" s="1">
        <v>2.2551499999999995</v>
      </c>
      <c r="BJ141" s="1">
        <v>2.2551499999999995</v>
      </c>
      <c r="BK141" s="1">
        <v>2.3675050000000004</v>
      </c>
      <c r="BL141" s="1">
        <v>2.3675050000000004</v>
      </c>
      <c r="BM141" s="1">
        <v>2.3675050000000004</v>
      </c>
      <c r="BN141" s="1">
        <v>2.3675050000000004</v>
      </c>
      <c r="BO141" s="1">
        <v>1.8113920751026944</v>
      </c>
      <c r="BP141" s="1">
        <v>1.8113920751026944</v>
      </c>
      <c r="BQ141" s="1">
        <v>1.8113920751026944</v>
      </c>
      <c r="BR141" s="1">
        <v>1.8113920751026944</v>
      </c>
      <c r="BS141" s="1">
        <v>1.6407858350660902</v>
      </c>
      <c r="BT141" s="1">
        <v>1.6407858350660902</v>
      </c>
      <c r="BU141" s="1">
        <v>1.6407858350660902</v>
      </c>
      <c r="BV141" s="1">
        <v>1.6407858350660902</v>
      </c>
      <c r="BW141" s="1">
        <v>1.6396218971276624</v>
      </c>
      <c r="BX141" s="1">
        <v>1.6396218971276624</v>
      </c>
      <c r="BY141" s="1">
        <v>1.6396218971276624</v>
      </c>
      <c r="BZ141" s="1">
        <v>1.6396218971276624</v>
      </c>
      <c r="CA141" s="1">
        <v>1.8363470811202001</v>
      </c>
      <c r="CB141" s="1">
        <v>1.8363470811202001</v>
      </c>
      <c r="CC141" s="1">
        <v>1.8363470811202001</v>
      </c>
      <c r="CD141" s="1">
        <v>1.8363470811202001</v>
      </c>
      <c r="CE141" s="1">
        <v>1.88506326440863</v>
      </c>
      <c r="CF141" s="1">
        <v>1.88506326440863</v>
      </c>
      <c r="CG141" s="1">
        <v>1.88506326440863</v>
      </c>
      <c r="CH141" s="1">
        <v>1.88506326440863</v>
      </c>
      <c r="CI141" s="1">
        <v>1.97908666861687</v>
      </c>
      <c r="CJ141" s="1">
        <v>1.97908666861687</v>
      </c>
      <c r="CK141" s="1">
        <v>1.97908666861687</v>
      </c>
      <c r="CL141" s="1">
        <v>1.97908666861687</v>
      </c>
      <c r="CM141" s="1">
        <v>2.62982613529543</v>
      </c>
      <c r="CN141" s="1">
        <v>2.62982613529543</v>
      </c>
    </row>
    <row r="142" spans="1:92" x14ac:dyDescent="0.35">
      <c r="A142" t="s">
        <v>81</v>
      </c>
      <c r="B142" s="1">
        <v>1.63</v>
      </c>
      <c r="C142" s="1">
        <v>1.47</v>
      </c>
      <c r="D142" s="1">
        <v>1.47</v>
      </c>
      <c r="E142" s="1">
        <v>1.47</v>
      </c>
      <c r="F142" s="1">
        <v>1.47</v>
      </c>
      <c r="G142" s="1">
        <v>1.46</v>
      </c>
      <c r="H142" s="1">
        <v>1.46</v>
      </c>
      <c r="I142" s="1">
        <v>1.46</v>
      </c>
      <c r="J142" s="1">
        <v>1.46</v>
      </c>
      <c r="K142" s="1">
        <v>1.71</v>
      </c>
      <c r="L142" s="1">
        <v>1.71</v>
      </c>
      <c r="M142" s="1">
        <v>1.71</v>
      </c>
      <c r="N142" s="1">
        <v>1.71</v>
      </c>
      <c r="O142" s="1">
        <v>1.56</v>
      </c>
      <c r="P142" s="1">
        <v>1.56</v>
      </c>
      <c r="Q142" s="1">
        <v>1.56</v>
      </c>
      <c r="R142" s="1">
        <v>1.56</v>
      </c>
      <c r="S142" s="1">
        <v>1.9</v>
      </c>
      <c r="T142" s="1">
        <v>1.9</v>
      </c>
      <c r="U142" s="1">
        <v>1.9</v>
      </c>
      <c r="V142" s="1">
        <v>1.9</v>
      </c>
      <c r="W142" s="1">
        <v>1.91</v>
      </c>
      <c r="X142" s="1">
        <v>1.91</v>
      </c>
      <c r="Y142" s="1">
        <v>1.91</v>
      </c>
      <c r="Z142" s="1">
        <v>1.91</v>
      </c>
      <c r="AA142" s="1">
        <v>1.79</v>
      </c>
      <c r="AB142" s="1">
        <v>1.79</v>
      </c>
      <c r="AC142" s="1">
        <v>1.83</v>
      </c>
      <c r="AD142" s="1">
        <v>1.83</v>
      </c>
      <c r="AE142" s="1">
        <v>2.1849999999999996</v>
      </c>
      <c r="AF142" s="1">
        <v>2.1849999999999996</v>
      </c>
      <c r="AG142" s="1">
        <v>2.1849999999999996</v>
      </c>
      <c r="AH142" s="1">
        <v>2.1849999999999996</v>
      </c>
      <c r="AI142" s="1">
        <v>2.7657499999999997</v>
      </c>
      <c r="AJ142" s="1">
        <v>2.7657499999999997</v>
      </c>
      <c r="AK142" s="1">
        <v>2.7657499999999997</v>
      </c>
      <c r="AL142" s="1">
        <v>2.7657499999999997</v>
      </c>
      <c r="AM142" s="1">
        <v>2.4609999999999999</v>
      </c>
      <c r="AN142" s="1">
        <v>2.4609999999999999</v>
      </c>
      <c r="AO142" s="1">
        <v>2.4609999999999999</v>
      </c>
      <c r="AP142" s="1">
        <v>2.4609999999999999</v>
      </c>
      <c r="AQ142" s="1">
        <v>2.9669999999999996</v>
      </c>
      <c r="AR142" s="1">
        <v>2.9669999999999996</v>
      </c>
      <c r="AS142" s="1">
        <v>2.9669999999999996</v>
      </c>
      <c r="AT142" s="1">
        <v>2.9669999999999996</v>
      </c>
      <c r="AU142" s="1">
        <v>3.2314999999999996</v>
      </c>
      <c r="AV142" s="1">
        <v>3.2314999999999996</v>
      </c>
      <c r="AW142" s="1">
        <v>3.2314999999999996</v>
      </c>
      <c r="AX142" s="1">
        <v>3.2314999999999996</v>
      </c>
      <c r="AY142" s="1">
        <v>3.5074999999999994</v>
      </c>
      <c r="AZ142" s="1">
        <v>3.5074999999999994</v>
      </c>
      <c r="BA142" s="1">
        <v>3.5074999999999994</v>
      </c>
      <c r="BB142" s="1">
        <v>3.5074999999999994</v>
      </c>
      <c r="BC142" s="1">
        <v>3.5649999999999999</v>
      </c>
      <c r="BD142" s="1">
        <v>3.5649999999999999</v>
      </c>
      <c r="BE142" s="1">
        <v>3.5649999999999999</v>
      </c>
      <c r="BF142" s="1">
        <v>3.5649999999999999</v>
      </c>
      <c r="BG142" s="1">
        <v>3.3752499999999999</v>
      </c>
      <c r="BH142" s="1">
        <v>3.3752499999999999</v>
      </c>
      <c r="BI142" s="1">
        <v>3.3752499999999999</v>
      </c>
      <c r="BJ142" s="1">
        <v>3.3752499999999999</v>
      </c>
      <c r="BK142" s="1">
        <v>3.3809999999999998</v>
      </c>
      <c r="BL142" s="1">
        <v>3.3809999999999998</v>
      </c>
      <c r="BM142" s="1">
        <v>3.3809999999999998</v>
      </c>
      <c r="BN142" s="1">
        <v>3.3809999999999998</v>
      </c>
      <c r="BO142" s="1">
        <v>2.7623011728427338</v>
      </c>
      <c r="BP142" s="1">
        <v>2.7623011728427338</v>
      </c>
      <c r="BQ142" s="1">
        <v>2.7623011728427338</v>
      </c>
      <c r="BR142" s="1">
        <v>2.7623011728427338</v>
      </c>
      <c r="BS142" s="1">
        <v>2.4863566465769456</v>
      </c>
      <c r="BT142" s="1">
        <v>2.4863566465769456</v>
      </c>
      <c r="BU142" s="1">
        <v>2.4863566465769456</v>
      </c>
      <c r="BV142" s="1">
        <v>2.4863566465769456</v>
      </c>
      <c r="BW142" s="1">
        <v>2.4841341982546488</v>
      </c>
      <c r="BX142" s="1">
        <v>2.4841341982546488</v>
      </c>
      <c r="BY142" s="1">
        <v>2.4841341982546488</v>
      </c>
      <c r="BZ142" s="1">
        <v>2.4841341982546488</v>
      </c>
      <c r="CA142" s="1">
        <v>2.4155280536142101</v>
      </c>
      <c r="CB142" s="1">
        <v>2.4155280536142101</v>
      </c>
      <c r="CC142" s="1">
        <v>2.4155280536142101</v>
      </c>
      <c r="CD142" s="1">
        <v>2.4155280536142101</v>
      </c>
      <c r="CE142" s="1">
        <v>2.5460363742975098</v>
      </c>
      <c r="CF142" s="1">
        <v>2.5460363742975098</v>
      </c>
      <c r="CG142" s="1">
        <v>2.5460363742975098</v>
      </c>
      <c r="CH142" s="1">
        <v>2.5460363742975098</v>
      </c>
      <c r="CI142" s="1">
        <v>2.9409375757600298</v>
      </c>
      <c r="CJ142" s="1">
        <v>2.9409375757600298</v>
      </c>
      <c r="CK142" s="1">
        <v>2.9409375757600298</v>
      </c>
      <c r="CL142" s="1">
        <v>2.9409375757600298</v>
      </c>
      <c r="CM142" s="1">
        <v>4.1498565650265302</v>
      </c>
      <c r="CN142" s="1">
        <v>4.1498565650265302</v>
      </c>
    </row>
    <row r="143" spans="1:92" x14ac:dyDescent="0.35">
      <c r="A143" t="s">
        <v>27</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0</v>
      </c>
      <c r="S143" s="1">
        <v>3.01</v>
      </c>
      <c r="T143" s="1">
        <v>3.01</v>
      </c>
      <c r="U143" s="1">
        <v>3.01</v>
      </c>
      <c r="V143" s="1">
        <v>3.01</v>
      </c>
      <c r="W143" s="1">
        <v>2.2999999999999998</v>
      </c>
      <c r="X143" s="1">
        <v>2.2999999999999998</v>
      </c>
      <c r="Y143" s="1">
        <v>2.2999999999999998</v>
      </c>
      <c r="Z143" s="1">
        <v>2.2999999999999998</v>
      </c>
      <c r="AA143" s="1">
        <v>2.15</v>
      </c>
      <c r="AB143" s="1">
        <v>2.15</v>
      </c>
      <c r="AC143" s="1">
        <v>2.2000000000000002</v>
      </c>
      <c r="AD143" s="1">
        <v>2.2000000000000002</v>
      </c>
      <c r="AE143" s="1">
        <v>2.8600499999999998</v>
      </c>
      <c r="AF143" s="1">
        <v>2.8600499999999998</v>
      </c>
      <c r="AG143" s="1">
        <v>2.8600499999999998</v>
      </c>
      <c r="AH143" s="1">
        <v>2.8600499999999998</v>
      </c>
      <c r="AI143" s="1">
        <v>3.5949</v>
      </c>
      <c r="AJ143" s="1">
        <v>3.5949</v>
      </c>
      <c r="AK143" s="1">
        <v>3.5949</v>
      </c>
      <c r="AL143" s="1">
        <v>3.5949</v>
      </c>
      <c r="AM143" s="1">
        <v>2.982755</v>
      </c>
      <c r="AN143" s="1">
        <v>2.982755</v>
      </c>
      <c r="AO143" s="1">
        <v>2.982755</v>
      </c>
      <c r="AP143" s="1">
        <v>2.982755</v>
      </c>
      <c r="AQ143" s="1">
        <v>3.7867199999999999</v>
      </c>
      <c r="AR143" s="1">
        <v>3.7867199999999999</v>
      </c>
      <c r="AS143" s="1">
        <v>3.7867199999999999</v>
      </c>
      <c r="AT143" s="1">
        <v>3.7867199999999999</v>
      </c>
      <c r="AU143" s="1">
        <v>3.8577900000000001</v>
      </c>
      <c r="AV143" s="1">
        <v>3.8577900000000001</v>
      </c>
      <c r="AW143" s="1">
        <v>3.8577900000000001</v>
      </c>
      <c r="AX143" s="1">
        <v>3.8577900000000001</v>
      </c>
      <c r="AY143" s="1">
        <v>4.2674199999999995</v>
      </c>
      <c r="AZ143" s="1">
        <v>4.2674199999999995</v>
      </c>
      <c r="BA143" s="1">
        <v>4.2674199999999995</v>
      </c>
      <c r="BB143" s="1">
        <v>4.2674199999999995</v>
      </c>
      <c r="BC143" s="1">
        <v>4.207044999999999</v>
      </c>
      <c r="BD143" s="1">
        <v>4.207044999999999</v>
      </c>
      <c r="BE143" s="1">
        <v>4.207044999999999</v>
      </c>
      <c r="BF143" s="1">
        <v>4.207044999999999</v>
      </c>
      <c r="BG143" s="1">
        <v>3.7416399999999999</v>
      </c>
      <c r="BH143" s="1">
        <v>3.7416399999999999</v>
      </c>
      <c r="BI143" s="1">
        <v>3.7416399999999999</v>
      </c>
      <c r="BJ143" s="1">
        <v>3.7416399999999999</v>
      </c>
      <c r="BK143" s="1">
        <v>3.7454350000000001</v>
      </c>
      <c r="BL143" s="1">
        <v>3.7454350000000001</v>
      </c>
      <c r="BM143" s="1">
        <v>3.7454350000000001</v>
      </c>
      <c r="BN143" s="1">
        <v>3.7454350000000001</v>
      </c>
      <c r="BO143" s="1">
        <v>2.8342764161786147</v>
      </c>
      <c r="BP143" s="1">
        <v>2.8342764161786147</v>
      </c>
      <c r="BQ143" s="1">
        <v>2.8342764161786147</v>
      </c>
      <c r="BR143" s="1">
        <v>2.8342764161786147</v>
      </c>
      <c r="BS143" s="1">
        <v>2.5469263290318214</v>
      </c>
      <c r="BT143" s="1">
        <v>2.5469263290318214</v>
      </c>
      <c r="BU143" s="1">
        <v>2.5469263290318214</v>
      </c>
      <c r="BV143" s="1">
        <v>2.5469263290318214</v>
      </c>
      <c r="BW143" s="1">
        <v>2.6262543551510849</v>
      </c>
      <c r="BX143" s="1">
        <v>2.6262543551510849</v>
      </c>
      <c r="BY143" s="1">
        <v>2.6262543551510849</v>
      </c>
      <c r="BZ143" s="1">
        <v>2.6262543551510849</v>
      </c>
      <c r="CA143" s="1">
        <v>2.7233146662267802</v>
      </c>
      <c r="CB143" s="1">
        <v>2.7233146662267802</v>
      </c>
      <c r="CC143" s="1">
        <v>2.7233146662267802</v>
      </c>
      <c r="CD143" s="1">
        <v>2.7233146662267802</v>
      </c>
      <c r="CE143" s="1">
        <v>2.8641896416022501</v>
      </c>
      <c r="CF143" s="1">
        <v>2.8641896416022501</v>
      </c>
      <c r="CG143" s="1">
        <v>2.8641896416022501</v>
      </c>
      <c r="CH143" s="1">
        <v>2.8641896416022501</v>
      </c>
      <c r="CI143" s="1">
        <v>3.0416299547069698</v>
      </c>
      <c r="CJ143" s="1">
        <v>3.0416299547069698</v>
      </c>
      <c r="CK143" s="1">
        <v>3.0416299547069698</v>
      </c>
      <c r="CL143" s="1">
        <v>3.0416299547069698</v>
      </c>
      <c r="CM143" s="1">
        <v>4.1699901963465003</v>
      </c>
      <c r="CN143" s="1">
        <v>4.1699901963465003</v>
      </c>
    </row>
    <row r="144" spans="1:92" x14ac:dyDescent="0.35">
      <c r="A144" t="s">
        <v>26</v>
      </c>
      <c r="B144" s="1">
        <v>2.81</v>
      </c>
      <c r="C144" s="1">
        <v>2.81</v>
      </c>
      <c r="D144" s="1">
        <v>2.81</v>
      </c>
      <c r="E144" s="1">
        <v>2.81</v>
      </c>
      <c r="F144" s="1">
        <v>2.81</v>
      </c>
      <c r="G144" s="1">
        <v>2.81</v>
      </c>
      <c r="H144" s="1">
        <v>2.81</v>
      </c>
      <c r="I144" s="1">
        <v>2.81</v>
      </c>
      <c r="J144" s="1">
        <v>2.81</v>
      </c>
      <c r="K144" s="1">
        <v>2.81</v>
      </c>
      <c r="L144" s="1">
        <v>2.81</v>
      </c>
      <c r="M144" s="1">
        <v>2.81</v>
      </c>
      <c r="N144" s="1">
        <v>2.81</v>
      </c>
      <c r="O144" s="1">
        <v>2.81</v>
      </c>
      <c r="P144" s="1">
        <v>2.81</v>
      </c>
      <c r="Q144" s="1">
        <v>2.81</v>
      </c>
      <c r="R144" s="1">
        <v>2.81</v>
      </c>
      <c r="S144" s="1">
        <v>2.25</v>
      </c>
      <c r="T144" s="1">
        <v>2.25</v>
      </c>
      <c r="U144" s="1">
        <v>2.25</v>
      </c>
      <c r="V144" s="1">
        <v>2.25</v>
      </c>
      <c r="W144" s="1">
        <v>2.2999999999999998</v>
      </c>
      <c r="X144" s="1">
        <v>2.2999999999999998</v>
      </c>
      <c r="Y144" s="1">
        <v>2.2999999999999998</v>
      </c>
      <c r="Z144" s="1">
        <v>2.2999999999999998</v>
      </c>
      <c r="AA144" s="1">
        <v>2.5299999999999998</v>
      </c>
      <c r="AB144" s="1">
        <v>2.5299999999999998</v>
      </c>
      <c r="AC144" s="1">
        <v>2.59</v>
      </c>
      <c r="AD144" s="1">
        <v>2.59</v>
      </c>
      <c r="AE144" s="1">
        <v>2.5874999999999999</v>
      </c>
      <c r="AF144" s="1">
        <v>2.5874999999999999</v>
      </c>
      <c r="AG144" s="1">
        <v>2.5874999999999999</v>
      </c>
      <c r="AH144" s="1">
        <v>2.5874999999999999</v>
      </c>
      <c r="AI144" s="1">
        <v>2.8174999999999999</v>
      </c>
      <c r="AJ144" s="1">
        <v>2.8174999999999999</v>
      </c>
      <c r="AK144" s="1">
        <v>2.8174999999999999</v>
      </c>
      <c r="AL144" s="1">
        <v>2.8174999999999999</v>
      </c>
      <c r="AM144" s="1">
        <v>3.0474999999999999</v>
      </c>
      <c r="AN144" s="1">
        <v>3.0474999999999999</v>
      </c>
      <c r="AO144" s="1">
        <v>3.0474999999999999</v>
      </c>
      <c r="AP144" s="1">
        <v>3.0474999999999999</v>
      </c>
      <c r="AQ144" s="1">
        <v>2.8690703124999994</v>
      </c>
      <c r="AR144" s="1">
        <v>2.8690703124999994</v>
      </c>
      <c r="AS144" s="1">
        <v>2.8690703124999994</v>
      </c>
      <c r="AT144" s="1">
        <v>2.8690703124999994</v>
      </c>
      <c r="AU144" s="1">
        <v>2.8000703124999999</v>
      </c>
      <c r="AV144" s="1">
        <v>2.8000703124999999</v>
      </c>
      <c r="AW144" s="1">
        <v>2.8000703124999999</v>
      </c>
      <c r="AX144" s="1">
        <v>2.8000703124999999</v>
      </c>
      <c r="AY144" s="1">
        <v>2.4550703125000002</v>
      </c>
      <c r="AZ144" s="1">
        <v>2.4550703125000002</v>
      </c>
      <c r="BA144" s="1">
        <v>2.4550703125000002</v>
      </c>
      <c r="BB144" s="1">
        <v>2.4550703125000002</v>
      </c>
      <c r="BC144" s="1">
        <v>3.83229406875</v>
      </c>
      <c r="BD144" s="1">
        <v>3.83229406875</v>
      </c>
      <c r="BE144" s="1">
        <v>3.83229406875</v>
      </c>
      <c r="BF144" s="1">
        <v>3.83229406875</v>
      </c>
      <c r="BG144" s="1">
        <v>3.7867816687500002</v>
      </c>
      <c r="BH144" s="1">
        <v>3.7867816687500002</v>
      </c>
      <c r="BI144" s="1">
        <v>3.7867816687500002</v>
      </c>
      <c r="BJ144" s="1">
        <v>3.7867816687500002</v>
      </c>
      <c r="BK144" s="1">
        <v>3.7694212687499995</v>
      </c>
      <c r="BL144" s="1">
        <v>3.7694212687499995</v>
      </c>
      <c r="BM144" s="1">
        <v>3.7694212687499995</v>
      </c>
      <c r="BN144" s="1">
        <v>3.7694212687499995</v>
      </c>
      <c r="BO144" s="1">
        <v>2.3441329031249998</v>
      </c>
      <c r="BP144" s="1">
        <v>2.3441329031249998</v>
      </c>
      <c r="BQ144" s="1">
        <v>2.3441329031249998</v>
      </c>
      <c r="BR144" s="1">
        <v>2.3441329031249998</v>
      </c>
      <c r="BS144" s="1">
        <v>2.2889053031249995</v>
      </c>
      <c r="BT144" s="1">
        <v>2.2889053031249995</v>
      </c>
      <c r="BU144" s="1">
        <v>2.2889053031249995</v>
      </c>
      <c r="BV144" s="1">
        <v>2.2889053031249995</v>
      </c>
      <c r="BW144" s="1">
        <v>2.26269500625</v>
      </c>
      <c r="BX144" s="1">
        <v>2.26269500625</v>
      </c>
      <c r="BY144" s="1">
        <v>2.26269500625</v>
      </c>
      <c r="BZ144" s="1">
        <v>2.26269500625</v>
      </c>
      <c r="CA144" s="1">
        <v>2.2526721093750002</v>
      </c>
      <c r="CB144" s="1">
        <v>2.2526721093750002</v>
      </c>
      <c r="CC144" s="1">
        <v>2.2526721093750002</v>
      </c>
      <c r="CD144" s="1">
        <v>2.2526721093750002</v>
      </c>
      <c r="CE144" s="1">
        <v>2.4441982124999999</v>
      </c>
      <c r="CF144" s="1">
        <v>2.4441982124999999</v>
      </c>
      <c r="CG144" s="1">
        <v>2.4441982124999999</v>
      </c>
      <c r="CH144" s="1">
        <v>2.4441982124999999</v>
      </c>
      <c r="CI144" s="1">
        <v>2.5617701156249999</v>
      </c>
      <c r="CJ144" s="1">
        <v>2.5617701156249999</v>
      </c>
      <c r="CK144" s="1">
        <v>2.5617701156249999</v>
      </c>
      <c r="CL144" s="1">
        <v>2.5617701156249999</v>
      </c>
      <c r="CM144" s="1">
        <v>2.5130244187500002</v>
      </c>
      <c r="CN144" s="1">
        <v>2.5130244187500002</v>
      </c>
    </row>
    <row r="145" spans="1:92" x14ac:dyDescent="0.35">
      <c r="A145" t="s">
        <v>33</v>
      </c>
      <c r="B145" s="1">
        <v>2.73</v>
      </c>
      <c r="C145" s="1">
        <v>2.73</v>
      </c>
      <c r="D145" s="1">
        <v>2.73</v>
      </c>
      <c r="E145" s="1">
        <v>2.73</v>
      </c>
      <c r="F145" s="1">
        <v>2.73</v>
      </c>
      <c r="G145" s="1">
        <v>2.73</v>
      </c>
      <c r="H145" s="1">
        <v>2.73</v>
      </c>
      <c r="I145" s="1">
        <v>2.73</v>
      </c>
      <c r="J145" s="1">
        <v>2.73</v>
      </c>
      <c r="K145" s="1">
        <v>1.44</v>
      </c>
      <c r="L145" s="1">
        <v>1.44</v>
      </c>
      <c r="M145" s="1">
        <v>1.44</v>
      </c>
      <c r="N145" s="1">
        <v>1.44</v>
      </c>
      <c r="O145" s="1">
        <v>1.61</v>
      </c>
      <c r="P145" s="1">
        <v>1.61</v>
      </c>
      <c r="Q145" s="1">
        <v>1.61</v>
      </c>
      <c r="R145" s="1">
        <v>1.61</v>
      </c>
      <c r="S145" s="1">
        <v>2.21</v>
      </c>
      <c r="T145" s="1">
        <v>2.21</v>
      </c>
      <c r="U145" s="1">
        <v>2.21</v>
      </c>
      <c r="V145" s="1">
        <v>2.21</v>
      </c>
      <c r="W145" s="1">
        <v>2.54</v>
      </c>
      <c r="X145" s="1">
        <v>2.54</v>
      </c>
      <c r="Y145" s="1">
        <v>2.54</v>
      </c>
      <c r="Z145" s="1">
        <v>2.54</v>
      </c>
      <c r="AA145" s="1">
        <v>2.86</v>
      </c>
      <c r="AB145" s="1">
        <v>2.86</v>
      </c>
      <c r="AC145" s="1">
        <v>2.93</v>
      </c>
      <c r="AD145" s="1">
        <v>2.93</v>
      </c>
      <c r="AE145" s="1">
        <v>3.4976171874999991</v>
      </c>
      <c r="AF145" s="1">
        <v>3.4976171874999991</v>
      </c>
      <c r="AG145" s="1">
        <v>3.4976171874999991</v>
      </c>
      <c r="AH145" s="1">
        <v>3.4976171874999991</v>
      </c>
      <c r="AI145" s="1">
        <v>3.5418174374999998</v>
      </c>
      <c r="AJ145" s="1">
        <v>3.5418174374999998</v>
      </c>
      <c r="AK145" s="1">
        <v>3.5418174374999998</v>
      </c>
      <c r="AL145" s="1">
        <v>3.5418174374999998</v>
      </c>
      <c r="AM145" s="1">
        <v>3.7205669687499996</v>
      </c>
      <c r="AN145" s="1">
        <v>3.7205669687499996</v>
      </c>
      <c r="AO145" s="1">
        <v>3.7205669687499996</v>
      </c>
      <c r="AP145" s="1">
        <v>3.7205669687499996</v>
      </c>
      <c r="AQ145" s="1">
        <v>3.7544908906249996</v>
      </c>
      <c r="AR145" s="1">
        <v>3.7544908906249996</v>
      </c>
      <c r="AS145" s="1">
        <v>3.7544908906249996</v>
      </c>
      <c r="AT145" s="1">
        <v>3.7544908906249996</v>
      </c>
      <c r="AU145" s="1">
        <v>3.8468254687499992</v>
      </c>
      <c r="AV145" s="1">
        <v>3.8468254687499992</v>
      </c>
      <c r="AW145" s="1">
        <v>3.8468254687499992</v>
      </c>
      <c r="AX145" s="1">
        <v>3.8468254687499992</v>
      </c>
      <c r="AY145" s="1">
        <v>3.9086397656249998</v>
      </c>
      <c r="AZ145" s="1">
        <v>3.9086397656249998</v>
      </c>
      <c r="BA145" s="1">
        <v>3.9086397656249998</v>
      </c>
      <c r="BB145" s="1">
        <v>3.9086397656249998</v>
      </c>
      <c r="BC145" s="1">
        <v>4.1984397656249994</v>
      </c>
      <c r="BD145" s="1">
        <v>4.1984397656249994</v>
      </c>
      <c r="BE145" s="1">
        <v>4.1984397656249994</v>
      </c>
      <c r="BF145" s="1">
        <v>4.1984397656249994</v>
      </c>
      <c r="BG145" s="1">
        <v>4.1984397656249994</v>
      </c>
      <c r="BH145" s="1">
        <v>4.1984397656249994</v>
      </c>
      <c r="BI145" s="1">
        <v>4.1984397656249994</v>
      </c>
      <c r="BJ145" s="1">
        <v>4.1984397656249994</v>
      </c>
      <c r="BK145" s="1">
        <v>3.9985140624999995</v>
      </c>
      <c r="BL145" s="1">
        <v>3.9985140624999995</v>
      </c>
      <c r="BM145" s="1">
        <v>3.9985140624999995</v>
      </c>
      <c r="BN145" s="1">
        <v>3.9985140624999995</v>
      </c>
      <c r="BO145" s="1">
        <v>3.9985140624999995</v>
      </c>
      <c r="BP145" s="1">
        <v>3.9985140624999995</v>
      </c>
      <c r="BQ145" s="1">
        <v>3.9985140624999995</v>
      </c>
      <c r="BR145" s="1">
        <v>3.9985140624999995</v>
      </c>
      <c r="BS145" s="1">
        <v>3.6995140625</v>
      </c>
      <c r="BT145" s="1">
        <v>3.6995140625</v>
      </c>
      <c r="BU145" s="1">
        <v>3.6995140625</v>
      </c>
      <c r="BV145" s="1">
        <v>3.6995140625</v>
      </c>
      <c r="BW145" s="1">
        <v>3.6960281249999998</v>
      </c>
      <c r="BX145" s="1">
        <v>3.6960281249999998</v>
      </c>
      <c r="BY145" s="1">
        <v>3.6960281249999998</v>
      </c>
      <c r="BZ145" s="1">
        <v>3.6960281249999998</v>
      </c>
      <c r="CA145" s="1">
        <v>3.9455421875000001</v>
      </c>
      <c r="CB145" s="1">
        <v>3.9455421875000001</v>
      </c>
      <c r="CC145" s="1">
        <v>3.9455421875000001</v>
      </c>
      <c r="CD145" s="1">
        <v>3.9455421875000001</v>
      </c>
      <c r="CE145" s="1">
        <v>4.0570562499999996</v>
      </c>
      <c r="CF145" s="1">
        <v>4.0570562499999996</v>
      </c>
      <c r="CG145" s="1">
        <v>4.0570562499999996</v>
      </c>
      <c r="CH145" s="1">
        <v>4.0570562499999996</v>
      </c>
      <c r="CI145" s="1">
        <v>2.5727296874999999</v>
      </c>
      <c r="CJ145" s="1">
        <v>2.5727296874999999</v>
      </c>
      <c r="CK145" s="1">
        <v>2.5727296874999999</v>
      </c>
      <c r="CL145" s="1">
        <v>2.5727296874999999</v>
      </c>
      <c r="CM145" s="1">
        <v>1.643921765625</v>
      </c>
      <c r="CN145" s="1">
        <v>1.643921765625</v>
      </c>
    </row>
    <row r="146" spans="1:92" x14ac:dyDescent="0.35">
      <c r="A146" t="s">
        <v>34</v>
      </c>
      <c r="B146" s="1">
        <v>2.2400000000000002</v>
      </c>
      <c r="C146" s="1">
        <v>2.2400000000000002</v>
      </c>
      <c r="D146" s="1">
        <v>2.3199999999999998</v>
      </c>
      <c r="E146" s="1">
        <v>2.3199999999999998</v>
      </c>
      <c r="F146" s="1">
        <v>2.3199999999999998</v>
      </c>
      <c r="G146" s="1">
        <v>2.3199999999999998</v>
      </c>
      <c r="H146" s="1">
        <v>2.3199999999999998</v>
      </c>
      <c r="I146" s="1">
        <v>2.3199999999999998</v>
      </c>
      <c r="J146" s="1">
        <v>2.3199999999999998</v>
      </c>
      <c r="K146" s="1">
        <v>2.8</v>
      </c>
      <c r="L146" s="1">
        <v>2.8</v>
      </c>
      <c r="M146" s="1">
        <v>2.8</v>
      </c>
      <c r="N146" s="1">
        <v>2.8</v>
      </c>
      <c r="O146" s="1">
        <v>3.26</v>
      </c>
      <c r="P146" s="1">
        <v>3.26</v>
      </c>
      <c r="Q146" s="1">
        <v>3.26</v>
      </c>
      <c r="R146" s="1">
        <v>3.26</v>
      </c>
      <c r="S146" s="1">
        <v>3.4</v>
      </c>
      <c r="T146" s="1">
        <v>3.4</v>
      </c>
      <c r="U146" s="1">
        <v>3.4</v>
      </c>
      <c r="V146" s="1">
        <v>3.4</v>
      </c>
      <c r="W146" s="1">
        <v>3.61</v>
      </c>
      <c r="X146" s="1">
        <v>3.61</v>
      </c>
      <c r="Y146" s="1">
        <v>3.61</v>
      </c>
      <c r="Z146" s="1">
        <v>3.61</v>
      </c>
      <c r="AA146" s="1">
        <v>1.99</v>
      </c>
      <c r="AB146" s="1">
        <v>1.99</v>
      </c>
      <c r="AC146" s="1">
        <v>2.04</v>
      </c>
      <c r="AD146" s="1">
        <v>2.04</v>
      </c>
      <c r="AE146" s="1">
        <v>2.1567901406249996</v>
      </c>
      <c r="AF146" s="1">
        <v>2.1567901406249996</v>
      </c>
      <c r="AG146" s="1">
        <v>2.1567901406249996</v>
      </c>
      <c r="AH146" s="1">
        <v>2.1567901406249996</v>
      </c>
      <c r="AI146" s="1">
        <v>2.6903901406249999</v>
      </c>
      <c r="AJ146" s="1">
        <v>2.6903901406249999</v>
      </c>
      <c r="AK146" s="1">
        <v>2.6903901406249999</v>
      </c>
      <c r="AL146" s="1">
        <v>2.4794406093750001</v>
      </c>
      <c r="AM146" s="1">
        <v>2.4794406093750001</v>
      </c>
      <c r="AN146" s="1">
        <v>2.4794406093750001</v>
      </c>
      <c r="AO146" s="1">
        <v>2.4794406093750001</v>
      </c>
      <c r="AP146" s="1">
        <v>2.9844925781249998</v>
      </c>
      <c r="AQ146" s="1">
        <v>2.9844925781249998</v>
      </c>
      <c r="AR146" s="1">
        <v>2.9844925781249998</v>
      </c>
      <c r="AS146" s="1">
        <v>2.9844925781249998</v>
      </c>
      <c r="AT146" s="1">
        <v>2.9844925781249998</v>
      </c>
      <c r="AU146" s="1">
        <v>2.9844925781249998</v>
      </c>
      <c r="AV146" s="1">
        <v>2.9844925781249998</v>
      </c>
      <c r="AW146" s="1">
        <v>2.9844925781249998</v>
      </c>
      <c r="AX146" s="1">
        <v>2.9844925781249998</v>
      </c>
      <c r="AY146" s="1">
        <v>2.7154903281250005</v>
      </c>
      <c r="AZ146" s="1">
        <v>2.7154903281250005</v>
      </c>
      <c r="BA146" s="1">
        <v>2.7154903281250005</v>
      </c>
      <c r="BB146" s="1">
        <v>2.7154903281250005</v>
      </c>
      <c r="BC146" s="1">
        <v>2.9575664062499993</v>
      </c>
      <c r="BD146" s="1">
        <v>2.9575664062499993</v>
      </c>
      <c r="BE146" s="1">
        <v>2.9575664062499993</v>
      </c>
      <c r="BF146" s="1">
        <v>2.9575664062499993</v>
      </c>
      <c r="BG146" s="1">
        <v>2.7957905156249998</v>
      </c>
      <c r="BH146" s="1">
        <v>2.7957905156249998</v>
      </c>
      <c r="BI146" s="1">
        <v>2.7957905156249998</v>
      </c>
      <c r="BJ146" s="1">
        <v>2.7957905156249998</v>
      </c>
      <c r="BK146" s="1">
        <v>2.81366546875</v>
      </c>
      <c r="BL146" s="1">
        <v>2.81366546875</v>
      </c>
      <c r="BM146" s="1">
        <v>2.81366546875</v>
      </c>
      <c r="BN146" s="1">
        <v>2.81366546875</v>
      </c>
      <c r="BO146" s="1">
        <v>1.9737148124999999</v>
      </c>
      <c r="BP146" s="1">
        <v>1.9737148124999999</v>
      </c>
      <c r="BQ146" s="1">
        <v>1.9737148124999999</v>
      </c>
      <c r="BR146" s="1">
        <v>1.9737148124999999</v>
      </c>
      <c r="BS146" s="1">
        <v>1.9737148124999999</v>
      </c>
      <c r="BT146" s="1">
        <v>1.9737148124999999</v>
      </c>
      <c r="BU146" s="1">
        <v>1.9737148124999999</v>
      </c>
      <c r="BV146" s="1">
        <v>1.9737148124999999</v>
      </c>
      <c r="BW146" s="1">
        <v>1.9662897656249998</v>
      </c>
      <c r="BX146" s="1">
        <v>1.9662897656249998</v>
      </c>
      <c r="BY146" s="1">
        <v>1.9662897656249998</v>
      </c>
      <c r="BZ146" s="1">
        <v>1.9662897656249998</v>
      </c>
      <c r="CA146" s="1">
        <v>1.780433953125</v>
      </c>
      <c r="CB146" s="1">
        <v>1.780433953125</v>
      </c>
      <c r="CC146" s="1">
        <v>1.780433953125</v>
      </c>
      <c r="CD146" s="1">
        <v>1.780433953125</v>
      </c>
      <c r="CE146" s="1">
        <v>1.7851593750000001</v>
      </c>
      <c r="CF146" s="1">
        <v>1.7851593750000001</v>
      </c>
      <c r="CG146" s="1">
        <v>1.7851593750000001</v>
      </c>
      <c r="CH146" s="1">
        <v>1.7851593750000001</v>
      </c>
      <c r="CI146" s="1">
        <v>2.0534583281250001</v>
      </c>
      <c r="CJ146" s="1">
        <v>2.0534583281250001</v>
      </c>
      <c r="CK146" s="1">
        <v>2.0534583281250001</v>
      </c>
      <c r="CL146" s="1">
        <v>2.0534583281250001</v>
      </c>
      <c r="CM146" s="1">
        <v>2.3354085000000002</v>
      </c>
      <c r="CN146" s="1">
        <v>2.3354085000000002</v>
      </c>
    </row>
    <row r="147" spans="1:92" x14ac:dyDescent="0.35">
      <c r="A147" t="s">
        <v>29</v>
      </c>
      <c r="B147" s="1">
        <v>3.21</v>
      </c>
      <c r="C147" s="1">
        <v>4.4800000000000004</v>
      </c>
      <c r="D147" s="1">
        <v>4.4800000000000004</v>
      </c>
      <c r="E147" s="1">
        <v>4.4800000000000004</v>
      </c>
      <c r="F147" s="1">
        <v>4.4800000000000004</v>
      </c>
      <c r="G147" s="1">
        <v>3.24</v>
      </c>
      <c r="H147" s="1">
        <v>3.24</v>
      </c>
      <c r="I147" s="1">
        <v>3.24</v>
      </c>
      <c r="J147" s="1">
        <v>3.24</v>
      </c>
      <c r="K147" s="1">
        <v>2.57</v>
      </c>
      <c r="L147" s="1">
        <v>2.57</v>
      </c>
      <c r="M147" s="1">
        <v>2.57</v>
      </c>
      <c r="N147" s="1">
        <v>2.57</v>
      </c>
      <c r="O147" s="1">
        <v>2.65</v>
      </c>
      <c r="P147" s="1">
        <v>2.65</v>
      </c>
      <c r="Q147" s="1">
        <v>2.65</v>
      </c>
      <c r="R147" s="1">
        <v>2.65</v>
      </c>
      <c r="S147" s="1">
        <v>2.68</v>
      </c>
      <c r="T147" s="1">
        <v>2.68</v>
      </c>
      <c r="U147" s="1">
        <v>2.68</v>
      </c>
      <c r="V147" s="1">
        <v>2.68</v>
      </c>
      <c r="W147" s="1">
        <v>2.74</v>
      </c>
      <c r="X147" s="1">
        <v>2.74</v>
      </c>
      <c r="Y147" s="1">
        <v>2.74</v>
      </c>
      <c r="Z147" s="1">
        <v>2.74</v>
      </c>
      <c r="AA147" s="1">
        <v>2.69</v>
      </c>
      <c r="AB147" s="1">
        <v>2.69</v>
      </c>
      <c r="AC147" s="1">
        <v>2.75</v>
      </c>
      <c r="AD147" s="1">
        <v>2.75</v>
      </c>
      <c r="AE147" s="1">
        <v>2.8747784375000003</v>
      </c>
      <c r="AF147" s="1">
        <v>2.8747784375000003</v>
      </c>
      <c r="AG147" s="1">
        <v>2.8747784375000003</v>
      </c>
      <c r="AH147" s="1">
        <v>2.8747784375000003</v>
      </c>
      <c r="AI147" s="1">
        <v>3.1627784375000001</v>
      </c>
      <c r="AJ147" s="1">
        <v>3.1627784375000001</v>
      </c>
      <c r="AK147" s="1">
        <v>3.1627784375000001</v>
      </c>
      <c r="AL147" s="1">
        <v>3.1627784375000001</v>
      </c>
      <c r="AM147" s="1">
        <v>3.4027784375000008</v>
      </c>
      <c r="AN147" s="1">
        <v>3.4027784375000008</v>
      </c>
      <c r="AO147" s="1">
        <v>3.4027784375000008</v>
      </c>
      <c r="AP147" s="1">
        <v>3.4027784375000008</v>
      </c>
      <c r="AQ147" s="1">
        <v>3.9127784374999997</v>
      </c>
      <c r="AR147" s="1">
        <v>3.9127784374999997</v>
      </c>
      <c r="AS147" s="1">
        <v>3.9127784374999997</v>
      </c>
      <c r="AT147" s="1">
        <v>3.9127784374999997</v>
      </c>
      <c r="AU147" s="1">
        <v>3.6247784375000003</v>
      </c>
      <c r="AV147" s="1">
        <v>3.6247784375000003</v>
      </c>
      <c r="AW147" s="1">
        <v>3.6247784375000003</v>
      </c>
      <c r="AX147" s="1">
        <v>3.6247784375000003</v>
      </c>
      <c r="AY147" s="1">
        <v>4.4150925781249999</v>
      </c>
      <c r="AZ147" s="1">
        <v>4.4150925781249999</v>
      </c>
      <c r="BA147" s="1">
        <v>4.4150925781249999</v>
      </c>
      <c r="BB147" s="1">
        <v>4.4150925781249999</v>
      </c>
      <c r="BC147" s="1">
        <v>4.5737925781249995</v>
      </c>
      <c r="BD147" s="1">
        <v>4.5737925781249995</v>
      </c>
      <c r="BE147" s="1">
        <v>4.5737925781249995</v>
      </c>
      <c r="BF147" s="1">
        <v>4.5737925781249995</v>
      </c>
      <c r="BG147" s="1">
        <v>3.913692578125</v>
      </c>
      <c r="BH147" s="1">
        <v>3.913692578125</v>
      </c>
      <c r="BI147" s="1">
        <v>3.913692578125</v>
      </c>
      <c r="BJ147" s="1">
        <v>3.913692578125</v>
      </c>
      <c r="BK147" s="1">
        <v>3.8216925781249995</v>
      </c>
      <c r="BL147" s="1">
        <v>3.8216925781249995</v>
      </c>
      <c r="BM147" s="1">
        <v>3.8216925781249995</v>
      </c>
      <c r="BN147" s="1">
        <v>3.8216925781249995</v>
      </c>
      <c r="BO147" s="1">
        <v>1.3077925781250002</v>
      </c>
      <c r="BP147" s="1">
        <v>1.3077925781250002</v>
      </c>
      <c r="BQ147" s="1">
        <v>1.3077925781250002</v>
      </c>
      <c r="BR147" s="1">
        <v>1.3077925781250002</v>
      </c>
      <c r="BS147" s="1">
        <v>1.270992578125</v>
      </c>
      <c r="BT147" s="1">
        <v>1.270992578125</v>
      </c>
      <c r="BU147" s="1">
        <v>1.270992578125</v>
      </c>
      <c r="BV147" s="1">
        <v>1.270992578125</v>
      </c>
      <c r="BW147" s="1">
        <v>1.1438187499999999</v>
      </c>
      <c r="BX147" s="1">
        <v>1.1438187499999999</v>
      </c>
      <c r="BY147" s="1">
        <v>1.1438187499999999</v>
      </c>
      <c r="BZ147" s="1">
        <v>1.1438187499999999</v>
      </c>
      <c r="CA147" s="1">
        <v>1.3945244999999999</v>
      </c>
      <c r="CB147" s="1">
        <v>1.3945244999999999</v>
      </c>
      <c r="CC147" s="1">
        <v>1.3945244999999999</v>
      </c>
      <c r="CD147" s="1">
        <v>1.3945244999999999</v>
      </c>
      <c r="CE147" s="1">
        <v>1.331518875</v>
      </c>
      <c r="CF147" s="1">
        <v>1.331518875</v>
      </c>
      <c r="CG147" s="1">
        <v>1.331518875</v>
      </c>
      <c r="CH147" s="1">
        <v>1.331518875</v>
      </c>
      <c r="CI147" s="1">
        <v>1.52578621875</v>
      </c>
      <c r="CJ147" s="1">
        <v>1.52578621875</v>
      </c>
      <c r="CK147" s="1">
        <v>1.52578621875</v>
      </c>
      <c r="CL147" s="1">
        <v>1.52578621875</v>
      </c>
      <c r="CM147" s="1">
        <v>1.7951352656249999</v>
      </c>
      <c r="CN147" s="1">
        <v>1.7951352656249999</v>
      </c>
    </row>
    <row r="148" spans="1:92" x14ac:dyDescent="0.35">
      <c r="A148" t="s">
        <v>36</v>
      </c>
      <c r="B148" s="1">
        <v>1.75</v>
      </c>
      <c r="C148" s="1">
        <v>1.71</v>
      </c>
      <c r="D148" s="1">
        <v>1.71</v>
      </c>
      <c r="E148" s="1">
        <v>1.71</v>
      </c>
      <c r="F148" s="1">
        <v>1.71</v>
      </c>
      <c r="G148" s="1">
        <v>1.74</v>
      </c>
      <c r="H148" s="1">
        <v>1.74</v>
      </c>
      <c r="I148" s="1">
        <v>1.74</v>
      </c>
      <c r="J148" s="1">
        <v>1.74</v>
      </c>
      <c r="K148" s="1">
        <v>2.04</v>
      </c>
      <c r="L148" s="1">
        <v>2.04</v>
      </c>
      <c r="M148" s="1">
        <v>2.04</v>
      </c>
      <c r="N148" s="1">
        <v>2.04</v>
      </c>
      <c r="O148" s="1">
        <v>1.95</v>
      </c>
      <c r="P148" s="1">
        <v>1.95</v>
      </c>
      <c r="Q148" s="1">
        <v>1.95</v>
      </c>
      <c r="R148" s="1">
        <v>1.95</v>
      </c>
      <c r="S148" s="1">
        <v>1.74</v>
      </c>
      <c r="T148" s="1">
        <v>1.74</v>
      </c>
      <c r="U148" s="1">
        <v>1.74</v>
      </c>
      <c r="V148" s="1">
        <v>1.74</v>
      </c>
      <c r="W148" s="1">
        <v>1.87</v>
      </c>
      <c r="X148" s="1">
        <v>1.87</v>
      </c>
      <c r="Y148" s="1">
        <v>1.87</v>
      </c>
      <c r="Z148" s="1">
        <v>1.87</v>
      </c>
      <c r="AA148" s="1">
        <v>1.89</v>
      </c>
      <c r="AB148" s="1">
        <v>1.89</v>
      </c>
      <c r="AC148" s="1">
        <v>1.93</v>
      </c>
      <c r="AD148" s="1">
        <v>1.93</v>
      </c>
      <c r="AE148" s="1">
        <v>2.0867468749999998</v>
      </c>
      <c r="AF148" s="1">
        <v>2.0867468749999998</v>
      </c>
      <c r="AG148" s="1">
        <v>2.0867468749999998</v>
      </c>
      <c r="AH148" s="1">
        <v>2.0867468749999998</v>
      </c>
      <c r="AI148" s="1">
        <v>2.4524468750000001</v>
      </c>
      <c r="AJ148" s="1">
        <v>2.4524468750000001</v>
      </c>
      <c r="AK148" s="1">
        <v>2.4524468750000001</v>
      </c>
      <c r="AL148" s="1">
        <v>2.4524468750000001</v>
      </c>
      <c r="AM148" s="1">
        <v>2.6594468749999995</v>
      </c>
      <c r="AN148" s="1">
        <v>2.6594468749999995</v>
      </c>
      <c r="AO148" s="1">
        <v>2.6594468749999995</v>
      </c>
      <c r="AP148" s="1">
        <v>2.6594468749999995</v>
      </c>
      <c r="AQ148" s="1">
        <v>3.0044468750000002</v>
      </c>
      <c r="AR148" s="1">
        <v>3.0044468750000002</v>
      </c>
      <c r="AS148" s="1">
        <v>3.0044468750000002</v>
      </c>
      <c r="AT148" s="1">
        <v>3.0044468750000002</v>
      </c>
      <c r="AU148" s="1">
        <v>2.9630468749999994</v>
      </c>
      <c r="AV148" s="1">
        <v>2.9630468749999994</v>
      </c>
      <c r="AW148" s="1">
        <v>2.9630468749999994</v>
      </c>
      <c r="AX148" s="1">
        <v>2.9630468749999994</v>
      </c>
      <c r="AY148" s="1">
        <v>3.3632468749999997</v>
      </c>
      <c r="AZ148" s="1">
        <v>3.3632468749999997</v>
      </c>
      <c r="BA148" s="1">
        <v>3.3632468749999997</v>
      </c>
      <c r="BB148" s="1">
        <v>3.3632468749999997</v>
      </c>
      <c r="BC148" s="1">
        <v>3.5012468749999996</v>
      </c>
      <c r="BD148" s="1">
        <v>3.5012468749999996</v>
      </c>
      <c r="BE148" s="1">
        <v>3.5012468749999996</v>
      </c>
      <c r="BF148" s="1">
        <v>3.5012468749999996</v>
      </c>
      <c r="BG148" s="1">
        <v>2.9913925781249993</v>
      </c>
      <c r="BH148" s="1">
        <v>2.9913925781249993</v>
      </c>
      <c r="BI148" s="1">
        <v>2.9913925781249993</v>
      </c>
      <c r="BJ148" s="1">
        <v>2.9913925781249993</v>
      </c>
      <c r="BK148" s="1">
        <v>2.8533925781249994</v>
      </c>
      <c r="BL148" s="1">
        <v>2.8533925781249994</v>
      </c>
      <c r="BM148" s="1">
        <v>2.8533925781249994</v>
      </c>
      <c r="BN148" s="1">
        <v>2.8533925781249994</v>
      </c>
      <c r="BO148" s="1">
        <v>2.8349925781249996</v>
      </c>
      <c r="BP148" s="1">
        <v>2.8349925781249996</v>
      </c>
      <c r="BQ148" s="1">
        <v>2.8349925781249996</v>
      </c>
      <c r="BR148" s="1">
        <v>2.8349925781249996</v>
      </c>
      <c r="BS148" s="1">
        <v>2.9179179999999998</v>
      </c>
      <c r="BT148" s="1">
        <v>2.9179179999999998</v>
      </c>
      <c r="BU148" s="1">
        <v>2.9179179999999998</v>
      </c>
      <c r="BV148" s="1">
        <v>2.9179179999999998</v>
      </c>
      <c r="BW148" s="1">
        <v>3.12366234375</v>
      </c>
      <c r="BX148" s="1">
        <v>3.12366234375</v>
      </c>
      <c r="BY148" s="1">
        <v>3.12366234375</v>
      </c>
      <c r="BZ148" s="1">
        <v>3.12366234375</v>
      </c>
      <c r="CA148" s="1">
        <v>2.954438765625</v>
      </c>
      <c r="CB148" s="1">
        <v>2.954438765625</v>
      </c>
      <c r="CC148" s="1">
        <v>2.954438765625</v>
      </c>
      <c r="CD148" s="1">
        <v>2.954438765625</v>
      </c>
      <c r="CE148" s="1">
        <v>2.878832015625</v>
      </c>
      <c r="CF148" s="1">
        <v>2.878832015625</v>
      </c>
      <c r="CG148" s="1">
        <v>2.878832015625</v>
      </c>
      <c r="CH148" s="1">
        <v>2.878832015625</v>
      </c>
      <c r="CI148" s="1">
        <v>3.3912777656249999</v>
      </c>
      <c r="CJ148" s="1">
        <v>3.3912777656249999</v>
      </c>
      <c r="CK148" s="1">
        <v>3.3912777656249999</v>
      </c>
      <c r="CL148" s="1">
        <v>3.3912777656249999</v>
      </c>
      <c r="CM148" s="1">
        <v>1.9647254062499999</v>
      </c>
      <c r="CN148" s="1">
        <v>1.9647254062499999</v>
      </c>
    </row>
    <row r="149" spans="1:92" x14ac:dyDescent="0.35">
      <c r="A149" t="s">
        <v>30</v>
      </c>
      <c r="B149" s="1">
        <v>1.38</v>
      </c>
      <c r="C149" s="1">
        <v>1.38</v>
      </c>
      <c r="D149" s="1">
        <v>1.38</v>
      </c>
      <c r="E149" s="1">
        <v>1.38</v>
      </c>
      <c r="F149" s="1">
        <v>1.38</v>
      </c>
      <c r="G149" s="1">
        <v>1.38</v>
      </c>
      <c r="H149" s="1">
        <v>1.38</v>
      </c>
      <c r="I149" s="1">
        <v>1.49</v>
      </c>
      <c r="J149" s="1">
        <v>1.49</v>
      </c>
      <c r="K149" s="1">
        <v>1.49</v>
      </c>
      <c r="L149" s="1">
        <v>1.49</v>
      </c>
      <c r="M149" s="1">
        <v>1.49</v>
      </c>
      <c r="N149" s="1">
        <v>1.49</v>
      </c>
      <c r="O149" s="1">
        <v>1.49</v>
      </c>
      <c r="P149" s="1">
        <v>1.49</v>
      </c>
      <c r="Q149" s="1">
        <v>1.49</v>
      </c>
      <c r="R149" s="1">
        <v>1.49</v>
      </c>
      <c r="S149" s="1">
        <v>1.49</v>
      </c>
      <c r="T149" s="1">
        <v>1.49</v>
      </c>
      <c r="U149" s="1">
        <v>1.49</v>
      </c>
      <c r="V149" s="1">
        <v>1.49</v>
      </c>
      <c r="W149" s="1">
        <v>1.08</v>
      </c>
      <c r="X149" s="1">
        <v>1.08</v>
      </c>
      <c r="Y149" s="1">
        <v>1.08</v>
      </c>
      <c r="Z149" s="1">
        <v>1.08</v>
      </c>
      <c r="AA149" s="1">
        <v>1.08</v>
      </c>
      <c r="AB149" s="1">
        <v>1.08</v>
      </c>
      <c r="AC149" s="1">
        <v>1.1000000000000001</v>
      </c>
      <c r="AD149" s="1">
        <v>1.1000000000000001</v>
      </c>
      <c r="AE149" s="1">
        <v>1.1729999999999998</v>
      </c>
      <c r="AF149" s="1">
        <v>1.1729999999999998</v>
      </c>
      <c r="AG149" s="1">
        <v>1.1729999999999998</v>
      </c>
      <c r="AH149" s="1">
        <v>1.1729999999999998</v>
      </c>
      <c r="AI149" s="1">
        <v>1.6559999999999999</v>
      </c>
      <c r="AJ149" s="1">
        <v>1.6559999999999999</v>
      </c>
      <c r="AK149" s="1">
        <v>1.6559999999999999</v>
      </c>
      <c r="AL149" s="1">
        <v>1.6559999999999999</v>
      </c>
      <c r="AM149" s="1">
        <v>1.518</v>
      </c>
      <c r="AN149" s="1">
        <v>1.518</v>
      </c>
      <c r="AO149" s="1">
        <v>1.518</v>
      </c>
      <c r="AP149" s="1">
        <v>1.518</v>
      </c>
      <c r="AQ149" s="1">
        <v>1.8146999999999998</v>
      </c>
      <c r="AR149" s="1">
        <v>1.8146999999999998</v>
      </c>
      <c r="AS149" s="1">
        <v>1.8146999999999998</v>
      </c>
      <c r="AT149" s="1">
        <v>1.8146999999999998</v>
      </c>
      <c r="AU149" s="1">
        <v>1.6283999999999998</v>
      </c>
      <c r="AV149" s="1">
        <v>1.6283999999999998</v>
      </c>
      <c r="AW149" s="1">
        <v>1.6283999999999998</v>
      </c>
      <c r="AX149" s="1">
        <v>1.6283999999999998</v>
      </c>
      <c r="AY149" s="1">
        <v>1.6283999999999998</v>
      </c>
      <c r="AZ149" s="1">
        <v>1.6283999999999998</v>
      </c>
      <c r="BA149" s="1">
        <v>1.6283999999999998</v>
      </c>
      <c r="BB149" s="1">
        <v>1.6283999999999998</v>
      </c>
      <c r="BC149" s="1">
        <v>1.6283999999999998</v>
      </c>
      <c r="BD149" s="1">
        <v>1.6283999999999998</v>
      </c>
      <c r="BE149" s="1">
        <v>1.6283999999999998</v>
      </c>
      <c r="BF149" s="1">
        <v>1.6283999999999998</v>
      </c>
      <c r="BG149" s="1">
        <v>1.3109999999999997</v>
      </c>
      <c r="BH149" s="1">
        <v>1.3109999999999997</v>
      </c>
      <c r="BI149" s="1">
        <v>1.3109999999999997</v>
      </c>
      <c r="BJ149" s="1">
        <v>1.3109999999999997</v>
      </c>
      <c r="BK149" s="1">
        <v>1.9043999999999996</v>
      </c>
      <c r="BL149" s="1">
        <v>1.9043999999999996</v>
      </c>
      <c r="BM149" s="1">
        <v>1.9043999999999996</v>
      </c>
      <c r="BN149" s="1">
        <v>1.9043999999999996</v>
      </c>
      <c r="BO149" s="1">
        <v>1.2695999999999998</v>
      </c>
      <c r="BP149" s="1">
        <v>1.2695999999999998</v>
      </c>
      <c r="BQ149" s="1">
        <v>1.2695999999999998</v>
      </c>
      <c r="BR149" s="1">
        <v>1.2695999999999998</v>
      </c>
      <c r="BS149" s="1">
        <v>0.77969999999999984</v>
      </c>
      <c r="BT149" s="1">
        <v>0.77969999999999984</v>
      </c>
      <c r="BU149" s="1">
        <v>0.77969999999999984</v>
      </c>
      <c r="BV149" s="1">
        <v>0.77969999999999984</v>
      </c>
      <c r="BW149" s="1">
        <v>0.74519999999999997</v>
      </c>
      <c r="BX149" s="1">
        <v>0.74519999999999997</v>
      </c>
      <c r="BY149" s="1">
        <v>0.74519999999999997</v>
      </c>
      <c r="BZ149" s="1">
        <v>0.74519999999999997</v>
      </c>
      <c r="CA149" s="1">
        <v>1.6230967031250001</v>
      </c>
      <c r="CB149" s="1">
        <v>1.6230967031250001</v>
      </c>
      <c r="CC149" s="1">
        <v>1.6230967031250001</v>
      </c>
      <c r="CD149" s="1">
        <v>1.6230967031250001</v>
      </c>
      <c r="CE149" s="1">
        <v>1.7071597624999999</v>
      </c>
      <c r="CF149" s="1">
        <v>1.7071597624999999</v>
      </c>
      <c r="CG149" s="1">
        <v>1.7071597624999999</v>
      </c>
      <c r="CH149" s="1">
        <v>1.7071597624999999</v>
      </c>
      <c r="CI149" s="1">
        <v>1.8991888828125001</v>
      </c>
      <c r="CJ149" s="1">
        <v>1.8991888828125001</v>
      </c>
      <c r="CK149" s="1">
        <v>1.8991888828125001</v>
      </c>
      <c r="CL149" s="1">
        <v>1.8991888828125001</v>
      </c>
      <c r="CM149" s="1">
        <v>2.4284607500000002</v>
      </c>
      <c r="CN149" s="1">
        <v>2.4284607500000002</v>
      </c>
    </row>
    <row r="150" spans="1:92" x14ac:dyDescent="0.35">
      <c r="A150" t="s">
        <v>32</v>
      </c>
      <c r="B150" s="1">
        <v>1.7</v>
      </c>
      <c r="C150" s="1">
        <v>1.72</v>
      </c>
      <c r="D150" s="1">
        <v>1.72</v>
      </c>
      <c r="E150" s="1">
        <v>1.59</v>
      </c>
      <c r="F150" s="1">
        <v>1.59</v>
      </c>
      <c r="G150" s="1">
        <v>1.59</v>
      </c>
      <c r="H150" s="1">
        <v>1.59</v>
      </c>
      <c r="I150" s="1">
        <v>1.59</v>
      </c>
      <c r="J150" s="1">
        <v>1.59</v>
      </c>
      <c r="K150" s="1">
        <v>1.93</v>
      </c>
      <c r="L150" s="1">
        <v>1.93</v>
      </c>
      <c r="M150" s="1">
        <v>1.93</v>
      </c>
      <c r="N150" s="1">
        <v>1.93</v>
      </c>
      <c r="O150" s="1">
        <v>1.65</v>
      </c>
      <c r="P150" s="1">
        <v>1.65</v>
      </c>
      <c r="Q150" s="1">
        <v>1.65</v>
      </c>
      <c r="R150" s="1">
        <v>1.65</v>
      </c>
      <c r="S150" s="1">
        <v>1.8</v>
      </c>
      <c r="T150" s="1">
        <v>1.8</v>
      </c>
      <c r="U150" s="1">
        <v>1.8</v>
      </c>
      <c r="V150" s="1">
        <v>1.8</v>
      </c>
      <c r="W150" s="1">
        <v>1.76</v>
      </c>
      <c r="X150" s="1">
        <v>1.76</v>
      </c>
      <c r="Y150" s="1">
        <v>1.76</v>
      </c>
      <c r="Z150" s="1">
        <v>1.76</v>
      </c>
      <c r="AA150" s="1">
        <v>1.9</v>
      </c>
      <c r="AB150" s="1">
        <v>1.9</v>
      </c>
      <c r="AC150" s="1">
        <v>1.94</v>
      </c>
      <c r="AD150" s="1">
        <v>1.94</v>
      </c>
      <c r="AE150" s="1">
        <v>2.0861816875841273</v>
      </c>
      <c r="AF150" s="1">
        <v>2.0861816875841273</v>
      </c>
      <c r="AG150" s="1">
        <v>2.0861816875841273</v>
      </c>
      <c r="AH150" s="1">
        <v>2.0861816875841273</v>
      </c>
      <c r="AI150" s="1">
        <v>2.5229520222100872</v>
      </c>
      <c r="AJ150" s="1">
        <v>2.5229520222100872</v>
      </c>
      <c r="AK150" s="1">
        <v>2.5229520222100872</v>
      </c>
      <c r="AL150" s="1">
        <v>2.5229520222100872</v>
      </c>
      <c r="AM150" s="1">
        <v>2.260150912488248</v>
      </c>
      <c r="AN150" s="1">
        <v>2.260150912488248</v>
      </c>
      <c r="AO150" s="1">
        <v>2.260150912488248</v>
      </c>
      <c r="AP150" s="1">
        <v>2.260150912488248</v>
      </c>
      <c r="AQ150" s="1">
        <v>2.791545650325872</v>
      </c>
      <c r="AR150" s="1">
        <v>2.791545650325872</v>
      </c>
      <c r="AS150" s="1">
        <v>2.791545650325872</v>
      </c>
      <c r="AT150" s="1">
        <v>2.791545650325872</v>
      </c>
      <c r="AU150" s="1">
        <v>2.757875952633086</v>
      </c>
      <c r="AV150" s="1">
        <v>2.757875952633086</v>
      </c>
      <c r="AW150" s="1">
        <v>2.757875952633086</v>
      </c>
      <c r="AX150" s="1">
        <v>2.757875952633086</v>
      </c>
      <c r="AY150" s="1">
        <v>3.0553733669451009</v>
      </c>
      <c r="AZ150" s="1">
        <v>3.0553733669451009</v>
      </c>
      <c r="BA150" s="1">
        <v>3.0553733669451009</v>
      </c>
      <c r="BB150" s="1">
        <v>3.0553733669451009</v>
      </c>
      <c r="BC150" s="1">
        <v>3.1896910135815832</v>
      </c>
      <c r="BD150" s="1">
        <v>3.1896910135815832</v>
      </c>
      <c r="BE150" s="1">
        <v>3.1896910135815832</v>
      </c>
      <c r="BF150" s="1">
        <v>3.1896910135815832</v>
      </c>
      <c r="BG150" s="1">
        <v>2.969807174217884</v>
      </c>
      <c r="BH150" s="1">
        <v>2.969807174217884</v>
      </c>
      <c r="BI150" s="1">
        <v>2.969807174217884</v>
      </c>
      <c r="BJ150" s="1">
        <v>2.969807174217884</v>
      </c>
      <c r="BK150" s="1">
        <v>3.2794966151248657</v>
      </c>
      <c r="BL150" s="1">
        <v>3.2794966151248657</v>
      </c>
      <c r="BM150" s="1">
        <v>3.2794966151248657</v>
      </c>
      <c r="BN150" s="1">
        <v>3.2794966151248657</v>
      </c>
      <c r="BO150" s="1">
        <v>2.6982023189168505</v>
      </c>
      <c r="BP150" s="1">
        <v>2.6982023189168505</v>
      </c>
      <c r="BQ150" s="1">
        <v>2.6982023189168505</v>
      </c>
      <c r="BR150" s="1">
        <v>2.6982023189168505</v>
      </c>
      <c r="BS150" s="1">
        <v>2.5624501743879562</v>
      </c>
      <c r="BT150" s="1">
        <v>2.5624501743879562</v>
      </c>
      <c r="BU150" s="1">
        <v>2.5624501743879562</v>
      </c>
      <c r="BV150" s="1">
        <v>2.5624501743879562</v>
      </c>
      <c r="BW150" s="1">
        <v>2.6861084635577974</v>
      </c>
      <c r="BX150" s="1">
        <v>2.6861084635577974</v>
      </c>
      <c r="BY150" s="1">
        <v>2.6861084635577974</v>
      </c>
      <c r="BZ150" s="1">
        <v>2.6861084635577974</v>
      </c>
      <c r="CA150" s="1">
        <v>2.2003008506250001</v>
      </c>
      <c r="CB150" s="1">
        <v>2.2003008506250001</v>
      </c>
      <c r="CC150" s="1">
        <v>2.2003008506250001</v>
      </c>
      <c r="CD150" s="1">
        <v>2.2003008506250001</v>
      </c>
      <c r="CE150" s="1">
        <v>1.970500921875</v>
      </c>
      <c r="CF150" s="1">
        <v>1.970500921875</v>
      </c>
      <c r="CG150" s="1">
        <v>1.970500921875</v>
      </c>
      <c r="CH150" s="1">
        <v>1.970500921875</v>
      </c>
      <c r="CI150" s="1">
        <v>2.2146477187500002</v>
      </c>
      <c r="CJ150" s="1">
        <v>2.2146477187500002</v>
      </c>
      <c r="CK150" s="1">
        <v>2.2146477187500002</v>
      </c>
      <c r="CL150" s="1">
        <v>2.2146477187500002</v>
      </c>
      <c r="CM150" s="1">
        <v>2.5690543593749999</v>
      </c>
      <c r="CN150" s="1">
        <v>2.5690543593749999</v>
      </c>
    </row>
    <row r="151" spans="1:92" x14ac:dyDescent="0.35">
      <c r="A151" t="s">
        <v>38</v>
      </c>
      <c r="B151" s="1">
        <v>1.96</v>
      </c>
      <c r="C151" s="1">
        <v>1.99</v>
      </c>
      <c r="D151" s="1">
        <v>1.99</v>
      </c>
      <c r="E151" s="1">
        <v>1.99</v>
      </c>
      <c r="F151" s="1">
        <v>1.99</v>
      </c>
      <c r="G151" s="1">
        <v>2.12</v>
      </c>
      <c r="H151" s="1">
        <v>2.12</v>
      </c>
      <c r="I151" s="1">
        <v>2.12</v>
      </c>
      <c r="J151" s="1">
        <v>2.12</v>
      </c>
      <c r="K151" s="1">
        <v>2.2999999999999998</v>
      </c>
      <c r="L151" s="1">
        <v>2.2999999999999998</v>
      </c>
      <c r="M151" s="1">
        <v>2.2999999999999998</v>
      </c>
      <c r="N151" s="1">
        <v>2.2999999999999998</v>
      </c>
      <c r="O151" s="1">
        <v>2.14</v>
      </c>
      <c r="P151" s="1">
        <v>2.14</v>
      </c>
      <c r="Q151" s="1">
        <v>2.14</v>
      </c>
      <c r="R151" s="1">
        <v>2.14</v>
      </c>
      <c r="S151" s="1">
        <v>2.4500000000000002</v>
      </c>
      <c r="T151" s="1">
        <v>2.4500000000000002</v>
      </c>
      <c r="U151" s="1">
        <v>2.4500000000000002</v>
      </c>
      <c r="V151" s="1">
        <v>2.4500000000000002</v>
      </c>
      <c r="W151" s="1">
        <v>2.29</v>
      </c>
      <c r="X151" s="1">
        <v>2.29</v>
      </c>
      <c r="Y151" s="1">
        <v>2.29</v>
      </c>
      <c r="Z151" s="1">
        <v>2.29</v>
      </c>
      <c r="AA151" s="1">
        <v>2.2200000000000002</v>
      </c>
      <c r="AB151" s="1">
        <v>2.2200000000000002</v>
      </c>
      <c r="AC151" s="1">
        <v>2.27</v>
      </c>
      <c r="AD151" s="1">
        <v>2.27</v>
      </c>
      <c r="AE151" s="1">
        <v>1.3868999999999998</v>
      </c>
      <c r="AF151" s="1">
        <v>1.3868999999999998</v>
      </c>
      <c r="AG151" s="1">
        <v>1.3868999999999998</v>
      </c>
      <c r="AH151" s="1">
        <v>1.3868999999999998</v>
      </c>
      <c r="AI151" s="1">
        <v>1.7443703124999996</v>
      </c>
      <c r="AJ151" s="1">
        <v>1.7443703124999996</v>
      </c>
      <c r="AK151" s="1">
        <v>1.7443703124999996</v>
      </c>
      <c r="AL151" s="1">
        <v>1.7443703124999996</v>
      </c>
      <c r="AM151" s="1">
        <v>2.3538703125000002</v>
      </c>
      <c r="AN151" s="1">
        <v>2.3538703125000002</v>
      </c>
      <c r="AO151" s="1">
        <v>2.3538703125000002</v>
      </c>
      <c r="AP151" s="1">
        <v>2.3538703125000002</v>
      </c>
      <c r="AQ151" s="1">
        <v>3.0266203124999995</v>
      </c>
      <c r="AR151" s="1">
        <v>3.0266203124999995</v>
      </c>
      <c r="AS151" s="1">
        <v>3.0266203124999995</v>
      </c>
      <c r="AT151" s="1">
        <v>3.0266203124999995</v>
      </c>
      <c r="AU151" s="1">
        <v>2.4240203124999997</v>
      </c>
      <c r="AV151" s="1">
        <v>2.4240203124999997</v>
      </c>
      <c r="AW151" s="1">
        <v>2.4240203124999997</v>
      </c>
      <c r="AX151" s="1">
        <v>2.4240203124999997</v>
      </c>
      <c r="AY151" s="1">
        <v>2.2572703124999998</v>
      </c>
      <c r="AZ151" s="1">
        <v>2.2572703124999998</v>
      </c>
      <c r="BA151" s="1">
        <v>2.2572703124999998</v>
      </c>
      <c r="BB151" s="1">
        <v>2.2572703124999998</v>
      </c>
      <c r="BC151" s="1">
        <v>3.2048703124999998</v>
      </c>
      <c r="BD151" s="1">
        <v>3.2048703124999998</v>
      </c>
      <c r="BE151" s="1">
        <v>3.2048703124999998</v>
      </c>
      <c r="BF151" s="1">
        <v>3.2048703124999998</v>
      </c>
      <c r="BG151" s="1">
        <v>2.2124203124999999</v>
      </c>
      <c r="BH151" s="1">
        <v>2.2124203124999999</v>
      </c>
      <c r="BI151" s="1">
        <v>2.2124203124999999</v>
      </c>
      <c r="BJ151" s="1">
        <v>2.2124203124999999</v>
      </c>
      <c r="BK151" s="1">
        <v>2.4941703125000001</v>
      </c>
      <c r="BL151" s="1">
        <v>2.4941703125000001</v>
      </c>
      <c r="BM151" s="1">
        <v>2.4941703125000001</v>
      </c>
      <c r="BN151" s="1">
        <v>2.4941703125000001</v>
      </c>
      <c r="BO151" s="1">
        <v>1.2843703124999999</v>
      </c>
      <c r="BP151" s="1">
        <v>1.2843703124999999</v>
      </c>
      <c r="BQ151" s="1">
        <v>1.2843703124999999</v>
      </c>
      <c r="BR151" s="1">
        <v>1.2843703124999999</v>
      </c>
      <c r="BS151" s="1">
        <v>1.9283703124999998</v>
      </c>
      <c r="BT151" s="1">
        <v>1.9283703124999998</v>
      </c>
      <c r="BU151" s="1">
        <v>1.9283703124999998</v>
      </c>
      <c r="BV151" s="1">
        <v>1.9283703124999998</v>
      </c>
      <c r="BW151" s="1">
        <v>1.5163878796874999</v>
      </c>
      <c r="BX151" s="1">
        <v>1.5163878796874999</v>
      </c>
      <c r="BY151" s="1">
        <v>1.5163878796874999</v>
      </c>
      <c r="BZ151" s="1">
        <v>1.5163878796874999</v>
      </c>
      <c r="CA151" s="1">
        <v>1.83661396875</v>
      </c>
      <c r="CB151" s="1">
        <v>1.83661396875</v>
      </c>
      <c r="CC151" s="1">
        <v>1.83661396875</v>
      </c>
      <c r="CD151" s="1">
        <v>1.83661396875</v>
      </c>
      <c r="CE151" s="1">
        <v>1.3532558156250001</v>
      </c>
      <c r="CF151" s="1">
        <v>1.3532558156250001</v>
      </c>
      <c r="CG151" s="1">
        <v>1.3532558156250001</v>
      </c>
      <c r="CH151" s="1">
        <v>1.3532558156250001</v>
      </c>
      <c r="CI151" s="1">
        <v>1.9055526234375</v>
      </c>
      <c r="CJ151" s="1">
        <v>1.9055526234375</v>
      </c>
      <c r="CK151" s="1">
        <v>1.9055526234375</v>
      </c>
      <c r="CL151" s="1">
        <v>1.9055526234375</v>
      </c>
      <c r="CM151" s="1">
        <v>1.9745962875</v>
      </c>
      <c r="CN151" s="1">
        <v>1.9745962875</v>
      </c>
    </row>
    <row r="152" spans="1:92" x14ac:dyDescent="0.35">
      <c r="A152" t="s">
        <v>39</v>
      </c>
      <c r="B152" s="1">
        <v>1.71</v>
      </c>
      <c r="C152" s="1">
        <v>1.71</v>
      </c>
      <c r="D152" s="1">
        <v>1.71</v>
      </c>
      <c r="E152" s="1">
        <v>1.71</v>
      </c>
      <c r="F152" s="1">
        <v>1.71</v>
      </c>
      <c r="G152" s="1">
        <v>1.71</v>
      </c>
      <c r="H152" s="1">
        <v>1.71</v>
      </c>
      <c r="I152" s="1">
        <v>1.1056114039005507</v>
      </c>
      <c r="J152" s="1">
        <v>1.1056114039005507</v>
      </c>
      <c r="K152" s="1">
        <v>1.1056114039005507</v>
      </c>
      <c r="L152" s="1">
        <v>1.1056114039005507</v>
      </c>
      <c r="M152" s="1">
        <v>1.1056114039005507</v>
      </c>
      <c r="N152" s="1">
        <v>1.1056114039005507</v>
      </c>
      <c r="O152" s="1">
        <v>1.6881999999999999</v>
      </c>
      <c r="P152" s="1">
        <v>1.6881999999999999</v>
      </c>
      <c r="Q152" s="1">
        <v>1.6881999999999999</v>
      </c>
      <c r="R152" s="1">
        <v>1.6881999999999999</v>
      </c>
      <c r="S152" s="1">
        <v>2.0446999999999997</v>
      </c>
      <c r="T152" s="1">
        <v>2.0446999999999997</v>
      </c>
      <c r="U152" s="1">
        <v>2.0446999999999997</v>
      </c>
      <c r="V152" s="1">
        <v>2.0446999999999997</v>
      </c>
      <c r="W152" s="1">
        <v>2.0446999999999997</v>
      </c>
      <c r="X152" s="1">
        <v>2.0446999999999997</v>
      </c>
      <c r="Y152" s="1">
        <v>2.0446999999999997</v>
      </c>
      <c r="Z152" s="1">
        <v>2.0998999999999999</v>
      </c>
      <c r="AA152" s="1">
        <v>2.0998999999999999</v>
      </c>
      <c r="AB152" s="1">
        <v>2.0998999999999999</v>
      </c>
      <c r="AC152" s="1">
        <v>2.0998999999999999</v>
      </c>
      <c r="AD152" s="1">
        <v>2.0998999999999999</v>
      </c>
      <c r="AE152" s="1">
        <v>1.9687999999999999</v>
      </c>
      <c r="AF152" s="1">
        <v>1.9687999999999999</v>
      </c>
      <c r="AG152" s="1">
        <v>1.9687999999999999</v>
      </c>
      <c r="AH152" s="1">
        <v>1.9687999999999999</v>
      </c>
      <c r="AI152" s="1">
        <v>2.5265499999999999</v>
      </c>
      <c r="AJ152" s="1">
        <v>2.5265499999999999</v>
      </c>
      <c r="AK152" s="1">
        <v>2.5265499999999999</v>
      </c>
      <c r="AL152" s="1">
        <v>2.5265499999999999</v>
      </c>
      <c r="AM152" s="1">
        <v>2.5265499999999999</v>
      </c>
      <c r="AN152" s="1">
        <v>2.5265499999999999</v>
      </c>
      <c r="AO152" s="1">
        <v>2.5265499999999999</v>
      </c>
      <c r="AP152" s="1">
        <v>2.5265499999999999</v>
      </c>
      <c r="AQ152" s="1">
        <v>2.6829499999999999</v>
      </c>
      <c r="AR152" s="1">
        <v>2.6829499999999999</v>
      </c>
      <c r="AS152" s="1">
        <v>2.6829499999999999</v>
      </c>
      <c r="AT152" s="1">
        <v>2.6829499999999999</v>
      </c>
      <c r="AU152" s="1">
        <v>2.6829499999999999</v>
      </c>
      <c r="AV152" s="1">
        <v>2.6829499999999999</v>
      </c>
      <c r="AW152" s="1">
        <v>2.6829499999999999</v>
      </c>
      <c r="AX152" s="1">
        <v>2.6829499999999999</v>
      </c>
      <c r="AY152" s="1">
        <v>2.6829499999999999</v>
      </c>
      <c r="AZ152" s="1">
        <v>2.6829499999999999</v>
      </c>
      <c r="BA152" s="1">
        <v>2.6829499999999999</v>
      </c>
      <c r="BB152" s="1">
        <v>2.6829499999999999</v>
      </c>
      <c r="BC152" s="1">
        <v>3.13835</v>
      </c>
      <c r="BD152" s="1">
        <v>3.13835</v>
      </c>
      <c r="BE152" s="1">
        <v>3.13835</v>
      </c>
      <c r="BF152" s="1">
        <v>3.13835</v>
      </c>
      <c r="BG152" s="1">
        <v>2.8623499999999997</v>
      </c>
      <c r="BH152" s="1">
        <v>2.8623499999999997</v>
      </c>
      <c r="BI152" s="1">
        <v>2.8623499999999997</v>
      </c>
      <c r="BJ152" s="1">
        <v>2.8623499999999997</v>
      </c>
      <c r="BK152" s="1">
        <v>2.84165</v>
      </c>
      <c r="BL152" s="1">
        <v>2.84165</v>
      </c>
      <c r="BM152" s="1">
        <v>2.84165</v>
      </c>
      <c r="BN152" s="1">
        <v>2.84165</v>
      </c>
      <c r="BO152" s="1">
        <v>1.1637999999999999</v>
      </c>
      <c r="BP152" s="1">
        <v>1.1637999999999999</v>
      </c>
      <c r="BQ152" s="1">
        <v>1.1637999999999999</v>
      </c>
      <c r="BR152" s="1">
        <v>1.1637999999999999</v>
      </c>
      <c r="BS152" s="1">
        <v>1.1729999999999998</v>
      </c>
      <c r="BT152" s="1">
        <v>1.1729999999999998</v>
      </c>
      <c r="BU152" s="1">
        <v>1.1729999999999998</v>
      </c>
      <c r="BV152" s="1">
        <v>1.1729999999999998</v>
      </c>
      <c r="BW152" s="1">
        <v>1.2994999999999999</v>
      </c>
      <c r="BX152" s="1">
        <v>1.2994999999999999</v>
      </c>
      <c r="BY152" s="1">
        <v>1.2994999999999999</v>
      </c>
      <c r="BZ152" s="1">
        <v>1.2994999999999999</v>
      </c>
      <c r="CA152" s="1">
        <v>1.3109999999999999</v>
      </c>
      <c r="CB152" s="1">
        <v>1.3109999999999999</v>
      </c>
      <c r="CC152" s="1">
        <v>1.3109999999999999</v>
      </c>
      <c r="CD152" s="1">
        <v>1.3109999999999999</v>
      </c>
      <c r="CE152" s="1">
        <v>1.3109999999999999</v>
      </c>
      <c r="CF152" s="1">
        <v>1.3109999999999999</v>
      </c>
      <c r="CG152" s="1">
        <v>1.3109999999999999</v>
      </c>
      <c r="CH152" s="1">
        <v>1.3109999999999999</v>
      </c>
      <c r="CI152" s="1">
        <v>1.3454999999999999</v>
      </c>
      <c r="CJ152" s="1">
        <v>1.3454999999999999</v>
      </c>
      <c r="CK152" s="1">
        <v>1.3454999999999999</v>
      </c>
      <c r="CL152" s="1">
        <v>1.3454999999999999</v>
      </c>
      <c r="CM152" s="1">
        <v>2.0952999999999999</v>
      </c>
      <c r="CN152" s="1">
        <v>2.0952999999999999</v>
      </c>
    </row>
    <row r="153" spans="1:92" x14ac:dyDescent="0.35">
      <c r="A153" t="s">
        <v>42</v>
      </c>
      <c r="B153" s="1">
        <v>1.99</v>
      </c>
      <c r="C153" s="1">
        <v>1.99</v>
      </c>
      <c r="D153" s="1">
        <v>1.99</v>
      </c>
      <c r="E153" s="1">
        <v>1.99</v>
      </c>
      <c r="F153" s="1">
        <v>1.99</v>
      </c>
      <c r="G153" s="1">
        <v>1.99</v>
      </c>
      <c r="H153" s="1">
        <v>1.99</v>
      </c>
      <c r="I153" s="1">
        <v>2.0489814318370736</v>
      </c>
      <c r="J153" s="1">
        <v>2.0489814318370736</v>
      </c>
      <c r="K153" s="1">
        <v>2.0489814318370736</v>
      </c>
      <c r="L153" s="1">
        <v>2.0489814318370736</v>
      </c>
      <c r="M153" s="1">
        <v>2.0489814318370736</v>
      </c>
      <c r="N153" s="1">
        <v>2.0489814318370736</v>
      </c>
      <c r="O153" s="1">
        <v>2.2413499999999997</v>
      </c>
      <c r="P153" s="1">
        <v>2.2413499999999997</v>
      </c>
      <c r="Q153" s="1">
        <v>2.2413499999999997</v>
      </c>
      <c r="R153" s="1">
        <v>2.2413499999999997</v>
      </c>
      <c r="S153" s="1">
        <v>2.6725999999999996</v>
      </c>
      <c r="T153" s="1">
        <v>2.6725999999999996</v>
      </c>
      <c r="U153" s="1">
        <v>2.6725999999999996</v>
      </c>
      <c r="V153" s="1">
        <v>2.6725999999999996</v>
      </c>
      <c r="W153" s="1">
        <v>2.6725999999999996</v>
      </c>
      <c r="X153" s="1">
        <v>2.6725999999999996</v>
      </c>
      <c r="Y153" s="1">
        <v>2.6725999999999996</v>
      </c>
      <c r="Z153" s="1">
        <v>3.0900499999999997</v>
      </c>
      <c r="AA153" s="1">
        <v>3.0900499999999997</v>
      </c>
      <c r="AB153" s="1">
        <v>3.0900499999999997</v>
      </c>
      <c r="AC153" s="1">
        <v>3.0900499999999997</v>
      </c>
      <c r="AD153" s="1">
        <v>3.0900499999999997</v>
      </c>
      <c r="AE153" s="1">
        <v>3.6063999999999998</v>
      </c>
      <c r="AF153" s="1">
        <v>3.6063999999999998</v>
      </c>
      <c r="AG153" s="1">
        <v>3.6063999999999998</v>
      </c>
      <c r="AH153" s="1">
        <v>3.6063999999999998</v>
      </c>
      <c r="AI153" s="1">
        <v>4.0974500000000003</v>
      </c>
      <c r="AJ153" s="1">
        <v>4.0974500000000003</v>
      </c>
      <c r="AK153" s="1">
        <v>4.0974500000000003</v>
      </c>
      <c r="AL153" s="1">
        <v>4.0974500000000003</v>
      </c>
      <c r="AM153" s="1">
        <v>4.0974500000000003</v>
      </c>
      <c r="AN153" s="1">
        <v>4.0974500000000003</v>
      </c>
      <c r="AO153" s="1">
        <v>4.0974500000000003</v>
      </c>
      <c r="AP153" s="1">
        <v>4.0974500000000003</v>
      </c>
      <c r="AQ153" s="1">
        <v>4.3504499999999995</v>
      </c>
      <c r="AR153" s="1">
        <v>4.3504499999999995</v>
      </c>
      <c r="AS153" s="1">
        <v>4.3504499999999995</v>
      </c>
      <c r="AT153" s="1">
        <v>4.3504499999999995</v>
      </c>
      <c r="AU153" s="1">
        <v>4.3504499999999995</v>
      </c>
      <c r="AV153" s="1">
        <v>4.3504499999999995</v>
      </c>
      <c r="AW153" s="1">
        <v>4.3504499999999995</v>
      </c>
      <c r="AX153" s="1">
        <v>4.3504499999999995</v>
      </c>
      <c r="AY153" s="1">
        <v>4.3504499999999995</v>
      </c>
      <c r="AZ153" s="1">
        <v>4.3504499999999995</v>
      </c>
      <c r="BA153" s="1">
        <v>4.3504499999999995</v>
      </c>
      <c r="BB153" s="1">
        <v>4.3504499999999995</v>
      </c>
      <c r="BC153" s="1">
        <v>4.9012999999999991</v>
      </c>
      <c r="BD153" s="1">
        <v>4.9012999999999991</v>
      </c>
      <c r="BE153" s="1">
        <v>4.9012999999999991</v>
      </c>
      <c r="BF153" s="1">
        <v>4.9012999999999991</v>
      </c>
      <c r="BG153" s="1">
        <v>4.7552499999999993</v>
      </c>
      <c r="BH153" s="1">
        <v>4.7552499999999993</v>
      </c>
      <c r="BI153" s="1">
        <v>4.7552499999999993</v>
      </c>
      <c r="BJ153" s="1">
        <v>4.7552499999999993</v>
      </c>
      <c r="BK153" s="1">
        <v>2.84165</v>
      </c>
      <c r="BL153" s="1">
        <v>2.84165</v>
      </c>
      <c r="BM153" s="1">
        <v>2.84165</v>
      </c>
      <c r="BN153" s="1">
        <v>2.84165</v>
      </c>
      <c r="BO153" s="1">
        <v>1.1637999999999999</v>
      </c>
      <c r="BP153" s="1">
        <v>1.1637999999999999</v>
      </c>
      <c r="BQ153" s="1">
        <v>1.1637999999999999</v>
      </c>
      <c r="BR153" s="1">
        <v>1.1637999999999999</v>
      </c>
      <c r="BS153" s="1">
        <v>1.1729999999999998</v>
      </c>
      <c r="BT153" s="1">
        <v>1.1729999999999998</v>
      </c>
      <c r="BU153" s="1">
        <v>1.1729999999999998</v>
      </c>
      <c r="BV153" s="1">
        <v>1.1729999999999998</v>
      </c>
      <c r="BW153" s="1">
        <v>1.2994999999999999</v>
      </c>
      <c r="BX153" s="1">
        <v>1.2994999999999999</v>
      </c>
      <c r="BY153" s="1">
        <v>1.2994999999999999</v>
      </c>
      <c r="BZ153" s="1">
        <v>1.2994999999999999</v>
      </c>
      <c r="CA153" s="1">
        <v>1.3109999999999999</v>
      </c>
      <c r="CB153" s="1">
        <v>1.3109999999999999</v>
      </c>
      <c r="CC153" s="1">
        <v>1.3109999999999999</v>
      </c>
      <c r="CD153" s="1">
        <v>1.3109999999999999</v>
      </c>
      <c r="CE153" s="1">
        <v>1.3109999999999999</v>
      </c>
      <c r="CF153" s="1">
        <v>1.3109999999999999</v>
      </c>
      <c r="CG153" s="1">
        <v>1.3109999999999999</v>
      </c>
      <c r="CH153" s="1">
        <v>1.3109999999999999</v>
      </c>
      <c r="CI153" s="1">
        <v>1.3454999999999999</v>
      </c>
      <c r="CJ153" s="1">
        <v>1.3454999999999999</v>
      </c>
      <c r="CK153" s="1">
        <v>1.3454999999999999</v>
      </c>
      <c r="CL153" s="1">
        <v>1.3454999999999999</v>
      </c>
      <c r="CM153" s="1">
        <v>2.0952999999999999</v>
      </c>
      <c r="CN153" s="1">
        <v>2.0952999999999999</v>
      </c>
    </row>
    <row r="154" spans="1:92" x14ac:dyDescent="0.35">
      <c r="A154" t="s">
        <v>43</v>
      </c>
      <c r="B154" s="1">
        <v>0.89</v>
      </c>
      <c r="C154" s="1">
        <v>0.89</v>
      </c>
      <c r="D154" s="1">
        <v>1.21</v>
      </c>
      <c r="E154" s="1">
        <v>1.21</v>
      </c>
      <c r="F154" s="1">
        <v>1.21</v>
      </c>
      <c r="G154" s="1">
        <v>1.35</v>
      </c>
      <c r="H154" s="1">
        <v>1.35</v>
      </c>
      <c r="I154" s="1">
        <v>1.35</v>
      </c>
      <c r="J154" s="1">
        <v>1.35</v>
      </c>
      <c r="K154" s="1">
        <v>1.35</v>
      </c>
      <c r="L154" s="1">
        <v>1.35</v>
      </c>
      <c r="M154" s="1">
        <v>1.35</v>
      </c>
      <c r="N154" s="1">
        <v>1.35</v>
      </c>
      <c r="O154" s="1">
        <v>1.43</v>
      </c>
      <c r="P154" s="1">
        <v>1.43</v>
      </c>
      <c r="Q154" s="1">
        <v>1.43</v>
      </c>
      <c r="R154" s="1">
        <v>1.43</v>
      </c>
      <c r="S154" s="1">
        <v>1.74</v>
      </c>
      <c r="T154" s="1">
        <v>1.74</v>
      </c>
      <c r="U154" s="1">
        <v>1.74</v>
      </c>
      <c r="V154" s="1">
        <v>1.74</v>
      </c>
      <c r="W154" s="1">
        <v>1.5</v>
      </c>
      <c r="X154" s="1">
        <v>1.5</v>
      </c>
      <c r="Y154" s="1">
        <v>1.5</v>
      </c>
      <c r="Z154" s="1">
        <v>1.5</v>
      </c>
      <c r="AA154" s="1">
        <v>1.68</v>
      </c>
      <c r="AB154" s="1">
        <v>1.68</v>
      </c>
      <c r="AC154" s="1">
        <v>1.72</v>
      </c>
      <c r="AD154" s="1">
        <v>1.72</v>
      </c>
      <c r="AE154" s="1">
        <v>1.7765559374999997</v>
      </c>
      <c r="AF154" s="1">
        <v>1.7765559374999997</v>
      </c>
      <c r="AG154" s="1">
        <v>1.7765559374999997</v>
      </c>
      <c r="AH154" s="1">
        <v>1.7765559374999997</v>
      </c>
      <c r="AI154" s="1">
        <v>2.0479703124999999</v>
      </c>
      <c r="AJ154" s="1">
        <v>2.0479703124999999</v>
      </c>
      <c r="AK154" s="1">
        <v>2.0479703124999999</v>
      </c>
      <c r="AL154" s="1">
        <v>2.0479703124999999</v>
      </c>
      <c r="AM154" s="1">
        <v>2.0170999999999997</v>
      </c>
      <c r="AN154" s="1">
        <v>2.0170999999999997</v>
      </c>
      <c r="AO154" s="1">
        <v>2.0170999999999997</v>
      </c>
      <c r="AP154" s="1">
        <v>2.0170999999999997</v>
      </c>
      <c r="AQ154" s="1">
        <v>2.2454899999999998</v>
      </c>
      <c r="AR154" s="1">
        <v>2.2454899999999998</v>
      </c>
      <c r="AS154" s="1">
        <v>2.2454899999999998</v>
      </c>
      <c r="AT154" s="1">
        <v>2.2454899999999998</v>
      </c>
      <c r="AU154" s="1">
        <v>2.2408899999999998</v>
      </c>
      <c r="AV154" s="1">
        <v>2.2408899999999998</v>
      </c>
      <c r="AW154" s="1">
        <v>2.2408899999999998</v>
      </c>
      <c r="AX154" s="1">
        <v>2.2408899999999998</v>
      </c>
      <c r="AY154" s="1">
        <v>2.6272899999999999</v>
      </c>
      <c r="AZ154" s="1">
        <v>2.6272899999999999</v>
      </c>
      <c r="BA154" s="1">
        <v>2.62913</v>
      </c>
      <c r="BB154" s="1">
        <v>2.62913</v>
      </c>
      <c r="BC154" s="1">
        <v>2.62913</v>
      </c>
      <c r="BD154" s="1">
        <v>2.62913</v>
      </c>
      <c r="BE154" s="1">
        <v>2.62913</v>
      </c>
      <c r="BF154" s="1">
        <v>2.62913</v>
      </c>
      <c r="BG154" s="1">
        <v>2.2999999999999998</v>
      </c>
      <c r="BH154" s="1">
        <v>2.2999999999999998</v>
      </c>
      <c r="BI154" s="1">
        <v>2.2999999999999998</v>
      </c>
      <c r="BJ154" s="1">
        <v>2.2999999999999998</v>
      </c>
      <c r="BK154" s="1">
        <v>2.0785099999999996</v>
      </c>
      <c r="BL154" s="1">
        <v>2.0785099999999996</v>
      </c>
      <c r="BM154" s="1">
        <v>2.0785099999999996</v>
      </c>
      <c r="BN154" s="1">
        <v>2.0785099999999996</v>
      </c>
      <c r="BO154" s="1">
        <v>1.9940999999999998</v>
      </c>
      <c r="BP154" s="1">
        <v>1.9940999999999998</v>
      </c>
      <c r="BQ154" s="1">
        <v>1.9940999999999998</v>
      </c>
      <c r="BR154" s="1">
        <v>1.9940999999999998</v>
      </c>
      <c r="BS154" s="1">
        <v>2.0539000000000001</v>
      </c>
      <c r="BT154" s="1">
        <v>2.0539000000000001</v>
      </c>
      <c r="BU154" s="1">
        <v>2.0539000000000001</v>
      </c>
      <c r="BV154" s="1">
        <v>2.0539000000000001</v>
      </c>
      <c r="BW154" s="1">
        <v>1.4673999999999996</v>
      </c>
      <c r="BX154" s="1">
        <v>1.4673999999999996</v>
      </c>
      <c r="BY154" s="1">
        <v>1.4673999999999996</v>
      </c>
      <c r="BZ154" s="1">
        <v>1.4673999999999996</v>
      </c>
      <c r="CA154" s="1">
        <v>1.0343423437499999</v>
      </c>
      <c r="CB154" s="1">
        <v>1.0343423437499999</v>
      </c>
      <c r="CC154" s="1">
        <v>1.0343423437499999</v>
      </c>
      <c r="CD154" s="1">
        <v>1.0343423437499999</v>
      </c>
      <c r="CE154" s="1">
        <v>1.0842217968750001</v>
      </c>
      <c r="CF154" s="1">
        <v>1.0842217968750001</v>
      </c>
      <c r="CG154" s="1">
        <v>1.0842217968750001</v>
      </c>
      <c r="CH154" s="1">
        <v>1.0842217968750001</v>
      </c>
      <c r="CI154" s="1">
        <v>1.3131422343750001</v>
      </c>
      <c r="CJ154" s="1">
        <v>1.3131422343750001</v>
      </c>
      <c r="CK154" s="1">
        <v>1.3131422343750001</v>
      </c>
      <c r="CL154" s="1">
        <v>1.3131422343750001</v>
      </c>
      <c r="CM154" s="1">
        <v>1.59719259375</v>
      </c>
      <c r="CN154" s="1">
        <v>1.59719259375</v>
      </c>
    </row>
    <row r="155" spans="1:92" x14ac:dyDescent="0.35">
      <c r="A155" t="s">
        <v>46</v>
      </c>
      <c r="B155" s="1">
        <v>1.45</v>
      </c>
      <c r="C155" s="1">
        <v>1.54</v>
      </c>
      <c r="D155" s="1">
        <v>1.54</v>
      </c>
      <c r="E155" s="1">
        <v>1.54</v>
      </c>
      <c r="F155" s="1">
        <v>1.54</v>
      </c>
      <c r="G155" s="1">
        <v>1.63</v>
      </c>
      <c r="H155" s="1">
        <v>1.63</v>
      </c>
      <c r="I155" s="1">
        <v>1.63</v>
      </c>
      <c r="J155" s="1">
        <v>1.63</v>
      </c>
      <c r="K155" s="1">
        <v>1.48</v>
      </c>
      <c r="L155" s="1">
        <v>1.48</v>
      </c>
      <c r="M155" s="1">
        <v>1.48</v>
      </c>
      <c r="N155" s="1">
        <v>1.48</v>
      </c>
      <c r="O155" s="1">
        <v>1.37</v>
      </c>
      <c r="P155" s="1">
        <v>1.37</v>
      </c>
      <c r="Q155" s="1">
        <v>1.37</v>
      </c>
      <c r="R155" s="1">
        <v>1.37</v>
      </c>
      <c r="S155" s="1">
        <v>1.7</v>
      </c>
      <c r="T155" s="1">
        <v>1.7</v>
      </c>
      <c r="U155" s="1">
        <v>1.7</v>
      </c>
      <c r="V155" s="1">
        <v>1.7</v>
      </c>
      <c r="W155" s="1">
        <v>1.65</v>
      </c>
      <c r="X155" s="1">
        <v>1.65</v>
      </c>
      <c r="Y155" s="1">
        <v>1.65</v>
      </c>
      <c r="Z155" s="1">
        <v>1.65</v>
      </c>
      <c r="AA155" s="1">
        <v>1.61</v>
      </c>
      <c r="AB155" s="1">
        <v>1.61</v>
      </c>
      <c r="AC155" s="1">
        <v>1.65</v>
      </c>
      <c r="AD155" s="1">
        <v>1.65</v>
      </c>
      <c r="AE155" s="1">
        <v>1.6651999999999998</v>
      </c>
      <c r="AF155" s="1">
        <v>1.6651999999999998</v>
      </c>
      <c r="AG155" s="1">
        <v>1.6651999999999998</v>
      </c>
      <c r="AH155" s="1">
        <v>1.6651999999999998</v>
      </c>
      <c r="AI155" s="1">
        <v>1.9848999999999997</v>
      </c>
      <c r="AJ155" s="1">
        <v>1.9848999999999997</v>
      </c>
      <c r="AK155" s="1">
        <v>1.9848999999999997</v>
      </c>
      <c r="AL155" s="1">
        <v>1.9848999999999997</v>
      </c>
      <c r="AM155" s="1">
        <v>2.4126999999999996</v>
      </c>
      <c r="AN155" s="1">
        <v>2.4126999999999996</v>
      </c>
      <c r="AO155" s="1">
        <v>2.4126999999999996</v>
      </c>
      <c r="AP155" s="1">
        <v>2.4126999999999996</v>
      </c>
      <c r="AQ155" s="1">
        <v>3.0520999999999998</v>
      </c>
      <c r="AR155" s="1">
        <v>3.0520999999999998</v>
      </c>
      <c r="AS155" s="1">
        <v>3.0520999999999998</v>
      </c>
      <c r="AT155" s="1">
        <v>3.0520999999999998</v>
      </c>
      <c r="AU155" s="1">
        <v>2.7829999999999999</v>
      </c>
      <c r="AV155" s="1">
        <v>2.7829999999999999</v>
      </c>
      <c r="AW155" s="1">
        <v>2.7829999999999999</v>
      </c>
      <c r="AX155" s="1">
        <v>2.7829999999999999</v>
      </c>
      <c r="AY155" s="1">
        <v>2.8519999999999999</v>
      </c>
      <c r="AZ155" s="1">
        <v>2.8519999999999999</v>
      </c>
      <c r="BA155" s="1">
        <v>2.8519999999999999</v>
      </c>
      <c r="BB155" s="1">
        <v>2.8519999999999999</v>
      </c>
      <c r="BC155" s="1">
        <v>2.7093999999999996</v>
      </c>
      <c r="BD155" s="1">
        <v>2.7093999999999996</v>
      </c>
      <c r="BE155" s="1">
        <v>2.7093999999999996</v>
      </c>
      <c r="BF155" s="1">
        <v>2.7093999999999996</v>
      </c>
      <c r="BG155" s="1">
        <v>2.5219499999999995</v>
      </c>
      <c r="BH155" s="1">
        <v>2.5219499999999995</v>
      </c>
      <c r="BI155" s="1">
        <v>2.5219499999999995</v>
      </c>
      <c r="BJ155" s="1">
        <v>2.5219499999999995</v>
      </c>
      <c r="BK155" s="1">
        <v>1.9618999999999995</v>
      </c>
      <c r="BL155" s="1">
        <v>1.9618999999999995</v>
      </c>
      <c r="BM155" s="1">
        <v>1.9618999999999995</v>
      </c>
      <c r="BN155" s="1">
        <v>1.9618999999999995</v>
      </c>
      <c r="BO155" s="1">
        <v>2.2585999999999999</v>
      </c>
      <c r="BP155" s="1">
        <v>2.2585999999999999</v>
      </c>
      <c r="BQ155" s="1">
        <v>2.2585999999999999</v>
      </c>
      <c r="BR155" s="1">
        <v>2.2585999999999999</v>
      </c>
      <c r="BS155" s="1">
        <v>2.5207999999999999</v>
      </c>
      <c r="BT155" s="1">
        <v>2.5207999999999999</v>
      </c>
      <c r="BU155" s="1">
        <v>2.5207999999999999</v>
      </c>
      <c r="BV155" s="1">
        <v>2.5207999999999999</v>
      </c>
      <c r="BW155" s="1">
        <v>1.9550000000000001</v>
      </c>
      <c r="BX155" s="1">
        <v>1.9550000000000001</v>
      </c>
      <c r="BY155" s="1">
        <v>1.9550000000000001</v>
      </c>
      <c r="BZ155" s="1">
        <v>1.9550000000000001</v>
      </c>
      <c r="CA155" s="1">
        <v>1.9950703125</v>
      </c>
      <c r="CB155" s="1">
        <v>1.9950703125</v>
      </c>
      <c r="CC155" s="1">
        <v>1.9950703125</v>
      </c>
      <c r="CD155" s="1">
        <v>1.9950703125</v>
      </c>
      <c r="CE155" s="1">
        <v>2.0689488281249999</v>
      </c>
      <c r="CF155" s="1">
        <v>2.0689488281249999</v>
      </c>
      <c r="CG155" s="1">
        <v>2.0689488281249999</v>
      </c>
      <c r="CH155" s="1">
        <v>2.0689488281249999</v>
      </c>
      <c r="CI155" s="1">
        <v>2.2282903125</v>
      </c>
      <c r="CJ155" s="1">
        <v>2.2282903125</v>
      </c>
      <c r="CK155" s="1">
        <v>2.2282903125</v>
      </c>
      <c r="CL155" s="1">
        <v>2.2282903125</v>
      </c>
      <c r="CM155" s="1">
        <v>2.9109554687500001</v>
      </c>
      <c r="CN155" s="1">
        <v>2.9109554687500001</v>
      </c>
    </row>
    <row r="156" spans="1:92" x14ac:dyDescent="0.35">
      <c r="A156" t="s">
        <v>47</v>
      </c>
      <c r="B156" s="1">
        <v>1.62</v>
      </c>
      <c r="C156" s="1">
        <v>1.68</v>
      </c>
      <c r="D156" s="1">
        <v>1.68</v>
      </c>
      <c r="E156" s="1">
        <v>1.68</v>
      </c>
      <c r="F156" s="1">
        <v>1.68</v>
      </c>
      <c r="G156" s="1">
        <v>1.31</v>
      </c>
      <c r="H156" s="1">
        <v>1.31</v>
      </c>
      <c r="I156" s="1">
        <v>1.31</v>
      </c>
      <c r="J156" s="1">
        <v>1.31</v>
      </c>
      <c r="K156" s="1">
        <v>1.56</v>
      </c>
      <c r="L156" s="1">
        <v>1.56</v>
      </c>
      <c r="M156" s="1">
        <v>1.56</v>
      </c>
      <c r="N156" s="1">
        <v>1.56</v>
      </c>
      <c r="O156" s="1">
        <v>1.39</v>
      </c>
      <c r="P156" s="1">
        <v>1.39</v>
      </c>
      <c r="Q156" s="1">
        <v>1.39</v>
      </c>
      <c r="R156" s="1">
        <v>1.39</v>
      </c>
      <c r="S156" s="1">
        <v>1.82</v>
      </c>
      <c r="T156" s="1">
        <v>1.82</v>
      </c>
      <c r="U156" s="1">
        <v>1.82</v>
      </c>
      <c r="V156" s="1">
        <v>1.82</v>
      </c>
      <c r="W156" s="1">
        <v>2.04</v>
      </c>
      <c r="X156" s="1">
        <v>2.04</v>
      </c>
      <c r="Y156" s="1">
        <v>2.04</v>
      </c>
      <c r="Z156" s="1">
        <v>2.04</v>
      </c>
      <c r="AA156" s="1">
        <v>2.04</v>
      </c>
      <c r="AB156" s="1">
        <v>2.04</v>
      </c>
      <c r="AC156" s="1">
        <v>2.08</v>
      </c>
      <c r="AD156" s="1">
        <v>2.08</v>
      </c>
      <c r="AE156" s="1">
        <v>2.0881897656249997</v>
      </c>
      <c r="AF156" s="1">
        <v>2.0881897656249997</v>
      </c>
      <c r="AG156" s="1">
        <v>2.0881897656249997</v>
      </c>
      <c r="AH156" s="1">
        <v>2.0881897656249997</v>
      </c>
      <c r="AI156" s="1">
        <v>2.2054897656249999</v>
      </c>
      <c r="AJ156" s="1">
        <v>2.2054897656249999</v>
      </c>
      <c r="AK156" s="1">
        <v>2.2054897656249999</v>
      </c>
      <c r="AL156" s="1">
        <v>2.2054897656249999</v>
      </c>
      <c r="AM156" s="1">
        <v>2.8977897656249998</v>
      </c>
      <c r="AN156" s="1">
        <v>2.8977897656249998</v>
      </c>
      <c r="AO156" s="1">
        <v>2.8977897656249998</v>
      </c>
      <c r="AP156" s="1">
        <v>2.8977897656249998</v>
      </c>
      <c r="AQ156" s="1">
        <v>2.9782897656249996</v>
      </c>
      <c r="AR156" s="1">
        <v>2.9782897656249996</v>
      </c>
      <c r="AS156" s="1">
        <v>2.9782897656249996</v>
      </c>
      <c r="AT156" s="1">
        <v>2.9782897656249996</v>
      </c>
      <c r="AU156" s="1">
        <v>2.8977897656249998</v>
      </c>
      <c r="AV156" s="1">
        <v>2.8977897656249998</v>
      </c>
      <c r="AW156" s="1">
        <v>2.8977897656249998</v>
      </c>
      <c r="AX156" s="1">
        <v>2.8977897656249998</v>
      </c>
      <c r="AY156" s="1">
        <v>2.8540897656249999</v>
      </c>
      <c r="AZ156" s="1">
        <v>2.8540897656249999</v>
      </c>
      <c r="BA156" s="1">
        <v>2.8540897656249999</v>
      </c>
      <c r="BB156" s="1">
        <v>2.8540897656249999</v>
      </c>
      <c r="BC156" s="1">
        <v>2.8540897656249999</v>
      </c>
      <c r="BD156" s="1">
        <v>2.8540897656249999</v>
      </c>
      <c r="BE156" s="1">
        <v>2.8540897656249999</v>
      </c>
      <c r="BF156" s="1">
        <v>2.8540897656249999</v>
      </c>
      <c r="BG156" s="1">
        <v>2.8130893906250005</v>
      </c>
      <c r="BH156" s="1">
        <v>2.8130893906250005</v>
      </c>
      <c r="BI156" s="1">
        <v>2.8130893906250005</v>
      </c>
      <c r="BJ156" s="1">
        <v>2.8130893906250005</v>
      </c>
      <c r="BK156" s="1">
        <v>2.3116893906249998</v>
      </c>
      <c r="BL156" s="1">
        <v>2.3116893906249998</v>
      </c>
      <c r="BM156" s="1">
        <v>2.3116893906249998</v>
      </c>
      <c r="BN156" s="1">
        <v>2.3116893906249998</v>
      </c>
      <c r="BO156" s="1">
        <v>2.1033140625</v>
      </c>
      <c r="BP156" s="1">
        <v>2.1033140625</v>
      </c>
      <c r="BQ156" s="1">
        <v>2.1033140625</v>
      </c>
      <c r="BR156" s="1">
        <v>2.1033140625</v>
      </c>
      <c r="BS156" s="1">
        <v>2.4897140624999996</v>
      </c>
      <c r="BT156" s="1">
        <v>2.4897140624999996</v>
      </c>
      <c r="BU156" s="1">
        <v>2.4897140624999996</v>
      </c>
      <c r="BV156" s="1">
        <v>2.4897140624999996</v>
      </c>
      <c r="BW156" s="1">
        <v>2.1014032656250001</v>
      </c>
      <c r="BX156" s="1">
        <v>2.1014032656250001</v>
      </c>
      <c r="BY156" s="1">
        <v>2.1014032656250001</v>
      </c>
      <c r="BZ156" s="1">
        <v>2.1014032656250001</v>
      </c>
      <c r="CA156" s="1">
        <v>1.8111421875</v>
      </c>
      <c r="CB156" s="1">
        <v>1.8111421875</v>
      </c>
      <c r="CC156" s="1">
        <v>1.8111421875</v>
      </c>
      <c r="CD156" s="1">
        <v>1.8111421875</v>
      </c>
      <c r="CE156" s="1">
        <v>1.9054421875000001</v>
      </c>
      <c r="CF156" s="1">
        <v>1.9054421875000001</v>
      </c>
      <c r="CG156" s="1">
        <v>1.9054421875000001</v>
      </c>
      <c r="CH156" s="1">
        <v>1.9054421875000001</v>
      </c>
      <c r="CI156" s="1">
        <v>1.6842468749999999</v>
      </c>
      <c r="CJ156" s="1">
        <v>1.6842468749999999</v>
      </c>
      <c r="CK156" s="1">
        <v>1.6842468749999999</v>
      </c>
      <c r="CL156" s="1">
        <v>1.6842468749999999</v>
      </c>
      <c r="CM156" s="1">
        <v>2.1407250000000002</v>
      </c>
      <c r="CN156" s="1">
        <v>2.1407250000000002</v>
      </c>
    </row>
    <row r="157" spans="1:92" x14ac:dyDescent="0.35">
      <c r="A157" t="s">
        <v>48</v>
      </c>
      <c r="B157" s="1">
        <v>1.4950000000000001</v>
      </c>
      <c r="C157" s="1">
        <v>1.4950000000000001</v>
      </c>
      <c r="D157" s="1">
        <v>1.4950000000000001</v>
      </c>
      <c r="E157" s="1">
        <v>1.4950000000000001</v>
      </c>
      <c r="F157" s="1">
        <v>1.4950000000000001</v>
      </c>
      <c r="G157" s="1">
        <v>1.5622749999999996</v>
      </c>
      <c r="H157" s="1">
        <v>1.5622749999999996</v>
      </c>
      <c r="I157" s="1">
        <v>1.5622749999999996</v>
      </c>
      <c r="J157" s="1">
        <v>1.5622749999999996</v>
      </c>
      <c r="K157" s="1">
        <v>2.0204349999999995</v>
      </c>
      <c r="L157" s="1">
        <v>2.0204349999999995</v>
      </c>
      <c r="M157" s="1">
        <v>2.0204349999999995</v>
      </c>
      <c r="N157" s="1">
        <v>2.0204349999999995</v>
      </c>
      <c r="O157" s="1">
        <v>1.7092449999999999</v>
      </c>
      <c r="P157" s="1">
        <v>1.7092449999999999</v>
      </c>
      <c r="Q157" s="1">
        <v>1.7092449999999999</v>
      </c>
      <c r="R157" s="1">
        <v>1.7092449999999999</v>
      </c>
      <c r="S157" s="1">
        <v>1.7009764999999999</v>
      </c>
      <c r="T157" s="1">
        <v>1.7009764999999999</v>
      </c>
      <c r="U157" s="1">
        <v>1.7009764999999999</v>
      </c>
      <c r="V157" s="1">
        <v>1.7009764999999999</v>
      </c>
      <c r="W157" s="1">
        <v>1.8052354999999998</v>
      </c>
      <c r="X157" s="1">
        <v>1.8052354999999998</v>
      </c>
      <c r="Y157" s="1">
        <v>1.8052354999999998</v>
      </c>
      <c r="Z157" s="1">
        <v>1.8052354999999998</v>
      </c>
      <c r="AA157" s="1">
        <v>2.4093649999999998</v>
      </c>
      <c r="AB157" s="1">
        <v>2.4093649999999998</v>
      </c>
      <c r="AC157" s="1">
        <v>2.4093649999999998</v>
      </c>
      <c r="AD157" s="1">
        <v>2.4093649999999998</v>
      </c>
      <c r="AE157" s="1">
        <v>1.6886496499999999</v>
      </c>
      <c r="AF157" s="1">
        <v>1.6886496499999999</v>
      </c>
      <c r="AG157" s="1">
        <v>1.6886496499999999</v>
      </c>
      <c r="AH157" s="1">
        <v>1.6886496499999999</v>
      </c>
      <c r="AI157" s="1">
        <v>2.2081655999999996</v>
      </c>
      <c r="AJ157" s="1">
        <v>2.2081655999999996</v>
      </c>
      <c r="AK157" s="1">
        <v>2.2081655999999996</v>
      </c>
      <c r="AL157" s="1">
        <v>2.2081655999999996</v>
      </c>
      <c r="AM157" s="1">
        <v>2.5231666999999991</v>
      </c>
      <c r="AN157" s="1">
        <v>2.5231666999999991</v>
      </c>
      <c r="AO157" s="1">
        <v>2.5231666999999991</v>
      </c>
      <c r="AP157" s="1">
        <v>2.5231666999999991</v>
      </c>
      <c r="AQ157" s="1">
        <v>2.6476001500000002</v>
      </c>
      <c r="AR157" s="1">
        <v>2.6476001500000002</v>
      </c>
      <c r="AS157" s="1">
        <v>2.6476001500000002</v>
      </c>
      <c r="AT157" s="1">
        <v>2.6476001500000002</v>
      </c>
      <c r="AU157" s="1">
        <v>2.6979920000000002</v>
      </c>
      <c r="AV157" s="1">
        <v>2.6979920000000002</v>
      </c>
      <c r="AW157" s="1">
        <v>2.6979920000000002</v>
      </c>
      <c r="AX157" s="1">
        <v>2.6979920000000002</v>
      </c>
      <c r="AY157" s="1">
        <v>2.81154875</v>
      </c>
      <c r="AZ157" s="1">
        <v>2.81154875</v>
      </c>
      <c r="BA157" s="1">
        <v>2.81154875</v>
      </c>
      <c r="BB157" s="1">
        <v>2.81154875</v>
      </c>
      <c r="BC157" s="1">
        <v>2.81154875</v>
      </c>
      <c r="BD157" s="1">
        <v>2.81154875</v>
      </c>
      <c r="BE157" s="1">
        <v>2.81154875</v>
      </c>
      <c r="BF157" s="1">
        <v>2.81154875</v>
      </c>
      <c r="BG157" s="1">
        <v>2.4266437499999998</v>
      </c>
      <c r="BH157" s="1">
        <v>2.4266437499999998</v>
      </c>
      <c r="BI157" s="1">
        <v>2.4266437499999998</v>
      </c>
      <c r="BJ157" s="1">
        <v>2.4266437499999998</v>
      </c>
      <c r="BK157" s="1">
        <v>2.3830105937500003</v>
      </c>
      <c r="BL157" s="1">
        <v>2.3830105937500003</v>
      </c>
      <c r="BM157" s="1">
        <v>2.3830105937500003</v>
      </c>
      <c r="BN157" s="1">
        <v>2.3830105937500003</v>
      </c>
      <c r="BO157" s="1">
        <v>2.3840606874999999</v>
      </c>
      <c r="BP157" s="1">
        <v>2.3840606874999999</v>
      </c>
      <c r="BQ157" s="1">
        <v>2.3840606874999999</v>
      </c>
      <c r="BR157" s="1">
        <v>2.3840606874999999</v>
      </c>
      <c r="BS157" s="1">
        <v>2.4463906874999992</v>
      </c>
      <c r="BT157" s="1">
        <v>2.4463906874999992</v>
      </c>
      <c r="BU157" s="1">
        <v>2.4463906874999992</v>
      </c>
      <c r="BV157" s="1">
        <v>2.4463906874999992</v>
      </c>
      <c r="BW157" s="1">
        <v>2.5552087187500003</v>
      </c>
      <c r="BX157" s="1">
        <v>2.5552087187500003</v>
      </c>
      <c r="BY157" s="1">
        <v>2.5552087187500003</v>
      </c>
      <c r="BZ157" s="1">
        <v>2.5552087187500003</v>
      </c>
      <c r="CA157" s="1">
        <v>2.3926616093750002</v>
      </c>
      <c r="CB157" s="1">
        <v>2.3926616093750002</v>
      </c>
      <c r="CC157" s="1">
        <v>2.3926616093750002</v>
      </c>
      <c r="CD157" s="1">
        <v>2.3926616093750002</v>
      </c>
      <c r="CE157" s="1">
        <v>2.5774145000000002</v>
      </c>
      <c r="CF157" s="1">
        <v>2.5774145000000002</v>
      </c>
      <c r="CG157" s="1">
        <v>2.5774145000000002</v>
      </c>
      <c r="CH157" s="1">
        <v>2.5774145000000002</v>
      </c>
      <c r="CI157" s="1">
        <v>3.2792073906249999</v>
      </c>
      <c r="CJ157" s="1">
        <v>3.2792073906249999</v>
      </c>
      <c r="CK157" s="1">
        <v>3.2792073906249999</v>
      </c>
      <c r="CL157" s="1">
        <v>3.2792073906249999</v>
      </c>
      <c r="CM157" s="1">
        <v>3.8095352812500001</v>
      </c>
      <c r="CN157" s="1">
        <v>3.8095352812500001</v>
      </c>
    </row>
    <row r="158" spans="1:92" x14ac:dyDescent="0.35">
      <c r="A158" t="s">
        <v>49</v>
      </c>
      <c r="B158" s="1">
        <v>1.68</v>
      </c>
      <c r="C158" s="1">
        <v>1.77</v>
      </c>
      <c r="D158" s="1">
        <v>1.77</v>
      </c>
      <c r="E158" s="1">
        <v>1.77</v>
      </c>
      <c r="F158" s="1">
        <v>1.77</v>
      </c>
      <c r="G158" s="1">
        <v>1.74</v>
      </c>
      <c r="H158" s="1">
        <v>1.74</v>
      </c>
      <c r="I158" s="1">
        <v>1.74</v>
      </c>
      <c r="J158" s="1">
        <v>1.74</v>
      </c>
      <c r="K158" s="1">
        <v>1.95</v>
      </c>
      <c r="L158" s="1">
        <v>1.95</v>
      </c>
      <c r="M158" s="1">
        <v>1.95</v>
      </c>
      <c r="N158" s="1">
        <v>1.95</v>
      </c>
      <c r="O158" s="1">
        <v>1.9</v>
      </c>
      <c r="P158" s="1">
        <v>1.9</v>
      </c>
      <c r="Q158" s="1">
        <v>1.9</v>
      </c>
      <c r="R158" s="1">
        <v>1.9</v>
      </c>
      <c r="S158" s="1">
        <v>2.0299999999999998</v>
      </c>
      <c r="T158" s="1">
        <v>2.0299999999999998</v>
      </c>
      <c r="U158" s="1">
        <v>2.0299999999999998</v>
      </c>
      <c r="V158" s="1">
        <v>2.0299999999999998</v>
      </c>
      <c r="W158" s="1">
        <v>2.0099999999999998</v>
      </c>
      <c r="X158" s="1">
        <v>2.0099999999999998</v>
      </c>
      <c r="Y158" s="1">
        <v>2.0099999999999998</v>
      </c>
      <c r="Z158" s="1">
        <v>2.0099999999999998</v>
      </c>
      <c r="AA158" s="1">
        <v>1.97</v>
      </c>
      <c r="AB158" s="1">
        <v>1.97</v>
      </c>
      <c r="AC158" s="1">
        <v>2.0099999999999998</v>
      </c>
      <c r="AD158" s="1">
        <v>2.0099999999999998</v>
      </c>
      <c r="AE158" s="1">
        <v>2.0003099999999998</v>
      </c>
      <c r="AF158" s="1">
        <v>2.0003099999999998</v>
      </c>
      <c r="AG158" s="1">
        <v>2.0003099999999998</v>
      </c>
      <c r="AH158" s="1">
        <v>2.0003099999999998</v>
      </c>
      <c r="AI158" s="1">
        <v>2.4121249999999996</v>
      </c>
      <c r="AJ158" s="1">
        <v>2.4121249999999996</v>
      </c>
      <c r="AK158" s="1">
        <v>2.4121249999999996</v>
      </c>
      <c r="AL158" s="1">
        <v>2.4121249999999996</v>
      </c>
      <c r="AM158" s="1">
        <v>2.4205199999999998</v>
      </c>
      <c r="AN158" s="1">
        <v>2.4205199999999998</v>
      </c>
      <c r="AO158" s="1">
        <v>2.4205199999999998</v>
      </c>
      <c r="AP158" s="1">
        <v>2.4205199999999998</v>
      </c>
      <c r="AQ158" s="1">
        <v>2.6162499999999995</v>
      </c>
      <c r="AR158" s="1">
        <v>2.6162499999999995</v>
      </c>
      <c r="AS158" s="1">
        <v>2.6162499999999995</v>
      </c>
      <c r="AT158" s="1">
        <v>2.6162499999999995</v>
      </c>
      <c r="AU158" s="1">
        <v>2.7944999999999989</v>
      </c>
      <c r="AV158" s="1">
        <v>2.7944999999999989</v>
      </c>
      <c r="AW158" s="1">
        <v>2.7944999999999989</v>
      </c>
      <c r="AX158" s="1">
        <v>2.7944999999999989</v>
      </c>
      <c r="AY158" s="1">
        <v>2.7556299999999996</v>
      </c>
      <c r="AZ158" s="1">
        <v>2.7556299999999996</v>
      </c>
      <c r="BA158" s="1">
        <v>2.7556299999999996</v>
      </c>
      <c r="BB158" s="1">
        <v>2.7556299999999996</v>
      </c>
      <c r="BC158" s="1">
        <v>2.9072</v>
      </c>
      <c r="BD158" s="1">
        <v>2.9072</v>
      </c>
      <c r="BE158" s="1">
        <v>2.9072</v>
      </c>
      <c r="BF158" s="1">
        <v>2.9072</v>
      </c>
      <c r="BG158" s="1">
        <v>2.7369999999999997</v>
      </c>
      <c r="BH158" s="1">
        <v>2.7369999999999997</v>
      </c>
      <c r="BI158" s="1">
        <v>2.7369999999999997</v>
      </c>
      <c r="BJ158" s="1">
        <v>2.7369999999999997</v>
      </c>
      <c r="BK158" s="1">
        <v>2.4563999999999999</v>
      </c>
      <c r="BL158" s="1">
        <v>2.4563999999999999</v>
      </c>
      <c r="BM158" s="1">
        <v>2.4563999999999999</v>
      </c>
      <c r="BN158" s="1">
        <v>2.4563999999999999</v>
      </c>
      <c r="BO158" s="1">
        <v>2.5507</v>
      </c>
      <c r="BP158" s="1">
        <v>2.5507</v>
      </c>
      <c r="BQ158" s="1">
        <v>2.5507</v>
      </c>
      <c r="BR158" s="1">
        <v>2.5507</v>
      </c>
      <c r="BS158" s="1">
        <v>2.1754877031249999</v>
      </c>
      <c r="BT158" s="1">
        <v>2.1754877031249999</v>
      </c>
      <c r="BU158" s="1">
        <v>2.1754877031249999</v>
      </c>
      <c r="BV158" s="1">
        <v>2.1754877031249999</v>
      </c>
      <c r="BW158" s="1">
        <v>1.8711948281249999</v>
      </c>
      <c r="BX158" s="1">
        <v>1.8711948281249999</v>
      </c>
      <c r="BY158" s="1">
        <v>1.8711948281249999</v>
      </c>
      <c r="BZ158" s="1">
        <v>1.8711948281249999</v>
      </c>
      <c r="CA158" s="1">
        <v>1.5982426875</v>
      </c>
      <c r="CB158" s="1">
        <v>1.5982426875</v>
      </c>
      <c r="CC158" s="1">
        <v>1.5982426875</v>
      </c>
      <c r="CD158" s="1">
        <v>1.5982426875</v>
      </c>
      <c r="CE158" s="1">
        <v>1.6659737343750001</v>
      </c>
      <c r="CF158" s="1">
        <v>1.6659737343750001</v>
      </c>
      <c r="CG158" s="1">
        <v>1.6659737343750001</v>
      </c>
      <c r="CH158" s="1">
        <v>1.6659737343750001</v>
      </c>
      <c r="CI158" s="1">
        <v>1.8597160312500001</v>
      </c>
      <c r="CJ158" s="1">
        <v>1.8597160312500001</v>
      </c>
      <c r="CK158" s="1">
        <v>1.8597160312500001</v>
      </c>
      <c r="CL158" s="1">
        <v>1.8597160312500001</v>
      </c>
      <c r="CM158" s="1">
        <v>2.15164209375</v>
      </c>
      <c r="CN158" s="1">
        <v>2.15164209375</v>
      </c>
    </row>
    <row r="159" spans="1:92" x14ac:dyDescent="0.35">
      <c r="A159" t="s">
        <v>66</v>
      </c>
      <c r="B159" s="1">
        <v>1.43</v>
      </c>
      <c r="C159" s="1">
        <v>1.61</v>
      </c>
      <c r="D159" s="1">
        <v>1.61</v>
      </c>
      <c r="E159" s="1">
        <v>1.61</v>
      </c>
      <c r="F159" s="1">
        <v>1.61</v>
      </c>
      <c r="G159" s="1">
        <v>1.57</v>
      </c>
      <c r="H159" s="1">
        <v>1.57</v>
      </c>
      <c r="I159" s="1">
        <v>1.57</v>
      </c>
      <c r="J159" s="1">
        <v>1.57</v>
      </c>
      <c r="K159" s="1">
        <v>1.84</v>
      </c>
      <c r="L159" s="1">
        <v>1.84</v>
      </c>
      <c r="M159" s="1">
        <v>1.84</v>
      </c>
      <c r="N159" s="1">
        <v>1.84</v>
      </c>
      <c r="O159" s="1">
        <v>1.8</v>
      </c>
      <c r="P159" s="1">
        <v>1.8</v>
      </c>
      <c r="Q159" s="1">
        <v>1.8</v>
      </c>
      <c r="R159" s="1">
        <v>1.8</v>
      </c>
      <c r="S159" s="1">
        <v>1.97</v>
      </c>
      <c r="T159" s="1">
        <v>1.97</v>
      </c>
      <c r="U159" s="1">
        <v>1.97</v>
      </c>
      <c r="V159" s="1">
        <v>1.97</v>
      </c>
      <c r="W159" s="1">
        <v>2.2200000000000002</v>
      </c>
      <c r="X159" s="1">
        <v>2.2200000000000002</v>
      </c>
      <c r="Y159" s="1">
        <v>2.2200000000000002</v>
      </c>
      <c r="Z159" s="1">
        <v>2.2200000000000002</v>
      </c>
      <c r="AA159" s="1">
        <v>2.14</v>
      </c>
      <c r="AB159" s="1">
        <v>2.14</v>
      </c>
      <c r="AC159" s="1">
        <v>2.19</v>
      </c>
      <c r="AD159" s="1">
        <v>2.19</v>
      </c>
      <c r="AE159" s="1">
        <v>2.3105439310000002</v>
      </c>
      <c r="AF159" s="1">
        <v>2.3105439309834397</v>
      </c>
      <c r="AG159" s="1">
        <v>2.3105439309834397</v>
      </c>
      <c r="AH159" s="1">
        <v>2.3105439309834397</v>
      </c>
      <c r="AI159" s="1">
        <v>3.1635418401738371</v>
      </c>
      <c r="AJ159" s="1">
        <v>3.1635418401738371</v>
      </c>
      <c r="AK159" s="1">
        <v>3.1635418401738371</v>
      </c>
      <c r="AL159" s="1">
        <v>3.1635418401738371</v>
      </c>
      <c r="AM159" s="1">
        <v>3.3089562394621868</v>
      </c>
      <c r="AN159" s="1">
        <v>3.3089562394621868</v>
      </c>
      <c r="AO159" s="1">
        <v>3.3089562394621868</v>
      </c>
      <c r="AP159" s="1">
        <v>3.3089562394621868</v>
      </c>
      <c r="AQ159" s="1">
        <v>3.5896452439637487</v>
      </c>
      <c r="AR159" s="1">
        <v>3.5896452439637487</v>
      </c>
      <c r="AS159" s="1">
        <v>3.5896452439637487</v>
      </c>
      <c r="AT159" s="1">
        <v>3.5896452439637487</v>
      </c>
      <c r="AU159" s="1">
        <v>3.4315312494206247</v>
      </c>
      <c r="AV159" s="1">
        <v>3.4315312494206247</v>
      </c>
      <c r="AW159" s="1">
        <v>3.4315312494206247</v>
      </c>
      <c r="AX159" s="1">
        <v>3.4315312494206247</v>
      </c>
      <c r="AY159" s="1">
        <v>3.4461643304656246</v>
      </c>
      <c r="AZ159" s="1">
        <v>3.4461643304656246</v>
      </c>
      <c r="BA159" s="1">
        <v>3.4461643304656246</v>
      </c>
      <c r="BB159" s="1">
        <v>3.4461643304656246</v>
      </c>
      <c r="BC159" s="1">
        <v>3.3970686829843744</v>
      </c>
      <c r="BD159" s="1">
        <v>3.3970686829843744</v>
      </c>
      <c r="BE159" s="1">
        <v>3.3970686829843744</v>
      </c>
      <c r="BF159" s="1">
        <v>3.3970686829843744</v>
      </c>
      <c r="BG159" s="1">
        <v>3.332593685899687</v>
      </c>
      <c r="BH159" s="1">
        <v>3.332593685899687</v>
      </c>
      <c r="BI159" s="1">
        <v>3.332593685899687</v>
      </c>
      <c r="BJ159" s="1">
        <v>3.332593685899687</v>
      </c>
      <c r="BK159" s="1">
        <v>2.6038755576093746</v>
      </c>
      <c r="BL159" s="1">
        <v>2.6038755576093746</v>
      </c>
      <c r="BM159" s="1">
        <v>2.6038755576093746</v>
      </c>
      <c r="BN159" s="1">
        <v>2.6038755576093746</v>
      </c>
      <c r="BO159" s="1">
        <v>2.7705785189437493</v>
      </c>
      <c r="BP159" s="1">
        <v>2.7705785189437493</v>
      </c>
      <c r="BQ159" s="1">
        <v>2.7705785189437493</v>
      </c>
      <c r="BR159" s="1">
        <v>2.7705785189437493</v>
      </c>
      <c r="BS159" s="1">
        <v>2.6586329059775</v>
      </c>
      <c r="BT159" s="1">
        <v>2.6586329059775</v>
      </c>
      <c r="BU159" s="1">
        <v>2.6586329059775</v>
      </c>
      <c r="BV159" s="1">
        <v>2.6586329059775</v>
      </c>
      <c r="BW159" s="1">
        <v>2.5695088455059372</v>
      </c>
      <c r="BX159" s="1">
        <v>2.5695088455059372</v>
      </c>
      <c r="BY159" s="1">
        <v>2.5695088455059372</v>
      </c>
      <c r="BZ159" s="1">
        <v>2.5695088455059372</v>
      </c>
      <c r="CA159" s="1">
        <v>2.1013735091665602</v>
      </c>
      <c r="CB159" s="1">
        <v>2.1013735091665602</v>
      </c>
      <c r="CC159" s="1">
        <v>2.1013735091665602</v>
      </c>
      <c r="CD159" s="1">
        <v>2.1013735091665602</v>
      </c>
      <c r="CE159" s="1">
        <v>2.6778007087215001</v>
      </c>
      <c r="CF159" s="1">
        <v>2.6778007087215001</v>
      </c>
      <c r="CG159" s="1">
        <v>2.6778007087215001</v>
      </c>
      <c r="CH159" s="1">
        <v>2.6778007087215001</v>
      </c>
      <c r="CI159" s="1">
        <v>3.1133969521537499</v>
      </c>
      <c r="CJ159" s="1">
        <v>3.1133969521537499</v>
      </c>
      <c r="CK159" s="1">
        <v>3.1133969521537499</v>
      </c>
      <c r="CL159" s="1">
        <v>3.1133969521537499</v>
      </c>
      <c r="CM159" s="1">
        <v>3.0257860517849999</v>
      </c>
      <c r="CN159" s="1">
        <v>3.0257860517849999</v>
      </c>
    </row>
    <row r="160" spans="1:92" x14ac:dyDescent="0.35">
      <c r="A160" t="s">
        <v>50</v>
      </c>
      <c r="B160" s="1">
        <v>1.45</v>
      </c>
      <c r="C160" s="1">
        <v>1.33</v>
      </c>
      <c r="D160" s="1">
        <v>1.33</v>
      </c>
      <c r="E160" s="1">
        <v>1.33</v>
      </c>
      <c r="F160" s="1">
        <v>1.33</v>
      </c>
      <c r="G160" s="1">
        <v>1.31</v>
      </c>
      <c r="H160" s="1">
        <v>1.78</v>
      </c>
      <c r="I160" s="1">
        <v>1.78</v>
      </c>
      <c r="J160" s="1">
        <v>1.78</v>
      </c>
      <c r="K160" s="1">
        <v>1.54</v>
      </c>
      <c r="L160" s="1">
        <v>1.54</v>
      </c>
      <c r="M160" s="1">
        <v>1.54</v>
      </c>
      <c r="N160" s="1">
        <v>1.54</v>
      </c>
      <c r="O160" s="1">
        <v>1.49</v>
      </c>
      <c r="P160" s="1">
        <v>1.49</v>
      </c>
      <c r="Q160" s="1">
        <v>1.49</v>
      </c>
      <c r="R160" s="1">
        <v>1.49</v>
      </c>
      <c r="S160" s="1">
        <v>1.49</v>
      </c>
      <c r="T160" s="1">
        <v>2.2599999999999998</v>
      </c>
      <c r="U160" s="1">
        <v>2.2599999999999998</v>
      </c>
      <c r="V160" s="1">
        <v>2.2599999999999998</v>
      </c>
      <c r="W160" s="1">
        <v>2.17</v>
      </c>
      <c r="X160" s="1">
        <v>2.17</v>
      </c>
      <c r="Y160" s="1">
        <v>2.17</v>
      </c>
      <c r="Z160" s="1">
        <v>2.17</v>
      </c>
      <c r="AA160" s="1">
        <v>1.77</v>
      </c>
      <c r="AB160" s="1">
        <v>1.77</v>
      </c>
      <c r="AC160" s="1">
        <v>1.81</v>
      </c>
      <c r="AD160" s="1">
        <v>1.81</v>
      </c>
      <c r="AE160" s="1">
        <v>2.3612374999999997</v>
      </c>
      <c r="AF160" s="1">
        <v>2.3612374999999997</v>
      </c>
      <c r="AG160" s="1">
        <v>2.3612374999999997</v>
      </c>
      <c r="AH160" s="1">
        <v>2.3612374999999997</v>
      </c>
      <c r="AI160" s="1">
        <v>2.3574999999999995</v>
      </c>
      <c r="AJ160" s="1">
        <v>2.3574999999999995</v>
      </c>
      <c r="AK160" s="1">
        <v>2.3574999999999995</v>
      </c>
      <c r="AL160" s="1">
        <v>2.3574999999999995</v>
      </c>
      <c r="AM160" s="1">
        <v>2.4007399999999999</v>
      </c>
      <c r="AN160" s="1">
        <v>2.4007399999999999</v>
      </c>
      <c r="AO160" s="1">
        <v>2.4007399999999999</v>
      </c>
      <c r="AP160" s="1">
        <v>2.4007399999999999</v>
      </c>
      <c r="AQ160" s="1">
        <v>2.8926604062500001</v>
      </c>
      <c r="AR160" s="1">
        <v>2.8926604062500001</v>
      </c>
      <c r="AS160" s="1">
        <v>2.8926604062500001</v>
      </c>
      <c r="AT160" s="1">
        <v>2.8926604062500001</v>
      </c>
      <c r="AU160" s="1">
        <v>2.4601838593749998</v>
      </c>
      <c r="AV160" s="1">
        <v>2.4601838593749998</v>
      </c>
      <c r="AW160" s="1">
        <v>2.4601838593749998</v>
      </c>
      <c r="AX160" s="1">
        <v>2.4601838593749998</v>
      </c>
      <c r="AY160" s="1">
        <v>2.4289085312500003</v>
      </c>
      <c r="AZ160" s="1">
        <v>2.4289085312500003</v>
      </c>
      <c r="BA160" s="1">
        <v>2.4289085312500003</v>
      </c>
      <c r="BB160" s="1">
        <v>2.4289085312500003</v>
      </c>
      <c r="BC160" s="1">
        <v>2.5536335781249995</v>
      </c>
      <c r="BD160" s="1">
        <v>2.5536335781249995</v>
      </c>
      <c r="BE160" s="1">
        <v>2.5536335781249995</v>
      </c>
      <c r="BF160" s="1">
        <v>2.5536335781249995</v>
      </c>
      <c r="BG160" s="1">
        <v>2.4352579687499998</v>
      </c>
      <c r="BH160" s="1">
        <v>2.4352579687499998</v>
      </c>
      <c r="BI160" s="1">
        <v>2.4352579687499998</v>
      </c>
      <c r="BJ160" s="1">
        <v>2.4352579687499998</v>
      </c>
      <c r="BK160" s="1">
        <v>2.6396686718749995</v>
      </c>
      <c r="BL160" s="1">
        <v>2.6396686718749995</v>
      </c>
      <c r="BM160" s="1">
        <v>2.6396686718749995</v>
      </c>
      <c r="BN160" s="1">
        <v>2.6396686718749995</v>
      </c>
      <c r="BO160" s="1">
        <v>1.8093816093749997</v>
      </c>
      <c r="BP160" s="1">
        <v>1.8093816093749997</v>
      </c>
      <c r="BQ160" s="1">
        <v>1.8093816093749997</v>
      </c>
      <c r="BR160" s="1">
        <v>1.8093816093749997</v>
      </c>
      <c r="BS160" s="1">
        <v>1.1345594531249998</v>
      </c>
      <c r="BT160" s="1">
        <v>1.1345594531249998</v>
      </c>
      <c r="BU160" s="1">
        <v>1.1345594531249998</v>
      </c>
      <c r="BV160" s="1">
        <v>1.1345594531249998</v>
      </c>
      <c r="BW160" s="1">
        <v>2.5202249999999996E-3</v>
      </c>
      <c r="BX160" s="1">
        <v>2.5202249999999996E-3</v>
      </c>
      <c r="BY160" s="1">
        <v>2.5202249999999996E-3</v>
      </c>
      <c r="BZ160" s="1">
        <v>2.5202249999999996E-3</v>
      </c>
      <c r="CA160" s="1">
        <v>1.3168175625</v>
      </c>
      <c r="CB160" s="1">
        <v>1.3168175625</v>
      </c>
      <c r="CC160" s="1">
        <v>1.3168175625</v>
      </c>
      <c r="CD160" s="1">
        <v>1.3168175625</v>
      </c>
      <c r="CE160" s="1">
        <v>1.331518875</v>
      </c>
      <c r="CF160" s="1">
        <v>1.331518875</v>
      </c>
      <c r="CG160" s="1">
        <v>1.331518875</v>
      </c>
      <c r="CH160" s="1">
        <v>1.331518875</v>
      </c>
      <c r="CI160" s="1">
        <v>1.6528475625000001</v>
      </c>
      <c r="CJ160" s="1">
        <v>1.6528475625000001</v>
      </c>
      <c r="CK160" s="1">
        <v>1.6528475625000001</v>
      </c>
      <c r="CL160" s="1">
        <v>1.6528475625000001</v>
      </c>
      <c r="CM160" s="1">
        <v>1.9720760625</v>
      </c>
      <c r="CN160" s="1">
        <v>1.9720760625</v>
      </c>
    </row>
    <row r="161" spans="1:92" x14ac:dyDescent="0.35">
      <c r="A161" t="s">
        <v>61</v>
      </c>
      <c r="B161" s="1">
        <v>2.41</v>
      </c>
      <c r="C161" s="1">
        <v>2.38</v>
      </c>
      <c r="D161" s="1">
        <v>2.38</v>
      </c>
      <c r="E161" s="1">
        <v>2.38</v>
      </c>
      <c r="F161" s="1">
        <v>2.38</v>
      </c>
      <c r="G161" s="1">
        <v>2.1800000000000002</v>
      </c>
      <c r="H161" s="1">
        <v>2.1800000000000002</v>
      </c>
      <c r="I161" s="1">
        <v>2.1800000000000002</v>
      </c>
      <c r="J161" s="1">
        <v>2.1800000000000002</v>
      </c>
      <c r="K161" s="1">
        <v>2.42</v>
      </c>
      <c r="L161" s="1">
        <v>2.42</v>
      </c>
      <c r="M161" s="1">
        <v>2.42</v>
      </c>
      <c r="N161" s="1">
        <v>2.42</v>
      </c>
      <c r="O161" s="1">
        <v>1.65</v>
      </c>
      <c r="P161" s="1">
        <v>1.65</v>
      </c>
      <c r="Q161" s="1">
        <v>1.65</v>
      </c>
      <c r="R161" s="1">
        <v>1.65</v>
      </c>
      <c r="S161" s="1">
        <v>1.81</v>
      </c>
      <c r="T161" s="1">
        <v>1.81</v>
      </c>
      <c r="U161" s="1">
        <v>1.81</v>
      </c>
      <c r="V161" s="1">
        <v>1.81</v>
      </c>
      <c r="W161" s="1">
        <v>1.84</v>
      </c>
      <c r="X161" s="1">
        <v>1.84</v>
      </c>
      <c r="Y161" s="1">
        <v>1.84</v>
      </c>
      <c r="Z161" s="1">
        <v>1.84</v>
      </c>
      <c r="AA161" s="1">
        <v>1.92</v>
      </c>
      <c r="AB161" s="1">
        <v>1.92</v>
      </c>
      <c r="AC161" s="1">
        <v>1.97</v>
      </c>
      <c r="AD161" s="1">
        <v>1.97</v>
      </c>
      <c r="AE161" s="1">
        <v>1.9661677503821335</v>
      </c>
      <c r="AF161" s="1">
        <v>2.0215178509181011</v>
      </c>
      <c r="AG161" s="1">
        <v>2.0215178509181011</v>
      </c>
      <c r="AH161" s="1">
        <v>2.0215178509181011</v>
      </c>
      <c r="AI161" s="1">
        <v>2.8163714467643484</v>
      </c>
      <c r="AJ161" s="1">
        <v>2.8163714467643484</v>
      </c>
      <c r="AK161" s="1">
        <v>2.8163714467643484</v>
      </c>
      <c r="AL161" s="1">
        <v>2.8163714467643484</v>
      </c>
      <c r="AM161" s="1">
        <v>2.9271092732013737</v>
      </c>
      <c r="AN161" s="1">
        <v>2.9271092732013737</v>
      </c>
      <c r="AO161" s="1">
        <v>2.9271092732013737</v>
      </c>
      <c r="AP161" s="1">
        <v>2.9271092732013737</v>
      </c>
      <c r="AQ161" s="1">
        <v>3.2613397832146123</v>
      </c>
      <c r="AR161" s="1">
        <v>3.2613397832146123</v>
      </c>
      <c r="AS161" s="1">
        <v>3.2613397832146123</v>
      </c>
      <c r="AT161" s="1">
        <v>3.2613397832146123</v>
      </c>
      <c r="AU161" s="1">
        <v>3.3522482092275649</v>
      </c>
      <c r="AV161" s="1">
        <v>3.3522482092275649</v>
      </c>
      <c r="AW161" s="1">
        <v>3.3522482092275649</v>
      </c>
      <c r="AX161" s="1">
        <v>3.3522482092275649</v>
      </c>
      <c r="AY161" s="1">
        <v>3.4829290716211818</v>
      </c>
      <c r="AZ161" s="1">
        <v>3.4829290716211818</v>
      </c>
      <c r="BA161" s="1">
        <v>3.4829290716211818</v>
      </c>
      <c r="BB161" s="1">
        <v>3.4829290716211818</v>
      </c>
      <c r="BC161" s="1">
        <v>3.7499725730342237</v>
      </c>
      <c r="BD161" s="1">
        <v>3.7499725730342237</v>
      </c>
      <c r="BE161" s="1">
        <v>3.7499725730342237</v>
      </c>
      <c r="BF161" s="1">
        <v>3.7499725730342237</v>
      </c>
      <c r="BG161" s="1">
        <v>3.5709966093212278</v>
      </c>
      <c r="BH161" s="1">
        <v>3.5709966093212278</v>
      </c>
      <c r="BI161" s="1">
        <v>3.5709966093212278</v>
      </c>
      <c r="BJ161" s="1">
        <v>3.5709966093212278</v>
      </c>
      <c r="BK161" s="1">
        <v>2.7913950000000001</v>
      </c>
      <c r="BL161" s="1">
        <v>2.7913950000000001</v>
      </c>
      <c r="BM161" s="1">
        <v>2.7913950000000001</v>
      </c>
      <c r="BN161" s="1">
        <v>2.7913950000000001</v>
      </c>
      <c r="BO161" s="1">
        <v>2.2484596679999997</v>
      </c>
      <c r="BP161" s="1">
        <v>2.2484596679999997</v>
      </c>
      <c r="BQ161" s="1">
        <v>2.2484596679999997</v>
      </c>
      <c r="BR161" s="1">
        <v>2.2484596679999997</v>
      </c>
      <c r="BS161" s="1">
        <v>2.6228215691999996</v>
      </c>
      <c r="BT161" s="1">
        <v>2.6228215691999996</v>
      </c>
      <c r="BU161" s="1">
        <v>2.6228215691999996</v>
      </c>
      <c r="BV161" s="1">
        <v>2.6228215691999996</v>
      </c>
      <c r="BW161" s="1">
        <v>2.7495510263999994</v>
      </c>
      <c r="BX161" s="1">
        <v>2.7495510263999994</v>
      </c>
      <c r="BY161" s="1">
        <v>2.7495510263999994</v>
      </c>
      <c r="BZ161" s="1">
        <v>2.7495510263999994</v>
      </c>
      <c r="CA161" s="1">
        <v>2.7928396874999999</v>
      </c>
      <c r="CB161" s="1">
        <v>2.7928396874999999</v>
      </c>
      <c r="CC161" s="1">
        <v>2.7928396874999999</v>
      </c>
      <c r="CD161" s="1">
        <v>2.7928396874999999</v>
      </c>
      <c r="CE161" s="1">
        <v>2.8490890625</v>
      </c>
      <c r="CF161" s="1">
        <v>2.8490890625</v>
      </c>
      <c r="CG161" s="1">
        <v>2.8490890625</v>
      </c>
      <c r="CH161" s="1">
        <v>2.8490890625</v>
      </c>
      <c r="CI161" s="1">
        <v>3.4501078125000002</v>
      </c>
      <c r="CJ161" s="1">
        <v>3.4501078125000002</v>
      </c>
      <c r="CK161" s="1">
        <v>3.4501078125000002</v>
      </c>
      <c r="CL161" s="1">
        <v>3.4501078125000002</v>
      </c>
      <c r="CM161" s="1">
        <v>3.7603921874999999</v>
      </c>
      <c r="CN161" s="1">
        <v>3.7603921874999999</v>
      </c>
    </row>
    <row r="162" spans="1:92" x14ac:dyDescent="0.35">
      <c r="A162" t="s">
        <v>56</v>
      </c>
      <c r="B162" s="1">
        <v>2.04</v>
      </c>
      <c r="C162" s="1">
        <v>1.7</v>
      </c>
      <c r="D162" s="1">
        <v>1.7</v>
      </c>
      <c r="E162" s="1">
        <v>1.7</v>
      </c>
      <c r="F162" s="1">
        <v>1.7</v>
      </c>
      <c r="G162" s="1">
        <v>1.57</v>
      </c>
      <c r="H162" s="1">
        <v>1.57</v>
      </c>
      <c r="I162" s="1">
        <v>1.57</v>
      </c>
      <c r="J162" s="1">
        <v>1.57</v>
      </c>
      <c r="K162" s="1">
        <v>1.73</v>
      </c>
      <c r="L162" s="1">
        <v>1.73</v>
      </c>
      <c r="M162" s="1">
        <v>1.73</v>
      </c>
      <c r="N162" s="1">
        <v>1.73</v>
      </c>
      <c r="O162" s="1">
        <v>1.26</v>
      </c>
      <c r="P162" s="1">
        <v>1.26</v>
      </c>
      <c r="Q162" s="1">
        <v>1.26</v>
      </c>
      <c r="R162" s="1">
        <v>1.26</v>
      </c>
      <c r="S162" s="1">
        <v>1.43</v>
      </c>
      <c r="T162" s="1">
        <v>1.43</v>
      </c>
      <c r="U162" s="1">
        <v>1.43</v>
      </c>
      <c r="V162" s="1">
        <v>1.43</v>
      </c>
      <c r="W162" s="1">
        <v>1.45</v>
      </c>
      <c r="X162" s="1">
        <v>1.45</v>
      </c>
      <c r="Y162" s="1">
        <v>1.45</v>
      </c>
      <c r="Z162" s="1">
        <v>1.45</v>
      </c>
      <c r="AA162" s="1">
        <v>1.51</v>
      </c>
      <c r="AB162" s="1">
        <v>1.51</v>
      </c>
      <c r="AC162" s="1">
        <v>1.55</v>
      </c>
      <c r="AD162" s="1">
        <v>1.55</v>
      </c>
      <c r="AE162" s="1">
        <v>1.5485484246454164</v>
      </c>
      <c r="AF162" s="1">
        <v>1.5904376054168021</v>
      </c>
      <c r="AG162" s="1">
        <v>1.5904376054168021</v>
      </c>
      <c r="AH162" s="1">
        <v>1.5904376054168021</v>
      </c>
      <c r="AI162" s="1">
        <v>2.7762201206560486</v>
      </c>
      <c r="AJ162" s="1">
        <v>2.7762201206560486</v>
      </c>
      <c r="AK162" s="1">
        <v>2.7762201206560486</v>
      </c>
      <c r="AL162" s="1">
        <v>2.7762201206560486</v>
      </c>
      <c r="AM162" s="1">
        <v>2.8662567446356388</v>
      </c>
      <c r="AN162" s="1">
        <v>2.8662567446356388</v>
      </c>
      <c r="AO162" s="1">
        <v>2.8662567446356388</v>
      </c>
      <c r="AP162" s="1">
        <v>2.8662567446356388</v>
      </c>
      <c r="AQ162" s="1">
        <v>3.1915369027321931</v>
      </c>
      <c r="AR162" s="1">
        <v>3.1915369027321931</v>
      </c>
      <c r="AS162" s="1">
        <v>3.1915369027321931</v>
      </c>
      <c r="AT162" s="1">
        <v>3.1915369027321931</v>
      </c>
      <c r="AU162" s="1">
        <v>3.2781414217008051</v>
      </c>
      <c r="AV162" s="1">
        <v>3.2781414217008051</v>
      </c>
      <c r="AW162" s="1">
        <v>3.2781414217008051</v>
      </c>
      <c r="AX162" s="1">
        <v>3.2781414217008051</v>
      </c>
      <c r="AY162" s="1">
        <v>3.4064444127654165</v>
      </c>
      <c r="AZ162" s="1">
        <v>3.4064444127654165</v>
      </c>
      <c r="BA162" s="1">
        <v>3.4064444127654165</v>
      </c>
      <c r="BB162" s="1">
        <v>3.4064444127654165</v>
      </c>
      <c r="BC162" s="1">
        <v>3.6662579696712529</v>
      </c>
      <c r="BD162" s="1">
        <v>3.6662579696712529</v>
      </c>
      <c r="BE162" s="1">
        <v>3.6662579696712529</v>
      </c>
      <c r="BF162" s="1">
        <v>3.6662579696712529</v>
      </c>
      <c r="BG162" s="1">
        <v>3.4898413569574132</v>
      </c>
      <c r="BH162" s="1">
        <v>3.4898413569574132</v>
      </c>
      <c r="BI162" s="1">
        <v>3.4898413569574132</v>
      </c>
      <c r="BJ162" s="1">
        <v>3.4898413569574132</v>
      </c>
      <c r="BK162" s="1">
        <v>3.0795389999999996</v>
      </c>
      <c r="BL162" s="1">
        <v>3.0795389999999996</v>
      </c>
      <c r="BM162" s="1">
        <v>3.0795389999999996</v>
      </c>
      <c r="BN162" s="1">
        <v>3.0795389999999996</v>
      </c>
      <c r="BO162" s="1">
        <v>2.3931799919999999</v>
      </c>
      <c r="BP162" s="1">
        <v>2.3931799919999999</v>
      </c>
      <c r="BQ162" s="1">
        <v>2.3931799919999999</v>
      </c>
      <c r="BR162" s="1">
        <v>2.3931799919999999</v>
      </c>
      <c r="BS162" s="1">
        <v>2.7585157823999999</v>
      </c>
      <c r="BT162" s="1">
        <v>2.7585157823999999</v>
      </c>
      <c r="BU162" s="1">
        <v>2.7585157823999999</v>
      </c>
      <c r="BV162" s="1">
        <v>2.7585157823999999</v>
      </c>
      <c r="BW162" s="1">
        <v>2.8941704999999991</v>
      </c>
      <c r="BX162" s="1">
        <v>2.8941704999999991</v>
      </c>
      <c r="BY162" s="1">
        <v>2.8941704999999991</v>
      </c>
      <c r="BZ162" s="1">
        <v>2.8941704999999991</v>
      </c>
      <c r="CA162" s="1">
        <v>2.3852221875000001</v>
      </c>
      <c r="CB162" s="1">
        <v>2.3852221875000001</v>
      </c>
      <c r="CC162" s="1">
        <v>2.3852221875000001</v>
      </c>
      <c r="CD162" s="1">
        <v>2.3852221875000001</v>
      </c>
      <c r="CE162" s="1">
        <v>2.4405515625</v>
      </c>
      <c r="CF162" s="1">
        <v>2.4405515625</v>
      </c>
      <c r="CG162" s="1">
        <v>2.4405515625</v>
      </c>
      <c r="CH162" s="1">
        <v>2.4405515625</v>
      </c>
      <c r="CI162" s="1">
        <v>2.9135609374999998</v>
      </c>
      <c r="CJ162" s="1">
        <v>2.9135609374999998</v>
      </c>
      <c r="CK162" s="1">
        <v>2.9135609374999998</v>
      </c>
      <c r="CL162" s="1">
        <v>2.9135609374999998</v>
      </c>
      <c r="CM162" s="1">
        <v>3.1719616249999998</v>
      </c>
      <c r="CN162" s="1">
        <v>3.1719616249999998</v>
      </c>
    </row>
    <row r="163" spans="1:92" x14ac:dyDescent="0.35">
      <c r="A163" t="s">
        <v>52</v>
      </c>
      <c r="B163" s="1">
        <v>1.66</v>
      </c>
      <c r="C163" s="1">
        <v>1.6</v>
      </c>
      <c r="D163" s="1">
        <v>1.6</v>
      </c>
      <c r="E163" s="1">
        <v>1.6</v>
      </c>
      <c r="F163" s="1">
        <v>1.6</v>
      </c>
      <c r="G163" s="1">
        <v>1.45</v>
      </c>
      <c r="H163" s="1">
        <v>1.45</v>
      </c>
      <c r="I163" s="1">
        <v>1.45</v>
      </c>
      <c r="J163" s="1">
        <v>1.45</v>
      </c>
      <c r="K163" s="1">
        <v>1.7</v>
      </c>
      <c r="L163" s="1">
        <v>1.7</v>
      </c>
      <c r="M163" s="1">
        <v>1.7</v>
      </c>
      <c r="N163" s="1">
        <v>1.7</v>
      </c>
      <c r="O163" s="1">
        <v>1.24</v>
      </c>
      <c r="P163" s="1">
        <v>1.24</v>
      </c>
      <c r="Q163" s="1">
        <v>1.24</v>
      </c>
      <c r="R163" s="1">
        <v>1.24</v>
      </c>
      <c r="S163" s="1">
        <v>1.41</v>
      </c>
      <c r="T163" s="1">
        <v>1.41</v>
      </c>
      <c r="U163" s="1">
        <v>1.41</v>
      </c>
      <c r="V163" s="1">
        <v>1.41</v>
      </c>
      <c r="W163" s="1">
        <v>1.42</v>
      </c>
      <c r="X163" s="1">
        <v>1.42</v>
      </c>
      <c r="Y163" s="1">
        <v>1.42</v>
      </c>
      <c r="Z163" s="1">
        <v>1.42</v>
      </c>
      <c r="AA163" s="1">
        <v>1.49</v>
      </c>
      <c r="AB163" s="1">
        <v>1.49</v>
      </c>
      <c r="AC163" s="1">
        <v>1.53</v>
      </c>
      <c r="AD163" s="1">
        <v>1.53</v>
      </c>
      <c r="AE163" s="1">
        <v>1.5257644361660061</v>
      </c>
      <c r="AF163" s="1">
        <v>1.5670372961321024</v>
      </c>
      <c r="AG163" s="1">
        <v>1.5670372961321024</v>
      </c>
      <c r="AH163" s="1">
        <v>1.5670372961321024</v>
      </c>
      <c r="AI163" s="1">
        <v>2.7762201206560486</v>
      </c>
      <c r="AJ163" s="1">
        <v>2.7762201206560486</v>
      </c>
      <c r="AK163" s="1">
        <v>2.7762201206560486</v>
      </c>
      <c r="AL163" s="1">
        <v>2.7762201206560486</v>
      </c>
      <c r="AM163" s="1">
        <v>2.8662567446356388</v>
      </c>
      <c r="AN163" s="1">
        <v>2.8662567446356388</v>
      </c>
      <c r="AO163" s="1">
        <v>2.8662567446356388</v>
      </c>
      <c r="AP163" s="1">
        <v>2.8662567446356388</v>
      </c>
      <c r="AQ163" s="1">
        <v>3.1915369027321931</v>
      </c>
      <c r="AR163" s="1">
        <v>3.1915369027321931</v>
      </c>
      <c r="AS163" s="1">
        <v>3.1915369027321931</v>
      </c>
      <c r="AT163" s="1">
        <v>3.1915369027321931</v>
      </c>
      <c r="AU163" s="1">
        <v>3.2781414217008051</v>
      </c>
      <c r="AV163" s="1">
        <v>3.2781414217008051</v>
      </c>
      <c r="AW163" s="1">
        <v>3.2781414217008051</v>
      </c>
      <c r="AX163" s="1">
        <v>3.2781414217008051</v>
      </c>
      <c r="AY163" s="1">
        <v>3.4064444127654165</v>
      </c>
      <c r="AZ163" s="1">
        <v>3.4064444127654165</v>
      </c>
      <c r="BA163" s="1">
        <v>3.4064444127654165</v>
      </c>
      <c r="BB163" s="1">
        <v>3.4064444127654165</v>
      </c>
      <c r="BC163" s="1">
        <v>3.6662579696712529</v>
      </c>
      <c r="BD163" s="1">
        <v>3.6662579696712529</v>
      </c>
      <c r="BE163" s="1">
        <v>3.6662579696712529</v>
      </c>
      <c r="BF163" s="1">
        <v>3.6662579696712529</v>
      </c>
      <c r="BG163" s="1">
        <v>3.4898413569574132</v>
      </c>
      <c r="BH163" s="1">
        <v>3.4898413569574132</v>
      </c>
      <c r="BI163" s="1">
        <v>3.4898413569574132</v>
      </c>
      <c r="BJ163" s="1">
        <v>3.4898413569574132</v>
      </c>
      <c r="BK163" s="1">
        <v>3.0795389999999996</v>
      </c>
      <c r="BL163" s="1">
        <v>3.0795389999999996</v>
      </c>
      <c r="BM163" s="1">
        <v>3.0795389999999996</v>
      </c>
      <c r="BN163" s="1">
        <v>3.0795389999999996</v>
      </c>
      <c r="BO163" s="1">
        <v>2.3931799919999999</v>
      </c>
      <c r="BP163" s="1">
        <v>2.3931799919999999</v>
      </c>
      <c r="BQ163" s="1">
        <v>2.3931799919999999</v>
      </c>
      <c r="BR163" s="1">
        <v>2.3931799919999999</v>
      </c>
      <c r="BS163" s="1">
        <v>2.7585157823999999</v>
      </c>
      <c r="BT163" s="1">
        <v>2.7585157823999999</v>
      </c>
      <c r="BU163" s="1">
        <v>2.7585157823999999</v>
      </c>
      <c r="BV163" s="1">
        <v>2.7585157823999999</v>
      </c>
      <c r="BW163" s="1">
        <v>2.8941704999999991</v>
      </c>
      <c r="BX163" s="1">
        <v>2.8941704999999991</v>
      </c>
      <c r="BY163" s="1">
        <v>2.8941704999999991</v>
      </c>
      <c r="BZ163" s="1">
        <v>2.8941704999999991</v>
      </c>
      <c r="CA163" s="1">
        <v>2.3852221875000001</v>
      </c>
      <c r="CB163" s="1">
        <v>2.3852221875000001</v>
      </c>
      <c r="CC163" s="1">
        <v>2.3852221875000001</v>
      </c>
      <c r="CD163" s="1">
        <v>2.3852221875000001</v>
      </c>
      <c r="CE163" s="1">
        <v>2.4405515625</v>
      </c>
      <c r="CF163" s="1">
        <v>2.4405515625</v>
      </c>
      <c r="CG163" s="1">
        <v>2.4405515625</v>
      </c>
      <c r="CH163" s="1">
        <v>2.4405515625</v>
      </c>
      <c r="CI163" s="1">
        <v>2.9135609374999998</v>
      </c>
      <c r="CJ163" s="1">
        <v>2.9135609374999998</v>
      </c>
      <c r="CK163" s="1">
        <v>2.9135609374999998</v>
      </c>
      <c r="CL163" s="1">
        <v>2.9135609374999998</v>
      </c>
      <c r="CM163" s="1">
        <v>3.1719616249999998</v>
      </c>
      <c r="CN163" s="1">
        <v>3.1719616249999998</v>
      </c>
    </row>
    <row r="164" spans="1:92" x14ac:dyDescent="0.35">
      <c r="A164" t="s">
        <v>69</v>
      </c>
      <c r="B164" s="1">
        <v>1.48</v>
      </c>
      <c r="C164" s="1">
        <v>1.68</v>
      </c>
      <c r="D164" s="1">
        <v>1.68</v>
      </c>
      <c r="E164" s="1">
        <v>1.68</v>
      </c>
      <c r="F164" s="1">
        <v>1.68</v>
      </c>
      <c r="G164" s="1">
        <v>1.45</v>
      </c>
      <c r="H164" s="1">
        <v>1.45</v>
      </c>
      <c r="I164" s="1">
        <v>1.45</v>
      </c>
      <c r="J164" s="1">
        <v>1.45</v>
      </c>
      <c r="K164" s="1">
        <v>1.7</v>
      </c>
      <c r="L164" s="1">
        <v>1.7</v>
      </c>
      <c r="M164" s="1">
        <v>1.7</v>
      </c>
      <c r="N164" s="1">
        <v>1.7</v>
      </c>
      <c r="O164" s="1">
        <v>1.52</v>
      </c>
      <c r="P164" s="1">
        <v>1.52</v>
      </c>
      <c r="Q164" s="1">
        <v>1.52</v>
      </c>
      <c r="R164" s="1">
        <v>1.52</v>
      </c>
      <c r="S164" s="1">
        <v>1.52</v>
      </c>
      <c r="T164" s="1">
        <v>1.52</v>
      </c>
      <c r="U164" s="1">
        <v>2.06</v>
      </c>
      <c r="V164" s="1">
        <v>2.06</v>
      </c>
      <c r="W164" s="1">
        <v>2.2000000000000002</v>
      </c>
      <c r="X164" s="1">
        <v>2.2000000000000002</v>
      </c>
      <c r="Y164" s="1">
        <v>2.2000000000000002</v>
      </c>
      <c r="Z164" s="1">
        <v>2.2000000000000002</v>
      </c>
      <c r="AA164" s="1">
        <v>2.2200000000000002</v>
      </c>
      <c r="AB164" s="1">
        <v>2.2200000000000002</v>
      </c>
      <c r="AC164" s="1">
        <v>2.27</v>
      </c>
      <c r="AD164" s="1">
        <v>2.27</v>
      </c>
      <c r="AE164" s="1">
        <v>2.356907304375</v>
      </c>
      <c r="AF164" s="1">
        <v>2.356907304375</v>
      </c>
      <c r="AG164" s="1">
        <v>2.356907304375</v>
      </c>
      <c r="AH164" s="1">
        <v>2.356907304375</v>
      </c>
      <c r="AI164" s="1">
        <v>2.6095301043750001</v>
      </c>
      <c r="AJ164" s="1">
        <v>2.6095301043750001</v>
      </c>
      <c r="AK164" s="1">
        <v>2.6095301043750001</v>
      </c>
      <c r="AL164" s="1">
        <v>2.6095301043750001</v>
      </c>
      <c r="AM164" s="1">
        <v>2.3813165000000001</v>
      </c>
      <c r="AN164" s="1">
        <v>2.3813165000000001</v>
      </c>
      <c r="AO164" s="1">
        <v>2.3813165000000001</v>
      </c>
      <c r="AP164" s="1">
        <v>2.3813165000000001</v>
      </c>
      <c r="AQ164" s="1">
        <v>3.4683999999999999</v>
      </c>
      <c r="AR164" s="1">
        <v>3.4683999999999999</v>
      </c>
      <c r="AS164" s="1">
        <v>3.4683999999999999</v>
      </c>
      <c r="AT164" s="1">
        <v>3.4683999999999999</v>
      </c>
      <c r="AU164" s="1">
        <v>3.8110999999999997</v>
      </c>
      <c r="AV164" s="1">
        <v>3.8110999999999997</v>
      </c>
      <c r="AW164" s="1">
        <v>3.8110999999999997</v>
      </c>
      <c r="AX164" s="1">
        <v>3.8110999999999997</v>
      </c>
      <c r="AY164" s="1">
        <v>4.0364999999999993</v>
      </c>
      <c r="AZ164" s="1">
        <v>4.0364999999999993</v>
      </c>
      <c r="BA164" s="1">
        <v>4.0364999999999993</v>
      </c>
      <c r="BB164" s="1">
        <v>4.0364999999999993</v>
      </c>
      <c r="BC164" s="1">
        <v>4.0434000000000001</v>
      </c>
      <c r="BD164" s="1">
        <v>4.0434000000000001</v>
      </c>
      <c r="BE164" s="1">
        <v>4.0434000000000001</v>
      </c>
      <c r="BF164" s="1">
        <v>4.0434000000000001</v>
      </c>
      <c r="BG164" s="1">
        <v>3.7444000000000002</v>
      </c>
      <c r="BH164" s="1">
        <v>3.7444000000000002</v>
      </c>
      <c r="BI164" s="1">
        <v>3.7444000000000002</v>
      </c>
      <c r="BJ164" s="1">
        <v>3.7444000000000002</v>
      </c>
      <c r="BK164" s="1">
        <v>3.0336999999999996</v>
      </c>
      <c r="BL164" s="1">
        <v>3.0336999999999996</v>
      </c>
      <c r="BM164" s="1">
        <v>3.0336999999999996</v>
      </c>
      <c r="BN164" s="1">
        <v>3.0336999999999996</v>
      </c>
      <c r="BO164" s="1">
        <v>2.6754979999999997</v>
      </c>
      <c r="BP164" s="1">
        <v>2.6754979999999997</v>
      </c>
      <c r="BQ164" s="1">
        <v>2.6754979999999997</v>
      </c>
      <c r="BR164" s="1">
        <v>2.6754979999999997</v>
      </c>
      <c r="BS164" s="1">
        <v>2.7283703999999998</v>
      </c>
      <c r="BT164" s="1">
        <v>2.7283703999999998</v>
      </c>
      <c r="BU164" s="1">
        <v>2.7283703999999998</v>
      </c>
      <c r="BV164" s="1">
        <v>2.7283703999999998</v>
      </c>
      <c r="BW164" s="1">
        <v>2.4956379999999996</v>
      </c>
      <c r="BX164" s="1">
        <v>2.4956379999999996</v>
      </c>
      <c r="BY164" s="1">
        <v>2.4956379999999996</v>
      </c>
      <c r="BZ164" s="1">
        <v>2.4956379999999996</v>
      </c>
      <c r="CA164" s="1">
        <v>1.7161967499999999</v>
      </c>
      <c r="CB164" s="1">
        <v>1.7161967499999999</v>
      </c>
      <c r="CC164" s="1">
        <v>1.7161967499999999</v>
      </c>
      <c r="CD164" s="1">
        <v>1.7161967499999999</v>
      </c>
      <c r="CE164" s="1">
        <v>1.8187408125</v>
      </c>
      <c r="CF164" s="1">
        <v>1.8187408125</v>
      </c>
      <c r="CG164" s="1">
        <v>1.8187408125</v>
      </c>
      <c r="CH164" s="1">
        <v>1.8187408125</v>
      </c>
      <c r="CI164" s="1">
        <v>2.1606875625000002</v>
      </c>
      <c r="CJ164" s="1">
        <v>2.1606875625000002</v>
      </c>
      <c r="CK164" s="1">
        <v>2.1606875625000002</v>
      </c>
      <c r="CL164" s="1">
        <v>2.1606875625000002</v>
      </c>
      <c r="CM164" s="1">
        <v>2.4052235624999998</v>
      </c>
      <c r="CN164" s="1">
        <v>2.4052235624999998</v>
      </c>
    </row>
    <row r="165" spans="1:92" x14ac:dyDescent="0.35">
      <c r="A165" t="s">
        <v>70</v>
      </c>
      <c r="B165" s="1">
        <v>1.87</v>
      </c>
      <c r="C165" s="1">
        <v>1.49</v>
      </c>
      <c r="D165" s="1">
        <v>1.49</v>
      </c>
      <c r="E165" s="1">
        <v>1.49</v>
      </c>
      <c r="F165" s="1">
        <v>1.49</v>
      </c>
      <c r="G165" s="1">
        <v>1.55</v>
      </c>
      <c r="H165" s="1">
        <v>1.55</v>
      </c>
      <c r="I165" s="1">
        <v>1.55</v>
      </c>
      <c r="J165" s="1">
        <v>1.55</v>
      </c>
      <c r="K165" s="1">
        <v>1.63</v>
      </c>
      <c r="L165" s="1">
        <v>1.63</v>
      </c>
      <c r="M165" s="1">
        <v>1.63</v>
      </c>
      <c r="N165" s="1">
        <v>1.63</v>
      </c>
      <c r="O165" s="1">
        <v>1.63</v>
      </c>
      <c r="P165" s="1">
        <v>1.63</v>
      </c>
      <c r="Q165" s="1">
        <v>1.63</v>
      </c>
      <c r="R165" s="1">
        <v>1.63</v>
      </c>
      <c r="S165" s="1">
        <v>1.63</v>
      </c>
      <c r="T165" s="1">
        <v>1.63</v>
      </c>
      <c r="U165" s="1">
        <v>1.63</v>
      </c>
      <c r="V165" s="1">
        <v>1.63</v>
      </c>
      <c r="W165" s="1">
        <v>1.69</v>
      </c>
      <c r="X165" s="1">
        <v>1.69</v>
      </c>
      <c r="Y165" s="1">
        <v>1.69</v>
      </c>
      <c r="Z165" s="1">
        <v>1.69</v>
      </c>
      <c r="AA165" s="1">
        <v>2.44</v>
      </c>
      <c r="AB165" s="1">
        <v>2.44</v>
      </c>
      <c r="AC165" s="1">
        <v>2.4900000000000002</v>
      </c>
      <c r="AD165" s="1">
        <v>2.4900000000000002</v>
      </c>
      <c r="AE165" s="1">
        <v>2.5954015781249997</v>
      </c>
      <c r="AF165" s="1">
        <v>2.5954015781249997</v>
      </c>
      <c r="AG165" s="1">
        <v>2.5954015781249997</v>
      </c>
      <c r="AH165" s="1">
        <v>2.5954015781249997</v>
      </c>
      <c r="AI165" s="1">
        <v>2.8882433281250006</v>
      </c>
      <c r="AJ165" s="1">
        <v>2.8882433281250006</v>
      </c>
      <c r="AK165" s="1">
        <v>2.8882433281250006</v>
      </c>
      <c r="AL165" s="1">
        <v>2.8882433281250006</v>
      </c>
      <c r="AM165" s="1">
        <v>3.1304426718749996</v>
      </c>
      <c r="AN165" s="1">
        <v>3.1304426718749996</v>
      </c>
      <c r="AO165" s="1">
        <v>3.1304426718749996</v>
      </c>
      <c r="AP165" s="1">
        <v>3.1304426718749996</v>
      </c>
      <c r="AQ165" s="1">
        <v>4.6275999999999993</v>
      </c>
      <c r="AR165" s="1">
        <v>4.6275999999999993</v>
      </c>
      <c r="AS165" s="1">
        <v>4.6275999999999993</v>
      </c>
      <c r="AT165" s="1">
        <v>4.6275999999999993</v>
      </c>
      <c r="AU165" s="1">
        <v>4.3079000000000001</v>
      </c>
      <c r="AV165" s="1">
        <v>4.3079000000000001</v>
      </c>
      <c r="AW165" s="1">
        <v>4.3079000000000001</v>
      </c>
      <c r="AX165" s="1">
        <v>4.3079000000000001</v>
      </c>
      <c r="AY165" s="1">
        <v>4.5631999999999993</v>
      </c>
      <c r="AZ165" s="1">
        <v>4.5631999999999993</v>
      </c>
      <c r="BA165" s="1">
        <v>4.5631999999999993</v>
      </c>
      <c r="BB165" s="1">
        <v>4.5631999999999993</v>
      </c>
      <c r="BC165" s="1">
        <v>4.5701000000000001</v>
      </c>
      <c r="BD165" s="1">
        <v>4.5701000000000001</v>
      </c>
      <c r="BE165" s="1">
        <v>4.5701000000000001</v>
      </c>
      <c r="BF165" s="1">
        <v>4.5701000000000001</v>
      </c>
      <c r="BG165" s="1">
        <v>4.2320000000000002</v>
      </c>
      <c r="BH165" s="1">
        <v>4.2320000000000002</v>
      </c>
      <c r="BI165" s="1">
        <v>4.2320000000000002</v>
      </c>
      <c r="BJ165" s="1">
        <v>4.2320000000000002</v>
      </c>
      <c r="BK165" s="1">
        <v>3.1919169999999992</v>
      </c>
      <c r="BL165" s="1">
        <v>3.1919169999999992</v>
      </c>
      <c r="BM165" s="1">
        <v>3.1919169999999992</v>
      </c>
      <c r="BN165" s="1">
        <v>3.1919169999999992</v>
      </c>
      <c r="BO165" s="1">
        <v>2.8117729999999996</v>
      </c>
      <c r="BP165" s="1">
        <v>2.8117729999999996</v>
      </c>
      <c r="BQ165" s="1">
        <v>2.8117729999999996</v>
      </c>
      <c r="BR165" s="1">
        <v>2.8117729999999996</v>
      </c>
      <c r="BS165" s="1">
        <v>2.9400669999999995</v>
      </c>
      <c r="BT165" s="1">
        <v>2.9400669999999995</v>
      </c>
      <c r="BU165" s="1">
        <v>2.9400669999999995</v>
      </c>
      <c r="BV165" s="1">
        <v>2.9400669999999995</v>
      </c>
      <c r="BW165" s="1">
        <v>2.4364129999999999</v>
      </c>
      <c r="BX165" s="1">
        <v>2.4364129999999999</v>
      </c>
      <c r="BY165" s="1">
        <v>2.4364129999999999</v>
      </c>
      <c r="BZ165" s="1">
        <v>2.4364129999999999</v>
      </c>
      <c r="CA165" s="1">
        <v>2.2220515624999999</v>
      </c>
      <c r="CB165" s="1">
        <v>2.2220515624999999</v>
      </c>
      <c r="CC165" s="1">
        <v>2.2220515624999999</v>
      </c>
      <c r="CD165" s="1">
        <v>2.2220515624999999</v>
      </c>
      <c r="CE165" s="1">
        <v>2.2695609375000001</v>
      </c>
      <c r="CF165" s="1">
        <v>2.2695609375000001</v>
      </c>
      <c r="CG165" s="1">
        <v>2.2695609375000001</v>
      </c>
      <c r="CH165" s="1">
        <v>2.2695609375000001</v>
      </c>
      <c r="CI165" s="1">
        <v>2.5765750000000001</v>
      </c>
      <c r="CJ165" s="1">
        <v>2.5765750000000001</v>
      </c>
      <c r="CK165" s="1">
        <v>2.5765750000000001</v>
      </c>
      <c r="CL165" s="1">
        <v>2.5765750000000001</v>
      </c>
      <c r="CM165" s="1">
        <v>3.3763094374999998</v>
      </c>
      <c r="CN165" s="1">
        <v>3.3763094374999998</v>
      </c>
    </row>
    <row r="166" spans="1:92" x14ac:dyDescent="0.35">
      <c r="A166" t="s">
        <v>58</v>
      </c>
      <c r="B166" s="1">
        <v>2.2599999999999998</v>
      </c>
      <c r="C166" s="1">
        <v>1.98</v>
      </c>
      <c r="D166" s="1">
        <v>1.98</v>
      </c>
      <c r="E166" s="1">
        <v>1.98</v>
      </c>
      <c r="F166" s="1">
        <v>1.98</v>
      </c>
      <c r="G166" s="1">
        <v>1.88</v>
      </c>
      <c r="H166" s="1">
        <v>1.88</v>
      </c>
      <c r="I166" s="1">
        <v>1.88</v>
      </c>
      <c r="J166" s="1">
        <v>1.88</v>
      </c>
      <c r="K166" s="1">
        <v>2.2200000000000002</v>
      </c>
      <c r="L166" s="1">
        <v>2.2200000000000002</v>
      </c>
      <c r="M166" s="1">
        <v>2.2200000000000002</v>
      </c>
      <c r="N166" s="1">
        <v>2.2200000000000002</v>
      </c>
      <c r="O166" s="1">
        <v>1.51</v>
      </c>
      <c r="P166" s="1">
        <v>1.51</v>
      </c>
      <c r="Q166" s="1">
        <v>1.51</v>
      </c>
      <c r="R166" s="1">
        <v>1.51</v>
      </c>
      <c r="S166" s="1">
        <v>1.67</v>
      </c>
      <c r="T166" s="1">
        <v>1.67</v>
      </c>
      <c r="U166" s="1">
        <v>1.67</v>
      </c>
      <c r="V166" s="1">
        <v>1.67</v>
      </c>
      <c r="W166" s="1">
        <v>1.7</v>
      </c>
      <c r="X166" s="1">
        <v>1.7</v>
      </c>
      <c r="Y166" s="1">
        <v>1.7</v>
      </c>
      <c r="Z166" s="1">
        <v>1.7</v>
      </c>
      <c r="AA166" s="1">
        <v>1.78</v>
      </c>
      <c r="AB166" s="1">
        <v>1.78</v>
      </c>
      <c r="AC166" s="1">
        <v>1.82</v>
      </c>
      <c r="AD166" s="1">
        <v>1.82</v>
      </c>
      <c r="AE166" s="1">
        <v>1.8164509747490485</v>
      </c>
      <c r="AF166" s="1">
        <v>1.8675863593323201</v>
      </c>
      <c r="AG166" s="1">
        <v>1.8675863593323201</v>
      </c>
      <c r="AH166" s="1">
        <v>1.8675863593323201</v>
      </c>
      <c r="AI166" s="1">
        <v>2.8163714467643484</v>
      </c>
      <c r="AJ166" s="1">
        <v>2.8163714467643484</v>
      </c>
      <c r="AK166" s="1">
        <v>2.8163714467643484</v>
      </c>
      <c r="AL166" s="1">
        <v>2.8163714467643484</v>
      </c>
      <c r="AM166" s="1">
        <v>2.9271092732013737</v>
      </c>
      <c r="AN166" s="1">
        <v>2.9271092732013737</v>
      </c>
      <c r="AO166" s="1">
        <v>2.9271092732013737</v>
      </c>
      <c r="AP166" s="1">
        <v>2.9271092732013737</v>
      </c>
      <c r="AQ166" s="1">
        <v>3.2613397832146123</v>
      </c>
      <c r="AR166" s="1">
        <v>3.2613397832146123</v>
      </c>
      <c r="AS166" s="1">
        <v>3.2613397832146123</v>
      </c>
      <c r="AT166" s="1">
        <v>3.2613397832146123</v>
      </c>
      <c r="AU166" s="1">
        <v>3.3522482092275649</v>
      </c>
      <c r="AV166" s="1">
        <v>3.3522482092275649</v>
      </c>
      <c r="AW166" s="1">
        <v>3.3522482092275649</v>
      </c>
      <c r="AX166" s="1">
        <v>3.3522482092275649</v>
      </c>
      <c r="AY166" s="1">
        <v>3.4829290716211818</v>
      </c>
      <c r="AZ166" s="1">
        <v>3.4829290716211818</v>
      </c>
      <c r="BA166" s="1">
        <v>3.4829290716211818</v>
      </c>
      <c r="BB166" s="1">
        <v>3.4829290716211818</v>
      </c>
      <c r="BC166" s="1">
        <v>3.7499725730342237</v>
      </c>
      <c r="BD166" s="1">
        <v>3.7499725730342237</v>
      </c>
      <c r="BE166" s="1">
        <v>3.7499725730342237</v>
      </c>
      <c r="BF166" s="1">
        <v>3.7499725730342237</v>
      </c>
      <c r="BG166" s="1">
        <v>3.5709966093212278</v>
      </c>
      <c r="BH166" s="1">
        <v>3.5709966093212278</v>
      </c>
      <c r="BI166" s="1">
        <v>3.5709966093212278</v>
      </c>
      <c r="BJ166" s="1">
        <v>3.5709966093212278</v>
      </c>
      <c r="BK166" s="1">
        <v>2.7913950000000001</v>
      </c>
      <c r="BL166" s="1">
        <v>2.7913950000000001</v>
      </c>
      <c r="BM166" s="1">
        <v>2.7913950000000001</v>
      </c>
      <c r="BN166" s="1">
        <v>2.7913950000000001</v>
      </c>
      <c r="BO166" s="1">
        <v>2.2484596679999997</v>
      </c>
      <c r="BP166" s="1">
        <v>2.2484596679999997</v>
      </c>
      <c r="BQ166" s="1">
        <v>2.2484596679999997</v>
      </c>
      <c r="BR166" s="1">
        <v>2.2484596679999997</v>
      </c>
      <c r="BS166" s="1">
        <v>2.6228215691999996</v>
      </c>
      <c r="BT166" s="1">
        <v>2.6228215691999996</v>
      </c>
      <c r="BU166" s="1">
        <v>2.6228215691999996</v>
      </c>
      <c r="BV166" s="1">
        <v>2.6228215691999996</v>
      </c>
      <c r="BW166" s="1">
        <v>2.7495510263999994</v>
      </c>
      <c r="BX166" s="1">
        <v>2.7495510263999994</v>
      </c>
      <c r="BY166" s="1">
        <v>2.7495510263999994</v>
      </c>
      <c r="BZ166" s="1">
        <v>2.7495510263999994</v>
      </c>
      <c r="CA166" s="1">
        <v>2.7928396874999999</v>
      </c>
      <c r="CB166" s="1">
        <v>2.7928396874999999</v>
      </c>
      <c r="CC166" s="1">
        <v>2.7928396874999999</v>
      </c>
      <c r="CD166" s="1">
        <v>2.7928396874999999</v>
      </c>
      <c r="CE166" s="1">
        <v>2.8490890625</v>
      </c>
      <c r="CF166" s="1">
        <v>2.8490890625</v>
      </c>
      <c r="CG166" s="1">
        <v>2.8490890625</v>
      </c>
      <c r="CH166" s="1">
        <v>2.8490890625</v>
      </c>
      <c r="CI166" s="1">
        <v>3.4501078125000002</v>
      </c>
      <c r="CJ166" s="1">
        <v>3.4501078125000002</v>
      </c>
      <c r="CK166" s="1">
        <v>3.4501078125000002</v>
      </c>
      <c r="CL166" s="1">
        <v>3.4501078125000002</v>
      </c>
      <c r="CM166" s="1">
        <v>3.7603921874999999</v>
      </c>
      <c r="CN166" s="1">
        <v>3.7603921874999999</v>
      </c>
    </row>
    <row r="167" spans="1:92" x14ac:dyDescent="0.35">
      <c r="A167" t="s">
        <v>55</v>
      </c>
      <c r="B167" s="1">
        <v>2</v>
      </c>
      <c r="C167" s="1">
        <v>1.7</v>
      </c>
      <c r="D167" s="1">
        <v>1.7</v>
      </c>
      <c r="E167" s="1">
        <v>1.7</v>
      </c>
      <c r="F167" s="1">
        <v>1.7</v>
      </c>
      <c r="G167" s="1">
        <v>1.68</v>
      </c>
      <c r="H167" s="1">
        <v>1.68</v>
      </c>
      <c r="I167" s="1">
        <v>1.68</v>
      </c>
      <c r="J167" s="1">
        <v>1.68</v>
      </c>
      <c r="K167" s="1">
        <v>1.87</v>
      </c>
      <c r="L167" s="1">
        <v>1.87</v>
      </c>
      <c r="M167" s="1">
        <v>1.87</v>
      </c>
      <c r="N167" s="1">
        <v>1.87</v>
      </c>
      <c r="O167" s="1">
        <v>1.37</v>
      </c>
      <c r="P167" s="1">
        <v>1.37</v>
      </c>
      <c r="Q167" s="1">
        <v>1.37</v>
      </c>
      <c r="R167" s="1">
        <v>1.37</v>
      </c>
      <c r="S167" s="1">
        <v>1.53</v>
      </c>
      <c r="T167" s="1">
        <v>1.53</v>
      </c>
      <c r="U167" s="1">
        <v>1.53</v>
      </c>
      <c r="V167" s="1">
        <v>1.53</v>
      </c>
      <c r="W167" s="1">
        <v>1.55</v>
      </c>
      <c r="X167" s="1">
        <v>1.55</v>
      </c>
      <c r="Y167" s="1">
        <v>1.55</v>
      </c>
      <c r="Z167" s="1">
        <v>1.55</v>
      </c>
      <c r="AA167" s="1">
        <v>1.63</v>
      </c>
      <c r="AB167" s="1">
        <v>1.63</v>
      </c>
      <c r="AC167" s="1">
        <v>1.66</v>
      </c>
      <c r="AD167" s="1">
        <v>1.66</v>
      </c>
      <c r="AE167" s="1">
        <v>1.6630076049971738</v>
      </c>
      <c r="AF167" s="1">
        <v>1.7079929765110589</v>
      </c>
      <c r="AG167" s="1">
        <v>1.7079929765110589</v>
      </c>
      <c r="AH167" s="1">
        <v>1.7079929765110589</v>
      </c>
      <c r="AI167" s="1">
        <v>2.7762201206560486</v>
      </c>
      <c r="AJ167" s="1">
        <v>2.7762201206560486</v>
      </c>
      <c r="AK167" s="1">
        <v>2.7762201206560486</v>
      </c>
      <c r="AL167" s="1">
        <v>2.7762201206560486</v>
      </c>
      <c r="AM167" s="1">
        <v>2.8662567446356388</v>
      </c>
      <c r="AN167" s="1">
        <v>2.8662567446356388</v>
      </c>
      <c r="AO167" s="1">
        <v>2.8662567446356388</v>
      </c>
      <c r="AP167" s="1">
        <v>2.8662567446356388</v>
      </c>
      <c r="AQ167" s="1">
        <v>3.1915369027321931</v>
      </c>
      <c r="AR167" s="1">
        <v>3.1915369027321931</v>
      </c>
      <c r="AS167" s="1">
        <v>3.1915369027321931</v>
      </c>
      <c r="AT167" s="1">
        <v>3.1915369027321931</v>
      </c>
      <c r="AU167" s="1">
        <v>3.2781414217008051</v>
      </c>
      <c r="AV167" s="1">
        <v>3.2781414217008051</v>
      </c>
      <c r="AW167" s="1">
        <v>3.2781414217008051</v>
      </c>
      <c r="AX167" s="1">
        <v>3.2781414217008051</v>
      </c>
      <c r="AY167" s="1">
        <v>3.4064444127654165</v>
      </c>
      <c r="AZ167" s="1">
        <v>3.4064444127654165</v>
      </c>
      <c r="BA167" s="1">
        <v>3.4064444127654165</v>
      </c>
      <c r="BB167" s="1">
        <v>3.4064444127654165</v>
      </c>
      <c r="BC167" s="1">
        <v>3.6662579696712529</v>
      </c>
      <c r="BD167" s="1">
        <v>3.6662579696712529</v>
      </c>
      <c r="BE167" s="1">
        <v>3.6662579696712529</v>
      </c>
      <c r="BF167" s="1">
        <v>3.6662579696712529</v>
      </c>
      <c r="BG167" s="1">
        <v>3.4898413569574132</v>
      </c>
      <c r="BH167" s="1">
        <v>3.4898413569574132</v>
      </c>
      <c r="BI167" s="1">
        <v>3.4898413569574132</v>
      </c>
      <c r="BJ167" s="1">
        <v>3.4898413569574132</v>
      </c>
      <c r="BK167" s="1">
        <v>3.0795389999999996</v>
      </c>
      <c r="BL167" s="1">
        <v>3.0795389999999996</v>
      </c>
      <c r="BM167" s="1">
        <v>3.0795389999999996</v>
      </c>
      <c r="BN167" s="1">
        <v>3.0795389999999996</v>
      </c>
      <c r="BO167" s="1">
        <v>2.3931799919999999</v>
      </c>
      <c r="BP167" s="1">
        <v>2.3931799919999999</v>
      </c>
      <c r="BQ167" s="1">
        <v>2.3931799919999999</v>
      </c>
      <c r="BR167" s="1">
        <v>2.3931799919999999</v>
      </c>
      <c r="BS167" s="1">
        <v>2.7585157823999999</v>
      </c>
      <c r="BT167" s="1">
        <v>2.7585157823999999</v>
      </c>
      <c r="BU167" s="1">
        <v>2.7585157823999999</v>
      </c>
      <c r="BV167" s="1">
        <v>2.7585157823999999</v>
      </c>
      <c r="BW167" s="1">
        <v>2.8941704999999991</v>
      </c>
      <c r="BX167" s="1">
        <v>2.8941704999999991</v>
      </c>
      <c r="BY167" s="1">
        <v>2.8941704999999991</v>
      </c>
      <c r="BZ167" s="1">
        <v>2.8941704999999991</v>
      </c>
      <c r="CA167" s="1">
        <v>2.3852221875000001</v>
      </c>
      <c r="CB167" s="1">
        <v>2.3852221875000001</v>
      </c>
      <c r="CC167" s="1">
        <v>2.3852221875000001</v>
      </c>
      <c r="CD167" s="1">
        <v>2.3852221875000001</v>
      </c>
      <c r="CE167" s="1">
        <v>2.4405515625</v>
      </c>
      <c r="CF167" s="1">
        <v>2.4405515625</v>
      </c>
      <c r="CG167" s="1">
        <v>2.4405515625</v>
      </c>
      <c r="CH167" s="1">
        <v>2.4405515625</v>
      </c>
      <c r="CI167" s="1">
        <v>2.9135609374999998</v>
      </c>
      <c r="CJ167" s="1">
        <v>2.9135609374999998</v>
      </c>
      <c r="CK167" s="1">
        <v>2.9135609374999998</v>
      </c>
      <c r="CL167" s="1">
        <v>2.9135609374999998</v>
      </c>
      <c r="CM167" s="1">
        <v>3.1719616249999998</v>
      </c>
      <c r="CN167" s="1">
        <v>3.1719616249999998</v>
      </c>
    </row>
    <row r="168" spans="1:92" x14ac:dyDescent="0.35">
      <c r="A168" t="s">
        <v>62</v>
      </c>
      <c r="B168" s="1">
        <v>2.1800000000000002</v>
      </c>
      <c r="C168" s="1">
        <v>2.1800000000000002</v>
      </c>
      <c r="D168" s="1">
        <v>2.44</v>
      </c>
      <c r="E168" s="1">
        <v>2.44</v>
      </c>
      <c r="F168" s="1">
        <v>2.44</v>
      </c>
      <c r="G168" s="1">
        <v>2.1357316999999996</v>
      </c>
      <c r="H168" s="1">
        <v>2.1357316999999996</v>
      </c>
      <c r="I168" s="1">
        <v>2.1357316999999996</v>
      </c>
      <c r="J168" s="1">
        <v>2.1357316999999996</v>
      </c>
      <c r="K168" s="1">
        <v>2.1357316999999996</v>
      </c>
      <c r="L168" s="1">
        <v>2.1357316999999996</v>
      </c>
      <c r="M168" s="1">
        <v>2.1357316999999996</v>
      </c>
      <c r="N168" s="1">
        <v>2.1357316999999996</v>
      </c>
      <c r="O168" s="1">
        <v>2.1357316999999996</v>
      </c>
      <c r="P168" s="1">
        <v>2.1357316999999996</v>
      </c>
      <c r="Q168" s="1">
        <v>2.1357316999999996</v>
      </c>
      <c r="R168" s="1">
        <v>2.1357316999999996</v>
      </c>
      <c r="S168" s="1">
        <v>2.1357316999999996</v>
      </c>
      <c r="T168" s="1">
        <v>2.1357316999999996</v>
      </c>
      <c r="U168" s="1">
        <v>2.1357316999999996</v>
      </c>
      <c r="V168" s="1">
        <v>2.1357316999999996</v>
      </c>
      <c r="W168" s="1">
        <v>2.5484574999999996</v>
      </c>
      <c r="X168" s="1">
        <v>2.5484574999999996</v>
      </c>
      <c r="Y168" s="1">
        <v>2.5484574999999996</v>
      </c>
      <c r="Z168" s="1">
        <v>2.5484574999999996</v>
      </c>
      <c r="AA168" s="1">
        <v>2.5484574999999996</v>
      </c>
      <c r="AB168" s="1">
        <v>2.5484574999999996</v>
      </c>
      <c r="AC168" s="1">
        <v>2.5484574999999996</v>
      </c>
      <c r="AD168" s="1">
        <v>2.5484574999999996</v>
      </c>
      <c r="AE168" s="1">
        <v>2.5733204999999995</v>
      </c>
      <c r="AF168" s="1">
        <v>2.5733204999999995</v>
      </c>
      <c r="AG168" s="1">
        <v>2.5733204999999995</v>
      </c>
      <c r="AH168" s="1">
        <v>2.5733204999999995</v>
      </c>
      <c r="AI168" s="1">
        <v>2.8592449999999991</v>
      </c>
      <c r="AJ168" s="1">
        <v>2.8592449999999991</v>
      </c>
      <c r="AK168" s="1">
        <v>2.8592449999999991</v>
      </c>
      <c r="AL168" s="1">
        <v>2.8592449999999991</v>
      </c>
      <c r="AM168" s="1">
        <v>3.2728410049999992</v>
      </c>
      <c r="AN168" s="1">
        <v>3.2728410049999992</v>
      </c>
      <c r="AO168" s="1">
        <v>3.2728410049999992</v>
      </c>
      <c r="AP168" s="1">
        <v>3.2728410049999992</v>
      </c>
      <c r="AQ168" s="1">
        <v>3.4922569799999996</v>
      </c>
      <c r="AR168" s="1">
        <v>3.4922569799999996</v>
      </c>
      <c r="AS168" s="1">
        <v>3.4922569799999996</v>
      </c>
      <c r="AT168" s="1">
        <v>3.4922569799999996</v>
      </c>
      <c r="AU168" s="1">
        <v>3.4922569799999996</v>
      </c>
      <c r="AV168" s="1">
        <v>3.4922569799999996</v>
      </c>
      <c r="AW168" s="1">
        <v>3.4922569799999996</v>
      </c>
      <c r="AX168" s="1">
        <v>3.4922569799999996</v>
      </c>
      <c r="AY168" s="1">
        <v>3.7150294599999993</v>
      </c>
      <c r="AZ168" s="1">
        <v>3.7150294599999993</v>
      </c>
      <c r="BA168" s="1">
        <v>3.7150294599999993</v>
      </c>
      <c r="BB168" s="1">
        <v>3.7150294599999993</v>
      </c>
      <c r="BC168" s="1">
        <v>3.9929977999999999</v>
      </c>
      <c r="BD168" s="1">
        <v>3.9929977999999999</v>
      </c>
      <c r="BE168" s="1">
        <v>3.9929977999999999</v>
      </c>
      <c r="BF168" s="1">
        <v>3.9929977999999999</v>
      </c>
      <c r="BG168" s="1">
        <v>3.9929977999999999</v>
      </c>
      <c r="BH168" s="1">
        <v>3.9929977999999999</v>
      </c>
      <c r="BI168" s="1">
        <v>3.9929977999999999</v>
      </c>
      <c r="BJ168" s="1">
        <v>3.9929977999999999</v>
      </c>
      <c r="BK168" s="1">
        <v>3.9929977999999999</v>
      </c>
      <c r="BL168" s="1">
        <v>3.9929977999999999</v>
      </c>
      <c r="BM168" s="1">
        <v>3.9929977999999999</v>
      </c>
      <c r="BN168" s="1">
        <v>3.9929977999999999</v>
      </c>
      <c r="BO168" s="1">
        <v>3.1290085499999996</v>
      </c>
      <c r="BP168" s="1">
        <v>3.1290085499999996</v>
      </c>
      <c r="BQ168" s="1">
        <v>3.1290085499999996</v>
      </c>
      <c r="BR168" s="1">
        <v>3.1290085499999996</v>
      </c>
      <c r="BS168" s="1">
        <v>3.2819159999999998</v>
      </c>
      <c r="BT168" s="1">
        <v>3.2819159999999998</v>
      </c>
      <c r="BU168" s="1">
        <v>3.2819159999999998</v>
      </c>
      <c r="BV168" s="1">
        <v>3.2819159999999998</v>
      </c>
      <c r="BW168" s="1">
        <v>3.3092652999999994</v>
      </c>
      <c r="BX168" s="1">
        <v>3.3092652999999994</v>
      </c>
      <c r="BY168" s="1">
        <v>3.3092652999999994</v>
      </c>
      <c r="BZ168" s="1">
        <v>3.3092652999999994</v>
      </c>
      <c r="CA168" s="1">
        <v>3.0705805000000002</v>
      </c>
      <c r="CB168" s="1">
        <v>3.0705805000000002</v>
      </c>
      <c r="CC168" s="1">
        <v>3.0705805000000002</v>
      </c>
      <c r="CD168" s="1">
        <v>3.0705805000000002</v>
      </c>
      <c r="CE168" s="1">
        <v>3.0084230000000001</v>
      </c>
      <c r="CF168" s="1">
        <v>3.0084230000000001</v>
      </c>
      <c r="CG168" s="1">
        <v>3.0084230000000001</v>
      </c>
      <c r="CH168" s="1">
        <v>3.0084230000000001</v>
      </c>
      <c r="CI168" s="1">
        <v>3.7045870000000001</v>
      </c>
      <c r="CJ168" s="1">
        <v>3.7045870000000001</v>
      </c>
      <c r="CK168" s="1">
        <v>3.7045870000000001</v>
      </c>
      <c r="CL168" s="1">
        <v>3.7045870000000001</v>
      </c>
      <c r="CM168" s="1">
        <v>4.2515729999999996</v>
      </c>
      <c r="CN168" s="1">
        <v>4.2515729999999996</v>
      </c>
    </row>
    <row r="169" spans="1:92" x14ac:dyDescent="0.35">
      <c r="A169" t="s">
        <v>64</v>
      </c>
      <c r="B169" s="1">
        <v>1.45</v>
      </c>
      <c r="C169" s="1">
        <v>1.72</v>
      </c>
      <c r="D169" s="1">
        <v>1.72</v>
      </c>
      <c r="E169" s="1">
        <v>1.72</v>
      </c>
      <c r="F169" s="1">
        <v>1.72</v>
      </c>
      <c r="G169" s="1">
        <v>1.72</v>
      </c>
      <c r="H169" s="1">
        <v>1.72</v>
      </c>
      <c r="I169" s="1">
        <v>1.72</v>
      </c>
      <c r="J169" s="1">
        <v>1.72</v>
      </c>
      <c r="K169" s="1">
        <v>1.72</v>
      </c>
      <c r="L169" s="1">
        <v>1.72</v>
      </c>
      <c r="M169" s="1">
        <v>1.72</v>
      </c>
      <c r="N169" s="1">
        <v>1.72</v>
      </c>
      <c r="O169" s="1">
        <v>1.51</v>
      </c>
      <c r="P169" s="1">
        <v>1.51</v>
      </c>
      <c r="Q169" s="1">
        <v>1.51</v>
      </c>
      <c r="R169" s="1">
        <v>1.51</v>
      </c>
      <c r="S169" s="1">
        <v>1.74</v>
      </c>
      <c r="T169" s="1">
        <v>1.74</v>
      </c>
      <c r="U169" s="1">
        <v>1.74</v>
      </c>
      <c r="V169" s="1">
        <v>1.74</v>
      </c>
      <c r="W169" s="1">
        <v>2.0499999999999998</v>
      </c>
      <c r="X169" s="1">
        <v>2.0499999999999998</v>
      </c>
      <c r="Y169" s="1">
        <v>2.0499999999999998</v>
      </c>
      <c r="Z169" s="1">
        <v>2.0499999999999998</v>
      </c>
      <c r="AA169" s="1">
        <v>2.15</v>
      </c>
      <c r="AB169" s="1">
        <v>2.15</v>
      </c>
      <c r="AC169" s="1">
        <v>2.2000000000000002</v>
      </c>
      <c r="AD169" s="1">
        <v>2.2000000000000002</v>
      </c>
      <c r="AE169" s="1">
        <v>2.1995819999999999</v>
      </c>
      <c r="AF169" s="1">
        <v>2.1995819999999999</v>
      </c>
      <c r="AG169" s="1">
        <v>2.2337370000000001</v>
      </c>
      <c r="AH169" s="1">
        <v>2.2337370000000001</v>
      </c>
      <c r="AI169" s="1">
        <v>2.3859457906724999</v>
      </c>
      <c r="AJ169" s="1">
        <v>2.3859457906724999</v>
      </c>
      <c r="AK169" s="1">
        <v>2.3859457906724999</v>
      </c>
      <c r="AL169" s="1">
        <v>2.3859457906724999</v>
      </c>
      <c r="AM169" s="1">
        <v>2.7659170715400005</v>
      </c>
      <c r="AN169" s="1">
        <v>2.7659170715400005</v>
      </c>
      <c r="AO169" s="1">
        <v>2.7659170715400005</v>
      </c>
      <c r="AP169" s="1">
        <v>2.7659170715400005</v>
      </c>
      <c r="AQ169" s="1">
        <v>3.0106080000000004</v>
      </c>
      <c r="AR169" s="1">
        <v>3.152196</v>
      </c>
      <c r="AS169" s="1">
        <v>3.152196</v>
      </c>
      <c r="AT169" s="1">
        <v>3.152196</v>
      </c>
      <c r="AU169" s="1">
        <v>3.1931819999999997</v>
      </c>
      <c r="AV169" s="1">
        <v>3.1931819999999997</v>
      </c>
      <c r="AW169" s="1">
        <v>3.1931819999999997</v>
      </c>
      <c r="AX169" s="1">
        <v>3.1931819999999997</v>
      </c>
      <c r="AY169" s="1">
        <v>3.2871858749999987</v>
      </c>
      <c r="AZ169" s="1">
        <v>3.2871858749999987</v>
      </c>
      <c r="BA169" s="1">
        <v>3.2871858749999987</v>
      </c>
      <c r="BB169" s="1">
        <v>3.2871858749999987</v>
      </c>
      <c r="BC169" s="1">
        <v>3.67802775</v>
      </c>
      <c r="BD169" s="1">
        <v>3.67802775</v>
      </c>
      <c r="BE169" s="1">
        <v>3.67802775</v>
      </c>
      <c r="BF169" s="1">
        <v>3.67802775</v>
      </c>
      <c r="BG169" s="1">
        <v>3.830250374999999</v>
      </c>
      <c r="BH169" s="1">
        <v>3.830250374999999</v>
      </c>
      <c r="BI169" s="1">
        <v>2.3750052269594595</v>
      </c>
      <c r="BJ169" s="1">
        <v>2.3750052269594595</v>
      </c>
      <c r="BK169" s="1">
        <v>2.2265942412162163</v>
      </c>
      <c r="BL169" s="1">
        <v>2.2265942412162163</v>
      </c>
      <c r="BM169" s="1">
        <v>2.2265942412162163</v>
      </c>
      <c r="BN169" s="1">
        <v>2.2265942412162163</v>
      </c>
      <c r="BO169" s="1">
        <v>2.2166399500000002</v>
      </c>
      <c r="BP169" s="1">
        <v>2.2166399500000002</v>
      </c>
      <c r="BQ169" s="1">
        <v>2.2166399500000002</v>
      </c>
      <c r="BR169" s="1">
        <v>2.2166399500000002</v>
      </c>
      <c r="BS169" s="1">
        <v>2.2640716999999997</v>
      </c>
      <c r="BT169" s="1">
        <v>2.2640716999999997</v>
      </c>
      <c r="BU169" s="1">
        <v>2.2640716999999997</v>
      </c>
      <c r="BV169" s="1">
        <v>2.2640716999999997</v>
      </c>
      <c r="BW169" s="1">
        <v>2.0987201</v>
      </c>
      <c r="BX169" s="1">
        <v>2.0987201</v>
      </c>
      <c r="BY169" s="1">
        <v>2.0987201</v>
      </c>
      <c r="BZ169" s="1">
        <v>2.0987201</v>
      </c>
      <c r="CA169" s="1">
        <v>1.5408459000000001</v>
      </c>
      <c r="CB169" s="1">
        <v>1.5408459000000001</v>
      </c>
      <c r="CC169" s="1">
        <v>1.5408459000000001</v>
      </c>
      <c r="CD169" s="1">
        <v>1.5408459000000001</v>
      </c>
      <c r="CE169" s="1">
        <v>1.6192671999999999</v>
      </c>
      <c r="CF169" s="1">
        <v>1.6192671999999999</v>
      </c>
      <c r="CG169" s="1">
        <v>1.6192671999999999</v>
      </c>
      <c r="CH169" s="1">
        <v>1.6192671999999999</v>
      </c>
      <c r="CI169" s="1">
        <v>2.3137545749999999</v>
      </c>
      <c r="CJ169" s="1">
        <v>2.3137545749999999</v>
      </c>
      <c r="CK169" s="1">
        <v>2.3137545749999999</v>
      </c>
      <c r="CL169" s="1">
        <v>2.3137545749999999</v>
      </c>
      <c r="CM169" s="1">
        <v>1.972308290625</v>
      </c>
      <c r="CN169" s="1">
        <v>1.972308290625</v>
      </c>
    </row>
    <row r="170" spans="1:92" x14ac:dyDescent="0.35">
      <c r="A170" t="s">
        <v>63</v>
      </c>
      <c r="B170" s="1">
        <v>1.0900000000000001</v>
      </c>
      <c r="C170" s="1">
        <v>1.36</v>
      </c>
      <c r="D170" s="1">
        <v>1.36</v>
      </c>
      <c r="E170" s="1">
        <v>1.36</v>
      </c>
      <c r="F170" s="1">
        <v>1.36</v>
      </c>
      <c r="G170" s="1">
        <v>1.36</v>
      </c>
      <c r="H170" s="1">
        <v>1.36</v>
      </c>
      <c r="I170" s="1">
        <v>1.36</v>
      </c>
      <c r="J170" s="1">
        <v>1.36</v>
      </c>
      <c r="K170" s="1">
        <v>1.36</v>
      </c>
      <c r="L170" s="1">
        <v>1.36</v>
      </c>
      <c r="M170" s="1">
        <v>1.36</v>
      </c>
      <c r="N170" s="1">
        <v>1.36</v>
      </c>
      <c r="O170" s="1">
        <v>1.18</v>
      </c>
      <c r="P170" s="1">
        <v>1.18</v>
      </c>
      <c r="Q170" s="1">
        <v>1.18</v>
      </c>
      <c r="R170" s="1">
        <v>1.18</v>
      </c>
      <c r="S170" s="1">
        <v>1.44</v>
      </c>
      <c r="T170" s="1">
        <v>1.44</v>
      </c>
      <c r="U170" s="1">
        <v>1.44</v>
      </c>
      <c r="V170" s="1">
        <v>1.44</v>
      </c>
      <c r="W170" s="1">
        <v>1.8</v>
      </c>
      <c r="X170" s="1">
        <v>1.8</v>
      </c>
      <c r="Y170" s="1">
        <v>1.8</v>
      </c>
      <c r="Z170" s="1">
        <v>1.8</v>
      </c>
      <c r="AA170" s="1">
        <v>1.78</v>
      </c>
      <c r="AB170" s="1">
        <v>1.78</v>
      </c>
      <c r="AC170" s="1">
        <v>1.82</v>
      </c>
      <c r="AD170" s="1">
        <v>1.82</v>
      </c>
      <c r="AE170" s="1">
        <v>1.8170459999999999</v>
      </c>
      <c r="AF170" s="1">
        <v>1.8170459999999999</v>
      </c>
      <c r="AG170" s="1">
        <v>1.8477855000000001</v>
      </c>
      <c r="AH170" s="1">
        <v>1.8477855000000001</v>
      </c>
      <c r="AI170" s="1">
        <v>2.0983999565025</v>
      </c>
      <c r="AJ170" s="1">
        <v>2.0983999565025</v>
      </c>
      <c r="AK170" s="1">
        <v>2.0983999565025</v>
      </c>
      <c r="AL170" s="1">
        <v>2.0983999565025</v>
      </c>
      <c r="AM170" s="1">
        <v>2.5023333902174998</v>
      </c>
      <c r="AN170" s="1">
        <v>2.5023333902174998</v>
      </c>
      <c r="AO170" s="1">
        <v>2.5023333902174998</v>
      </c>
      <c r="AP170" s="1">
        <v>2.5023333902174998</v>
      </c>
      <c r="AQ170" s="1">
        <v>2.5023333902174998</v>
      </c>
      <c r="AR170" s="1">
        <v>2.7460619999999989</v>
      </c>
      <c r="AS170" s="1">
        <v>2.7460619999999989</v>
      </c>
      <c r="AT170" s="1">
        <v>2.7460619999999989</v>
      </c>
      <c r="AU170" s="1">
        <v>2.7646919999999997</v>
      </c>
      <c r="AV170" s="1">
        <v>2.7646919999999997</v>
      </c>
      <c r="AW170" s="1">
        <v>2.7646919999999997</v>
      </c>
      <c r="AX170" s="1">
        <v>2.7646919999999997</v>
      </c>
      <c r="AY170" s="1">
        <v>2.8140614999999998</v>
      </c>
      <c r="AZ170" s="1">
        <v>2.8140614999999998</v>
      </c>
      <c r="BA170" s="1">
        <v>2.8140614999999998</v>
      </c>
      <c r="BB170" s="1">
        <v>2.8140614999999998</v>
      </c>
      <c r="BC170" s="1">
        <v>2.6330399999999998</v>
      </c>
      <c r="BD170" s="1">
        <v>2.6330399999999998</v>
      </c>
      <c r="BE170" s="1">
        <v>2.6330399999999998</v>
      </c>
      <c r="BF170" s="1">
        <v>2.6330399999999998</v>
      </c>
      <c r="BG170" s="1">
        <v>2.8222897499999995</v>
      </c>
      <c r="BH170" s="1">
        <v>2.8222897499999995</v>
      </c>
      <c r="BI170" s="1">
        <v>2.3750052269594595</v>
      </c>
      <c r="BJ170" s="1">
        <v>2.3750052269594595</v>
      </c>
      <c r="BK170" s="1">
        <v>2.2265942412162163</v>
      </c>
      <c r="BL170" s="1">
        <v>2.2265942412162163</v>
      </c>
      <c r="BM170" s="1">
        <v>2.2265942412162163</v>
      </c>
      <c r="BN170" s="1">
        <v>2.2265942412162163</v>
      </c>
      <c r="BO170" s="1">
        <v>2.2166399500000002</v>
      </c>
      <c r="BP170" s="1">
        <v>2.2166399500000002</v>
      </c>
      <c r="BQ170" s="1">
        <v>2.2166399500000002</v>
      </c>
      <c r="BR170" s="1">
        <v>2.2166399500000002</v>
      </c>
      <c r="BS170" s="1">
        <v>2.2640716999999997</v>
      </c>
      <c r="BT170" s="1">
        <v>2.2640716999999997</v>
      </c>
      <c r="BU170" s="1">
        <v>2.2640716999999997</v>
      </c>
      <c r="BV170" s="1">
        <v>2.2640716999999997</v>
      </c>
      <c r="BW170" s="1">
        <v>2.0987201</v>
      </c>
      <c r="BX170" s="1">
        <v>2.0987201</v>
      </c>
      <c r="BY170" s="1">
        <v>2.0987201</v>
      </c>
      <c r="BZ170" s="1">
        <v>2.0987201</v>
      </c>
      <c r="CA170" s="1">
        <v>1.5408459000000001</v>
      </c>
      <c r="CB170" s="1">
        <v>1.5408459000000001</v>
      </c>
      <c r="CC170" s="1">
        <v>1.5408459000000001</v>
      </c>
      <c r="CD170" s="1">
        <v>1.5408459000000001</v>
      </c>
      <c r="CE170" s="1">
        <v>1.6192671999999999</v>
      </c>
      <c r="CF170" s="1">
        <v>1.6192671999999999</v>
      </c>
      <c r="CG170" s="1">
        <v>1.6192671999999999</v>
      </c>
      <c r="CH170" s="1">
        <v>1.6192671999999999</v>
      </c>
      <c r="CI170" s="1">
        <v>2.3137545749999999</v>
      </c>
      <c r="CJ170" s="1">
        <v>2.3137545749999999</v>
      </c>
      <c r="CK170" s="1">
        <v>2.3137545749999999</v>
      </c>
      <c r="CL170" s="1">
        <v>2.3137545749999999</v>
      </c>
      <c r="CM170" s="1">
        <v>1.972308290625</v>
      </c>
      <c r="CN170" s="1">
        <v>1.972308290625</v>
      </c>
    </row>
    <row r="171" spans="1:92" x14ac:dyDescent="0.35">
      <c r="A171" t="s">
        <v>65</v>
      </c>
      <c r="B171" s="1">
        <v>1.7</v>
      </c>
      <c r="C171" s="1">
        <v>1.59</v>
      </c>
      <c r="D171" s="1">
        <v>1.59</v>
      </c>
      <c r="E171" s="1">
        <v>1.41</v>
      </c>
      <c r="F171" s="1">
        <v>1.41</v>
      </c>
      <c r="G171" s="1">
        <v>1.41</v>
      </c>
      <c r="H171" s="1">
        <v>1.41</v>
      </c>
      <c r="I171" s="1">
        <v>1.41</v>
      </c>
      <c r="J171" s="1">
        <v>1.41</v>
      </c>
      <c r="K171" s="1">
        <v>1.56</v>
      </c>
      <c r="L171" s="1">
        <v>1.56</v>
      </c>
      <c r="M171" s="1">
        <v>1.56</v>
      </c>
      <c r="N171" s="1">
        <v>1.56</v>
      </c>
      <c r="O171" s="1">
        <v>1.59</v>
      </c>
      <c r="P171" s="1">
        <v>1.59</v>
      </c>
      <c r="Q171" s="1">
        <v>1.59</v>
      </c>
      <c r="R171" s="1">
        <v>1.59</v>
      </c>
      <c r="S171" s="1">
        <v>1.71</v>
      </c>
      <c r="T171" s="1">
        <v>1.71</v>
      </c>
      <c r="U171" s="1">
        <v>1.71</v>
      </c>
      <c r="V171" s="1">
        <v>1.71</v>
      </c>
      <c r="W171" s="1">
        <v>1.64</v>
      </c>
      <c r="X171" s="1">
        <v>1.64</v>
      </c>
      <c r="Y171" s="1">
        <v>1.64</v>
      </c>
      <c r="Z171" s="1">
        <v>1.64</v>
      </c>
      <c r="AA171" s="1">
        <v>1.64</v>
      </c>
      <c r="AB171" s="1">
        <v>1.64</v>
      </c>
      <c r="AC171" s="1">
        <v>1.67</v>
      </c>
      <c r="AD171" s="1">
        <v>1.67</v>
      </c>
      <c r="AE171" s="1">
        <v>1.7356043330125652</v>
      </c>
      <c r="AF171" s="1">
        <v>1.7356043330125652</v>
      </c>
      <c r="AG171" s="1">
        <v>1.7356043330125652</v>
      </c>
      <c r="AH171" s="1">
        <v>1.7356043330125652</v>
      </c>
      <c r="AI171" s="1">
        <v>2.2381038890337632</v>
      </c>
      <c r="AJ171" s="1">
        <v>2.2381038890337632</v>
      </c>
      <c r="AK171" s="1">
        <v>2.2381038890337632</v>
      </c>
      <c r="AL171" s="1">
        <v>2.2381038890337632</v>
      </c>
      <c r="AM171" s="1">
        <v>2.3839881142857142</v>
      </c>
      <c r="AN171" s="1">
        <v>2.3839881142857142</v>
      </c>
      <c r="AO171" s="1">
        <v>2.3839881142857142</v>
      </c>
      <c r="AP171" s="1">
        <v>2.3839881142857142</v>
      </c>
      <c r="AQ171" s="1">
        <v>2.5758611688509983</v>
      </c>
      <c r="AR171" s="1">
        <v>2.5758611688509983</v>
      </c>
      <c r="AS171" s="1">
        <v>2.5758611688509983</v>
      </c>
      <c r="AT171" s="1">
        <v>2.5758611688509983</v>
      </c>
      <c r="AU171" s="1">
        <v>2.4237439626643509</v>
      </c>
      <c r="AV171" s="1">
        <v>2.4237439626643509</v>
      </c>
      <c r="AW171" s="1">
        <v>2.4237439626643509</v>
      </c>
      <c r="AX171" s="1">
        <v>2.4237439626643509</v>
      </c>
      <c r="AY171" s="1">
        <v>2.5531687887443786</v>
      </c>
      <c r="AZ171" s="1">
        <v>2.5531687887443786</v>
      </c>
      <c r="BA171" s="1">
        <v>2.5531687887443786</v>
      </c>
      <c r="BB171" s="1">
        <v>2.5531687887443786</v>
      </c>
      <c r="BC171" s="1">
        <v>2.7153617762352775</v>
      </c>
      <c r="BD171" s="1">
        <v>2.7153617762352775</v>
      </c>
      <c r="BE171" s="1">
        <v>2.7153617762352775</v>
      </c>
      <c r="BF171" s="1">
        <v>2.7153617762352775</v>
      </c>
      <c r="BG171" s="1">
        <v>2.4309361163140424</v>
      </c>
      <c r="BH171" s="1">
        <v>2.4309361163140424</v>
      </c>
      <c r="BI171" s="1">
        <v>2.4309361163140424</v>
      </c>
      <c r="BJ171" s="1">
        <v>2.4309361163140424</v>
      </c>
      <c r="BK171" s="1">
        <v>2.2520665203873236</v>
      </c>
      <c r="BL171" s="1">
        <v>2.2520665203873236</v>
      </c>
      <c r="BM171" s="1">
        <v>2.2520665203873236</v>
      </c>
      <c r="BN171" s="1">
        <v>2.2520665203873236</v>
      </c>
      <c r="BO171" s="1">
        <v>2.0661564854128707</v>
      </c>
      <c r="BP171" s="1">
        <v>2.0661564854128707</v>
      </c>
      <c r="BQ171" s="1">
        <v>2.0661564854128707</v>
      </c>
      <c r="BR171" s="1">
        <v>2.0661564854128707</v>
      </c>
      <c r="BS171" s="1">
        <v>2.0460360759130363</v>
      </c>
      <c r="BT171" s="1">
        <v>2.0460360759130363</v>
      </c>
      <c r="BU171" s="1">
        <v>2.0460360759130363</v>
      </c>
      <c r="BV171" s="1">
        <v>2.0460360759130363</v>
      </c>
      <c r="BW171" s="1">
        <v>2.0172704736881464</v>
      </c>
      <c r="BX171" s="1">
        <v>2.0172704736881464</v>
      </c>
      <c r="BY171" s="1">
        <v>2.0172704736881464</v>
      </c>
      <c r="BZ171" s="1">
        <v>2.0172704736881464</v>
      </c>
      <c r="CA171" s="1">
        <v>1.5562389375000001</v>
      </c>
      <c r="CB171" s="1">
        <v>1.5562389375000001</v>
      </c>
      <c r="CC171" s="1">
        <v>1.5562389375000001</v>
      </c>
      <c r="CD171" s="1">
        <v>1.5562389375000001</v>
      </c>
      <c r="CE171" s="1">
        <v>1.5604393125</v>
      </c>
      <c r="CF171" s="1">
        <v>1.5604393125</v>
      </c>
      <c r="CG171" s="1">
        <v>1.5604393125</v>
      </c>
      <c r="CH171" s="1">
        <v>1.5604393125</v>
      </c>
      <c r="CI171" s="1">
        <v>1.8843932343750001</v>
      </c>
      <c r="CJ171" s="1">
        <v>1.8843932343750001</v>
      </c>
      <c r="CK171" s="1">
        <v>1.8843932343750001</v>
      </c>
      <c r="CL171" s="1">
        <v>1.8843932343750001</v>
      </c>
      <c r="CM171" s="1">
        <v>2.4062898281249998</v>
      </c>
      <c r="CN171" s="1">
        <v>2.4062898281249998</v>
      </c>
    </row>
    <row r="172" spans="1:92" x14ac:dyDescent="0.35">
      <c r="A172" t="s">
        <v>86</v>
      </c>
      <c r="B172" s="1">
        <v>2.2799999999999998</v>
      </c>
      <c r="C172" s="1">
        <v>2.34</v>
      </c>
      <c r="D172" s="1">
        <v>2.34</v>
      </c>
      <c r="E172" s="1">
        <v>2.34</v>
      </c>
      <c r="F172" s="1">
        <v>2.34</v>
      </c>
      <c r="G172" s="1">
        <v>2.27</v>
      </c>
      <c r="H172" s="1">
        <v>2.27</v>
      </c>
      <c r="I172" s="1">
        <v>2.27</v>
      </c>
      <c r="J172" s="1">
        <v>2.27</v>
      </c>
      <c r="K172" s="1">
        <v>2.39</v>
      </c>
      <c r="L172" s="1">
        <v>2.39</v>
      </c>
      <c r="M172" s="1">
        <v>2.39</v>
      </c>
      <c r="N172" s="1">
        <v>2.39</v>
      </c>
      <c r="O172" s="1">
        <v>2.33</v>
      </c>
      <c r="P172" s="1">
        <v>2.33</v>
      </c>
      <c r="Q172" s="1">
        <v>2.33</v>
      </c>
      <c r="R172" s="1">
        <v>2.33</v>
      </c>
      <c r="S172" s="1">
        <v>2.46</v>
      </c>
      <c r="T172" s="1">
        <v>2.46</v>
      </c>
      <c r="U172" s="1">
        <v>2.46</v>
      </c>
      <c r="V172" s="1">
        <v>2.46</v>
      </c>
      <c r="W172" s="1">
        <v>2.46</v>
      </c>
      <c r="X172" s="1">
        <v>2.46</v>
      </c>
      <c r="Y172" s="1">
        <v>2.46</v>
      </c>
      <c r="Z172" s="1">
        <v>1.98</v>
      </c>
      <c r="AA172" s="1">
        <v>1.98</v>
      </c>
      <c r="AB172" s="1">
        <v>1.98</v>
      </c>
      <c r="AC172" s="1">
        <v>2.02</v>
      </c>
      <c r="AD172" s="1">
        <v>2.02</v>
      </c>
      <c r="AE172" s="1">
        <v>2.5982560937500003</v>
      </c>
      <c r="AF172" s="1">
        <v>2.5982560937500003</v>
      </c>
      <c r="AG172" s="1">
        <v>2.5982560937500003</v>
      </c>
      <c r="AH172" s="1">
        <v>2.5982560937500003</v>
      </c>
      <c r="AI172" s="1">
        <v>2.9444060937500001</v>
      </c>
      <c r="AJ172" s="1">
        <v>2.9444060937500001</v>
      </c>
      <c r="AK172" s="1">
        <v>2.9444060937500001</v>
      </c>
      <c r="AL172" s="1">
        <v>2.9444060937500001</v>
      </c>
      <c r="AM172" s="1">
        <v>3.3043560937499996</v>
      </c>
      <c r="AN172" s="1">
        <v>3.3043560937499996</v>
      </c>
      <c r="AO172" s="1">
        <v>3.3043560937499996</v>
      </c>
      <c r="AP172" s="1">
        <v>3.3043560937499996</v>
      </c>
      <c r="AQ172" s="1">
        <v>3.6988060937499996</v>
      </c>
      <c r="AR172" s="1">
        <v>3.6988060937499996</v>
      </c>
      <c r="AS172" s="1">
        <v>3.6988060937499996</v>
      </c>
      <c r="AT172" s="1">
        <v>3.6988060937499996</v>
      </c>
      <c r="AU172" s="1">
        <v>4.4624060937499994</v>
      </c>
      <c r="AV172" s="1">
        <v>4.4624060937499994</v>
      </c>
      <c r="AW172" s="1">
        <v>4.4624060937499994</v>
      </c>
      <c r="AX172" s="1">
        <v>4.4624060937499994</v>
      </c>
      <c r="AY172" s="1">
        <v>5.040335071875</v>
      </c>
      <c r="AZ172" s="1">
        <v>5.040335071875</v>
      </c>
      <c r="BA172" s="1">
        <v>5.040335071875</v>
      </c>
      <c r="BB172" s="1">
        <v>5.040335071875</v>
      </c>
      <c r="BC172" s="1">
        <v>5.0120457187499996</v>
      </c>
      <c r="BD172" s="1">
        <v>5.0120457187499996</v>
      </c>
      <c r="BE172" s="1">
        <v>5.0120457187499996</v>
      </c>
      <c r="BF172" s="1">
        <v>5.0120457187499996</v>
      </c>
      <c r="BG172" s="1">
        <v>4.4746140625000006</v>
      </c>
      <c r="BH172" s="1">
        <v>4.4746140625000006</v>
      </c>
      <c r="BI172" s="1">
        <v>4.4746140625000006</v>
      </c>
      <c r="BJ172" s="1">
        <v>4.4746140625000006</v>
      </c>
      <c r="BK172" s="1">
        <v>3.9567869414062504</v>
      </c>
      <c r="BL172" s="1">
        <v>3.9567869414062504</v>
      </c>
      <c r="BM172" s="1">
        <v>3.9567869414062504</v>
      </c>
      <c r="BN172" s="1">
        <v>3.9567869414062504</v>
      </c>
      <c r="BO172" s="1">
        <v>3.4698021914062491</v>
      </c>
      <c r="BP172" s="1">
        <v>3.4698021914062491</v>
      </c>
      <c r="BQ172" s="1">
        <v>3.4698021914062491</v>
      </c>
      <c r="BR172" s="1">
        <v>3.4698021914062491</v>
      </c>
      <c r="BS172" s="1">
        <v>2.8874421914062505</v>
      </c>
      <c r="BT172" s="1">
        <v>2.8874421914062505</v>
      </c>
      <c r="BU172" s="1">
        <v>2.8874421914062505</v>
      </c>
      <c r="BV172" s="1">
        <v>2.8874421914062505</v>
      </c>
      <c r="BW172" s="1">
        <v>1.3612442906250002</v>
      </c>
      <c r="BX172" s="1">
        <v>1.3612442906250002</v>
      </c>
      <c r="BY172" s="1">
        <v>1.3612442906250002</v>
      </c>
      <c r="BZ172" s="1">
        <v>1.3612442906250002</v>
      </c>
      <c r="CA172" s="1">
        <v>1.8979729375000001</v>
      </c>
      <c r="CB172" s="1">
        <v>1.8979729375000001</v>
      </c>
      <c r="CC172" s="1">
        <v>1.8979729375000001</v>
      </c>
      <c r="CD172" s="1">
        <v>1.8979729375000001</v>
      </c>
      <c r="CE172" s="1">
        <v>1.8240128437500001</v>
      </c>
      <c r="CF172" s="1">
        <v>1.8240128437500001</v>
      </c>
      <c r="CG172" s="1">
        <v>1.8240128437500001</v>
      </c>
      <c r="CH172" s="1">
        <v>1.8240128437500001</v>
      </c>
      <c r="CI172" s="1">
        <v>2.1595177968749999</v>
      </c>
      <c r="CJ172" s="1">
        <v>2.1595177968749999</v>
      </c>
      <c r="CK172" s="1">
        <v>2.1595177968749999</v>
      </c>
      <c r="CL172" s="1">
        <v>2.1595177968749999</v>
      </c>
      <c r="CM172" s="1">
        <v>2.5359764062500001</v>
      </c>
      <c r="CN172" s="1">
        <v>2.5359764062500001</v>
      </c>
    </row>
    <row r="173" spans="1:92" x14ac:dyDescent="0.35">
      <c r="A173" t="s">
        <v>37</v>
      </c>
      <c r="B173" s="1">
        <v>1.64</v>
      </c>
      <c r="C173" s="1">
        <v>1.64</v>
      </c>
      <c r="D173" s="1">
        <v>1.64</v>
      </c>
      <c r="E173" s="1">
        <v>1.64</v>
      </c>
      <c r="F173" s="1">
        <v>1.64</v>
      </c>
      <c r="G173" s="1">
        <v>1.64</v>
      </c>
      <c r="H173" s="1">
        <v>1.64</v>
      </c>
      <c r="I173" s="1">
        <v>1.71</v>
      </c>
      <c r="J173" s="1">
        <v>1.71</v>
      </c>
      <c r="K173" s="1">
        <v>2.06</v>
      </c>
      <c r="L173" s="1">
        <v>2.06</v>
      </c>
      <c r="M173" s="1">
        <v>2.06</v>
      </c>
      <c r="N173" s="1">
        <v>1.53</v>
      </c>
      <c r="O173" s="1">
        <v>1.7</v>
      </c>
      <c r="P173" s="1">
        <v>1.7</v>
      </c>
      <c r="Q173" s="1">
        <v>1.7</v>
      </c>
      <c r="R173" s="1">
        <v>1.7</v>
      </c>
      <c r="S173" s="1">
        <v>1.88</v>
      </c>
      <c r="T173" s="1">
        <v>1.88</v>
      </c>
      <c r="U173" s="1">
        <v>1.88</v>
      </c>
      <c r="V173" s="1">
        <v>1.88</v>
      </c>
      <c r="W173" s="1">
        <v>2</v>
      </c>
      <c r="X173" s="1">
        <v>2</v>
      </c>
      <c r="Y173" s="1">
        <v>2</v>
      </c>
      <c r="Z173" s="1">
        <v>2</v>
      </c>
      <c r="AA173" s="1">
        <v>2.09</v>
      </c>
      <c r="AB173" s="1">
        <v>2.09</v>
      </c>
      <c r="AC173" s="1">
        <v>2.13</v>
      </c>
      <c r="AD173" s="1">
        <v>2.13</v>
      </c>
      <c r="AE173" s="1">
        <v>2.7807682812499999</v>
      </c>
      <c r="AF173" s="1">
        <v>2.7807682812499999</v>
      </c>
      <c r="AG173" s="1">
        <v>2.7807682812499999</v>
      </c>
      <c r="AH173" s="1">
        <v>2.7807682812499999</v>
      </c>
      <c r="AI173" s="1">
        <v>3.1603193125</v>
      </c>
      <c r="AJ173" s="1">
        <v>3.1603193125</v>
      </c>
      <c r="AK173" s="1">
        <v>3.1603193125</v>
      </c>
      <c r="AL173" s="1">
        <v>3.1603193125</v>
      </c>
      <c r="AM173" s="1">
        <v>3.2705938906249994</v>
      </c>
      <c r="AN173" s="1">
        <v>3.2705938906249994</v>
      </c>
      <c r="AO173" s="1">
        <v>3.2705938906249994</v>
      </c>
      <c r="AP173" s="1">
        <v>3.2705938906249994</v>
      </c>
      <c r="AQ173" s="1">
        <v>3.8398694062499996</v>
      </c>
      <c r="AR173" s="1">
        <v>3.8398694062499996</v>
      </c>
      <c r="AS173" s="1">
        <v>3.8398694062499996</v>
      </c>
      <c r="AT173" s="1">
        <v>3.8398694062499996</v>
      </c>
      <c r="AU173" s="1">
        <v>3.8144439843749995</v>
      </c>
      <c r="AV173" s="1">
        <v>3.8144439843749995</v>
      </c>
      <c r="AW173" s="1">
        <v>3.8144439843749995</v>
      </c>
      <c r="AX173" s="1">
        <v>3.8144439843749995</v>
      </c>
      <c r="AY173" s="1">
        <v>3.9386439843750001</v>
      </c>
      <c r="AZ173" s="1">
        <v>3.9386439843750001</v>
      </c>
      <c r="BA173" s="1">
        <v>3.9386439843750001</v>
      </c>
      <c r="BB173" s="1">
        <v>3.9386439843750001</v>
      </c>
      <c r="BC173" s="1">
        <v>4.0007439843749992</v>
      </c>
      <c r="BD173" s="1">
        <v>4.0007439843749992</v>
      </c>
      <c r="BE173" s="1">
        <v>4.0007439843749992</v>
      </c>
      <c r="BF173" s="1">
        <v>4.0007439843749992</v>
      </c>
      <c r="BG173" s="1">
        <v>4.1489196874999994</v>
      </c>
      <c r="BH173" s="1">
        <v>4.1489196874999994</v>
      </c>
      <c r="BI173" s="1">
        <v>4.1489196874999994</v>
      </c>
      <c r="BJ173" s="1">
        <v>4.1489196874999994</v>
      </c>
      <c r="BK173" s="1">
        <v>3.4830175781249997</v>
      </c>
      <c r="BL173" s="1">
        <v>3.4830175781249997</v>
      </c>
      <c r="BM173" s="1">
        <v>3.4830175781249997</v>
      </c>
      <c r="BN173" s="1">
        <v>3.4830175781249997</v>
      </c>
      <c r="BO173" s="1">
        <v>3.0000175781249996</v>
      </c>
      <c r="BP173" s="1">
        <v>3.0000175781249996</v>
      </c>
      <c r="BQ173" s="1">
        <v>3.0000175781249996</v>
      </c>
      <c r="BR173" s="1">
        <v>3.0000175781249996</v>
      </c>
      <c r="BS173" s="1">
        <v>3.0000175781249996</v>
      </c>
      <c r="BT173" s="1">
        <v>3.0000175781249996</v>
      </c>
      <c r="BU173" s="1">
        <v>3.0000175781249996</v>
      </c>
      <c r="BV173" s="1">
        <v>3.0000175781249996</v>
      </c>
      <c r="BW173" s="1">
        <v>3.0100351562499994</v>
      </c>
      <c r="BX173" s="1">
        <v>3.0100351562499994</v>
      </c>
      <c r="BY173" s="1">
        <v>3.0100351562499994</v>
      </c>
      <c r="BZ173" s="1">
        <v>3.0100351562499994</v>
      </c>
      <c r="CA173" s="1">
        <v>2.9162921874999999</v>
      </c>
      <c r="CB173" s="1">
        <v>2.9162921874999999</v>
      </c>
      <c r="CC173" s="1">
        <v>2.9162921874999999</v>
      </c>
      <c r="CD173" s="1">
        <v>2.9162921874999999</v>
      </c>
      <c r="CE173" s="1">
        <v>1.575140625</v>
      </c>
      <c r="CF173" s="1">
        <v>1.575140625</v>
      </c>
      <c r="CG173" s="1">
        <v>1.575140625</v>
      </c>
      <c r="CH173" s="1">
        <v>1.575140625</v>
      </c>
      <c r="CI173" s="1">
        <v>1.8376640625</v>
      </c>
      <c r="CJ173" s="1">
        <v>1.8376640625</v>
      </c>
      <c r="CK173" s="1">
        <v>1.8376640625</v>
      </c>
      <c r="CL173" s="1">
        <v>1.8376640625</v>
      </c>
      <c r="CM173" s="1">
        <v>2.3102062499999998</v>
      </c>
      <c r="CN173" s="1">
        <v>2.3102062499999998</v>
      </c>
    </row>
    <row r="174" spans="1:92" x14ac:dyDescent="0.35">
      <c r="A174" t="s">
        <v>67</v>
      </c>
      <c r="B174" s="1">
        <v>1.76</v>
      </c>
      <c r="C174" s="1">
        <v>1.64</v>
      </c>
      <c r="D174" s="1">
        <v>1.64</v>
      </c>
      <c r="E174" s="1">
        <v>1.64</v>
      </c>
      <c r="F174" s="1">
        <v>1.64</v>
      </c>
      <c r="G174" s="1">
        <v>1.64</v>
      </c>
      <c r="H174" s="1">
        <v>1.64</v>
      </c>
      <c r="I174" s="1">
        <v>1.71</v>
      </c>
      <c r="J174" s="1">
        <v>1.71</v>
      </c>
      <c r="K174" s="1">
        <v>2.06</v>
      </c>
      <c r="L174" s="1">
        <v>2.06</v>
      </c>
      <c r="M174" s="1">
        <v>2.06</v>
      </c>
      <c r="N174" s="1">
        <v>1.87</v>
      </c>
      <c r="O174" s="1">
        <v>2</v>
      </c>
      <c r="P174" s="1">
        <v>2</v>
      </c>
      <c r="Q174" s="1">
        <v>2</v>
      </c>
      <c r="R174" s="1">
        <v>2</v>
      </c>
      <c r="S174" s="1">
        <v>2.09</v>
      </c>
      <c r="T174" s="1">
        <v>2.09</v>
      </c>
      <c r="U174" s="1">
        <v>2.09</v>
      </c>
      <c r="V174" s="1">
        <v>2.09</v>
      </c>
      <c r="W174" s="1">
        <v>2.44</v>
      </c>
      <c r="X174" s="1">
        <v>2.44</v>
      </c>
      <c r="Y174" s="1">
        <v>2.44</v>
      </c>
      <c r="Z174" s="1">
        <v>2.44</v>
      </c>
      <c r="AA174" s="1">
        <v>2.44</v>
      </c>
      <c r="AB174" s="1">
        <v>2.44</v>
      </c>
      <c r="AC174" s="1">
        <v>2.4900000000000002</v>
      </c>
      <c r="AD174" s="1">
        <v>2.4900000000000002</v>
      </c>
      <c r="AE174" s="1">
        <v>2.6542682812499998</v>
      </c>
      <c r="AF174" s="1">
        <v>2.6542682812499998</v>
      </c>
      <c r="AG174" s="1">
        <v>2.6542682812499998</v>
      </c>
      <c r="AH174" s="1">
        <v>2.6542682812499998</v>
      </c>
      <c r="AI174" s="1">
        <v>3.2952200624999994</v>
      </c>
      <c r="AJ174" s="1">
        <v>3.2952200624999994</v>
      </c>
      <c r="AK174" s="1">
        <v>3.2952200624999994</v>
      </c>
      <c r="AL174" s="1">
        <v>3.2952200624999994</v>
      </c>
      <c r="AM174" s="1">
        <v>3.3422701562500001</v>
      </c>
      <c r="AN174" s="1">
        <v>3.3422701562500001</v>
      </c>
      <c r="AO174" s="1">
        <v>3.3422701562500001</v>
      </c>
      <c r="AP174" s="1">
        <v>3.3422701562500001</v>
      </c>
      <c r="AQ174" s="1">
        <v>3.82661565625</v>
      </c>
      <c r="AR174" s="1">
        <v>3.82661565625</v>
      </c>
      <c r="AS174" s="1">
        <v>3.82661565625</v>
      </c>
      <c r="AT174" s="1">
        <v>3.82661565625</v>
      </c>
      <c r="AU174" s="1">
        <v>3.6591939843749999</v>
      </c>
      <c r="AV174" s="1">
        <v>3.6591939843749999</v>
      </c>
      <c r="AW174" s="1">
        <v>3.6591939843749999</v>
      </c>
      <c r="AX174" s="1">
        <v>3.6591939843749999</v>
      </c>
      <c r="AY174" s="1">
        <v>3.8269196874999998</v>
      </c>
      <c r="AZ174" s="1">
        <v>3.8269196874999998</v>
      </c>
      <c r="BA174" s="1">
        <v>3.8269196874999998</v>
      </c>
      <c r="BB174" s="1">
        <v>3.8269196874999998</v>
      </c>
      <c r="BC174" s="1">
        <v>3.8591196875000007</v>
      </c>
      <c r="BD174" s="1">
        <v>3.8591196875000007</v>
      </c>
      <c r="BE174" s="1">
        <v>3.8591196875000007</v>
      </c>
      <c r="BF174" s="1">
        <v>3.8591196875000007</v>
      </c>
      <c r="BG174" s="1">
        <v>3.8269196874999998</v>
      </c>
      <c r="BH174" s="1">
        <v>3.8269196874999998</v>
      </c>
      <c r="BI174" s="1">
        <v>3.8269196874999998</v>
      </c>
      <c r="BJ174" s="1">
        <v>3.8269196874999998</v>
      </c>
      <c r="BK174" s="1">
        <v>3.3018925781249999</v>
      </c>
      <c r="BL174" s="1">
        <v>3.3018925781249999</v>
      </c>
      <c r="BM174" s="1">
        <v>3.3018925781249999</v>
      </c>
      <c r="BN174" s="1">
        <v>3.3018925781249999</v>
      </c>
      <c r="BO174" s="1">
        <v>2.8562675781250002</v>
      </c>
      <c r="BP174" s="1">
        <v>2.8562675781250002</v>
      </c>
      <c r="BQ174" s="1">
        <v>2.8562675781250002</v>
      </c>
      <c r="BR174" s="1">
        <v>2.8562675781250002</v>
      </c>
      <c r="BS174" s="1">
        <v>2.7700175781249996</v>
      </c>
      <c r="BT174" s="1">
        <v>2.7700175781249996</v>
      </c>
      <c r="BU174" s="1">
        <v>2.7700175781249996</v>
      </c>
      <c r="BV174" s="1">
        <v>2.7700175781249996</v>
      </c>
      <c r="BW174" s="1">
        <v>2.7800351562499999</v>
      </c>
      <c r="BX174" s="1">
        <v>2.7800351562499999</v>
      </c>
      <c r="BY174" s="1">
        <v>2.7800351562499999</v>
      </c>
      <c r="BZ174" s="1">
        <v>2.7800351562499999</v>
      </c>
      <c r="CA174" s="1">
        <v>2.131365078125</v>
      </c>
      <c r="CB174" s="1">
        <v>2.131365078125</v>
      </c>
      <c r="CC174" s="1">
        <v>2.131365078125</v>
      </c>
      <c r="CD174" s="1">
        <v>2.131365078125</v>
      </c>
      <c r="CE174" s="1">
        <v>1.575140625</v>
      </c>
      <c r="CF174" s="1">
        <v>1.575140625</v>
      </c>
      <c r="CG174" s="1">
        <v>1.575140625</v>
      </c>
      <c r="CH174" s="1">
        <v>1.575140625</v>
      </c>
      <c r="CI174" s="1">
        <v>1.8376640625</v>
      </c>
      <c r="CJ174" s="1">
        <v>1.8376640625</v>
      </c>
      <c r="CK174" s="1">
        <v>1.8376640625</v>
      </c>
      <c r="CL174" s="1">
        <v>1.8376640625</v>
      </c>
      <c r="CM174" s="1">
        <v>2.1001875000000001</v>
      </c>
      <c r="CN174" s="1">
        <v>2.1001875000000001</v>
      </c>
    </row>
    <row r="175" spans="1:92" x14ac:dyDescent="0.35">
      <c r="A175" t="s">
        <v>68</v>
      </c>
      <c r="B175" s="1">
        <v>1.63</v>
      </c>
      <c r="C175" s="1">
        <v>1.64</v>
      </c>
      <c r="D175" s="1">
        <v>1.64</v>
      </c>
      <c r="E175" s="1">
        <v>1.64</v>
      </c>
      <c r="F175" s="1">
        <v>1.64</v>
      </c>
      <c r="G175" s="1">
        <v>1.64</v>
      </c>
      <c r="H175" s="1">
        <v>1.64</v>
      </c>
      <c r="I175" s="1">
        <v>1.71</v>
      </c>
      <c r="J175" s="1">
        <v>1.71</v>
      </c>
      <c r="K175" s="1">
        <v>2.06</v>
      </c>
      <c r="L175" s="1">
        <v>2.06</v>
      </c>
      <c r="M175" s="1">
        <v>2.06</v>
      </c>
      <c r="N175" s="1">
        <v>1.83</v>
      </c>
      <c r="O175" s="1">
        <v>2</v>
      </c>
      <c r="P175" s="1">
        <v>2</v>
      </c>
      <c r="Q175" s="1">
        <v>2</v>
      </c>
      <c r="R175" s="1">
        <v>2</v>
      </c>
      <c r="S175" s="1">
        <v>2.09</v>
      </c>
      <c r="T175" s="1">
        <v>2.09</v>
      </c>
      <c r="U175" s="1">
        <v>2.09</v>
      </c>
      <c r="V175" s="1">
        <v>2.09</v>
      </c>
      <c r="W175" s="1">
        <v>2.44</v>
      </c>
      <c r="X175" s="1">
        <v>2.44</v>
      </c>
      <c r="Y175" s="1">
        <v>2.44</v>
      </c>
      <c r="Z175" s="1">
        <v>2.44</v>
      </c>
      <c r="AA175" s="1">
        <v>2.44</v>
      </c>
      <c r="AB175" s="1">
        <v>2.44</v>
      </c>
      <c r="AC175" s="1">
        <v>2.4900000000000002</v>
      </c>
      <c r="AD175" s="1">
        <v>2.4900000000000002</v>
      </c>
      <c r="AE175" s="1">
        <v>2.6542682812499998</v>
      </c>
      <c r="AF175" s="1">
        <v>2.6542682812499998</v>
      </c>
      <c r="AG175" s="1">
        <v>2.6542682812499998</v>
      </c>
      <c r="AH175" s="1">
        <v>2.6542682812499998</v>
      </c>
      <c r="AI175" s="1">
        <v>3.2952200624999994</v>
      </c>
      <c r="AJ175" s="1">
        <v>3.2952200624999994</v>
      </c>
      <c r="AK175" s="1">
        <v>3.2952200624999994</v>
      </c>
      <c r="AL175" s="1">
        <v>3.2952200624999994</v>
      </c>
      <c r="AM175" s="1">
        <v>3.3422701562500001</v>
      </c>
      <c r="AN175" s="1">
        <v>3.3422701562500001</v>
      </c>
      <c r="AO175" s="1">
        <v>3.3422701562500001</v>
      </c>
      <c r="AP175" s="1">
        <v>3.3422701562500001</v>
      </c>
      <c r="AQ175" s="1">
        <v>3.82661565625</v>
      </c>
      <c r="AR175" s="1">
        <v>3.82661565625</v>
      </c>
      <c r="AS175" s="1">
        <v>3.82661565625</v>
      </c>
      <c r="AT175" s="1">
        <v>3.82661565625</v>
      </c>
      <c r="AU175" s="1">
        <v>3.6591939843749999</v>
      </c>
      <c r="AV175" s="1">
        <v>3.6591939843749999</v>
      </c>
      <c r="AW175" s="1">
        <v>3.6591939843749999</v>
      </c>
      <c r="AX175" s="1">
        <v>3.6591939843749999</v>
      </c>
      <c r="AY175" s="1">
        <v>3.8269196874999998</v>
      </c>
      <c r="AZ175" s="1">
        <v>3.8269196874999998</v>
      </c>
      <c r="BA175" s="1">
        <v>3.8269196874999998</v>
      </c>
      <c r="BB175" s="1">
        <v>3.8269196874999998</v>
      </c>
      <c r="BC175" s="1">
        <v>3.8591196875000007</v>
      </c>
      <c r="BD175" s="1">
        <v>3.8591196875000007</v>
      </c>
      <c r="BE175" s="1">
        <v>3.8591196875000007</v>
      </c>
      <c r="BF175" s="1">
        <v>3.8591196875000007</v>
      </c>
      <c r="BG175" s="1">
        <v>3.8269196874999998</v>
      </c>
      <c r="BH175" s="1">
        <v>3.8269196874999998</v>
      </c>
      <c r="BI175" s="1">
        <v>3.8269196874999998</v>
      </c>
      <c r="BJ175" s="1">
        <v>3.8269196874999998</v>
      </c>
      <c r="BK175" s="1">
        <v>3.3018925781249999</v>
      </c>
      <c r="BL175" s="1">
        <v>3.3018925781249999</v>
      </c>
      <c r="BM175" s="1">
        <v>3.3018925781249999</v>
      </c>
      <c r="BN175" s="1">
        <v>3.3018925781249999</v>
      </c>
      <c r="BO175" s="1">
        <v>2.8562675781250002</v>
      </c>
      <c r="BP175" s="1">
        <v>2.8562675781250002</v>
      </c>
      <c r="BQ175" s="1">
        <v>2.8562675781250002</v>
      </c>
      <c r="BR175" s="1">
        <v>2.8562675781250002</v>
      </c>
      <c r="BS175" s="1">
        <v>2.7700175781249996</v>
      </c>
      <c r="BT175" s="1">
        <v>2.7700175781249996</v>
      </c>
      <c r="BU175" s="1">
        <v>2.7700175781249996</v>
      </c>
      <c r="BV175" s="1">
        <v>2.7700175781249996</v>
      </c>
      <c r="BW175" s="1">
        <v>2.7800351562499999</v>
      </c>
      <c r="BX175" s="1">
        <v>2.7800351562499999</v>
      </c>
      <c r="BY175" s="1">
        <v>2.7800351562499999</v>
      </c>
      <c r="BZ175" s="1">
        <v>2.7800351562499999</v>
      </c>
      <c r="CA175" s="1">
        <v>2.131365078125</v>
      </c>
      <c r="CB175" s="1">
        <v>2.131365078125</v>
      </c>
      <c r="CC175" s="1">
        <v>2.131365078125</v>
      </c>
      <c r="CD175" s="1">
        <v>2.131365078125</v>
      </c>
      <c r="CE175" s="1">
        <v>1.575140625</v>
      </c>
      <c r="CF175" s="1">
        <v>1.575140625</v>
      </c>
      <c r="CG175" s="1">
        <v>1.575140625</v>
      </c>
      <c r="CH175" s="1">
        <v>1.575140625</v>
      </c>
      <c r="CI175" s="1">
        <v>1.8376640625</v>
      </c>
      <c r="CJ175" s="1">
        <v>1.8376640625</v>
      </c>
      <c r="CK175" s="1">
        <v>1.8376640625</v>
      </c>
      <c r="CL175" s="1">
        <v>1.8376640625</v>
      </c>
      <c r="CM175" s="1">
        <v>2.1001875000000001</v>
      </c>
      <c r="CN175" s="1">
        <v>2.1001875000000001</v>
      </c>
    </row>
    <row r="176" spans="1:92" x14ac:dyDescent="0.35">
      <c r="A176" t="s">
        <v>72</v>
      </c>
      <c r="B176" s="1">
        <v>1.38</v>
      </c>
      <c r="C176" s="1">
        <v>1.59</v>
      </c>
      <c r="D176" s="1">
        <v>1.59</v>
      </c>
      <c r="E176" s="1">
        <v>1.59</v>
      </c>
      <c r="F176" s="1">
        <v>1.59</v>
      </c>
      <c r="G176" s="1">
        <v>1.65</v>
      </c>
      <c r="H176" s="1">
        <v>1.65</v>
      </c>
      <c r="I176" s="1">
        <v>1.65</v>
      </c>
      <c r="J176" s="1">
        <v>1.65</v>
      </c>
      <c r="K176" s="1">
        <v>1.97</v>
      </c>
      <c r="L176" s="1">
        <v>1.97</v>
      </c>
      <c r="M176" s="1">
        <v>1.97</v>
      </c>
      <c r="N176" s="1">
        <v>1.97</v>
      </c>
      <c r="O176" s="1">
        <v>2.02</v>
      </c>
      <c r="P176" s="1">
        <v>2.02</v>
      </c>
      <c r="Q176" s="1">
        <v>2.02</v>
      </c>
      <c r="R176" s="1">
        <v>2.02</v>
      </c>
      <c r="S176" s="1">
        <v>2.2400000000000002</v>
      </c>
      <c r="T176" s="1">
        <v>2.2400000000000002</v>
      </c>
      <c r="U176" s="1">
        <v>2.2400000000000002</v>
      </c>
      <c r="V176" s="1">
        <v>2.2400000000000002</v>
      </c>
      <c r="W176" s="1">
        <v>2.48</v>
      </c>
      <c r="X176" s="1">
        <v>2.48</v>
      </c>
      <c r="Y176" s="1">
        <v>2.48</v>
      </c>
      <c r="Z176" s="1">
        <v>2.48</v>
      </c>
      <c r="AA176" s="1">
        <v>2.58</v>
      </c>
      <c r="AB176" s="1">
        <v>2.58</v>
      </c>
      <c r="AC176" s="1">
        <v>2.63</v>
      </c>
      <c r="AD176" s="1">
        <v>2.63</v>
      </c>
      <c r="AE176" s="1">
        <v>2.9636739843749997</v>
      </c>
      <c r="AF176" s="1">
        <v>2.9636739843749997</v>
      </c>
      <c r="AG176" s="1">
        <v>2.9636739843749997</v>
      </c>
      <c r="AH176" s="1">
        <v>2.9636739843749997</v>
      </c>
      <c r="AI176" s="1">
        <v>3.7378467968749995</v>
      </c>
      <c r="AJ176" s="1">
        <v>3.7378467968749995</v>
      </c>
      <c r="AK176" s="1">
        <v>3.7378467968749995</v>
      </c>
      <c r="AL176" s="1">
        <v>3.7378467968749995</v>
      </c>
      <c r="AM176" s="1">
        <v>3.4989917968749995</v>
      </c>
      <c r="AN176" s="1">
        <v>3.4989917968749995</v>
      </c>
      <c r="AO176" s="1">
        <v>3.4989917968749995</v>
      </c>
      <c r="AP176" s="1">
        <v>3.4989917968749995</v>
      </c>
      <c r="AQ176" s="1">
        <v>3.2429999999999994</v>
      </c>
      <c r="AR176" s="1">
        <v>3.2429999999999994</v>
      </c>
      <c r="AS176" s="1">
        <v>3.2429999999999994</v>
      </c>
      <c r="AT176" s="1">
        <v>3.2429999999999994</v>
      </c>
      <c r="AU176" s="1">
        <v>3.4499999999999997</v>
      </c>
      <c r="AV176" s="1">
        <v>3.4499999999999997</v>
      </c>
      <c r="AW176" s="1">
        <v>3.4499999999999997</v>
      </c>
      <c r="AX176" s="1">
        <v>3.4499999999999997</v>
      </c>
      <c r="AY176" s="1">
        <v>3.4499999999999997</v>
      </c>
      <c r="AZ176" s="1">
        <v>3.4499999999999997</v>
      </c>
      <c r="BA176" s="1">
        <v>3.4499999999999997</v>
      </c>
      <c r="BB176" s="1">
        <v>3.4499999999999997</v>
      </c>
      <c r="BC176" s="1">
        <v>3.9619799999999996</v>
      </c>
      <c r="BD176" s="1">
        <v>3.9619799999999996</v>
      </c>
      <c r="BE176" s="1">
        <v>3.9619799999999996</v>
      </c>
      <c r="BF176" s="1">
        <v>3.9619799999999996</v>
      </c>
      <c r="BG176" s="1">
        <v>3.6871299999999998</v>
      </c>
      <c r="BH176" s="1">
        <v>3.6871299999999998</v>
      </c>
      <c r="BI176" s="1">
        <v>3.6871299999999998</v>
      </c>
      <c r="BJ176" s="1">
        <v>3.6871299999999998</v>
      </c>
      <c r="BK176" s="1">
        <v>3.266</v>
      </c>
      <c r="BL176" s="1">
        <v>3.266</v>
      </c>
      <c r="BM176" s="1">
        <v>3.266</v>
      </c>
      <c r="BN176" s="1">
        <v>3.266</v>
      </c>
      <c r="BO176" s="1">
        <v>2.6552924999999994</v>
      </c>
      <c r="BP176" s="1">
        <v>2.6552924999999994</v>
      </c>
      <c r="BQ176" s="1">
        <v>2.6552924999999994</v>
      </c>
      <c r="BR176" s="1">
        <v>2.6552924999999994</v>
      </c>
      <c r="BS176" s="1">
        <v>2.8017219999999998</v>
      </c>
      <c r="BT176" s="1">
        <v>2.8017219999999998</v>
      </c>
      <c r="BU176" s="1">
        <v>2.8017219999999998</v>
      </c>
      <c r="BV176" s="1">
        <v>2.8017219999999998</v>
      </c>
      <c r="BW176" s="1">
        <v>2.74505</v>
      </c>
      <c r="BX176" s="1">
        <v>2.74505</v>
      </c>
      <c r="BY176" s="1">
        <v>2.74505</v>
      </c>
      <c r="BZ176" s="1">
        <v>2.74505</v>
      </c>
      <c r="CA176" s="1">
        <v>2.6219999999999999</v>
      </c>
      <c r="CB176" s="1">
        <v>2.6219999999999999</v>
      </c>
      <c r="CC176" s="1">
        <v>2.6219999999999999</v>
      </c>
      <c r="CD176" s="1">
        <v>2.6219999999999999</v>
      </c>
      <c r="CE176" s="1">
        <v>2.5299999999999998</v>
      </c>
      <c r="CF176" s="1">
        <v>2.5299999999999998</v>
      </c>
      <c r="CG176" s="1">
        <v>2.5299999999999998</v>
      </c>
      <c r="CH176" s="1">
        <v>2.5299999999999998</v>
      </c>
      <c r="CI176" s="1">
        <v>2.9325000000000001</v>
      </c>
      <c r="CJ176" s="1">
        <v>2.9325000000000001</v>
      </c>
      <c r="CK176" s="1">
        <v>2.9325000000000001</v>
      </c>
      <c r="CL176" s="1">
        <v>2.9325000000000001</v>
      </c>
      <c r="CM176" s="1">
        <v>3.3694999999999999</v>
      </c>
      <c r="CN176" s="1">
        <v>3.3694999999999999</v>
      </c>
    </row>
    <row r="177" spans="1:92" x14ac:dyDescent="0.35">
      <c r="A177" t="s">
        <v>73</v>
      </c>
      <c r="B177" s="1">
        <v>1.1100000000000001</v>
      </c>
      <c r="C177" s="1">
        <v>1.1499999999999999</v>
      </c>
      <c r="D177" s="1">
        <v>1.1499999999999999</v>
      </c>
      <c r="E177" s="1">
        <v>1.1499999999999999</v>
      </c>
      <c r="F177" s="1">
        <v>1.26</v>
      </c>
      <c r="G177" s="1">
        <v>1.43</v>
      </c>
      <c r="H177" s="1">
        <v>1.43</v>
      </c>
      <c r="I177" s="1">
        <v>1.43</v>
      </c>
      <c r="J177" s="1">
        <v>1.43</v>
      </c>
      <c r="K177" s="1">
        <v>1.82</v>
      </c>
      <c r="L177" s="1">
        <v>1.82</v>
      </c>
      <c r="M177" s="1">
        <v>1.82</v>
      </c>
      <c r="N177" s="1">
        <v>1.82</v>
      </c>
      <c r="O177" s="1">
        <v>1.84</v>
      </c>
      <c r="P177" s="1">
        <v>1.84</v>
      </c>
      <c r="Q177" s="1">
        <v>1.84</v>
      </c>
      <c r="R177" s="1">
        <v>1.84</v>
      </c>
      <c r="S177" s="1">
        <v>2.0499999999999998</v>
      </c>
      <c r="T177" s="1">
        <v>2.0499999999999998</v>
      </c>
      <c r="U177" s="1">
        <v>2.0499999999999998</v>
      </c>
      <c r="V177" s="1">
        <v>2.0499999999999998</v>
      </c>
      <c r="W177" s="1">
        <v>2.2599999999999998</v>
      </c>
      <c r="X177" s="1">
        <v>2.2599999999999998</v>
      </c>
      <c r="Y177" s="1">
        <v>2.2599999999999998</v>
      </c>
      <c r="Z177" s="1">
        <v>2.2599999999999998</v>
      </c>
      <c r="AA177" s="1">
        <v>2.31</v>
      </c>
      <c r="AB177" s="1">
        <v>2.31</v>
      </c>
      <c r="AC177" s="1">
        <v>2.36</v>
      </c>
      <c r="AD177" s="1">
        <v>2.36</v>
      </c>
      <c r="AE177" s="1">
        <v>2.655079513171875</v>
      </c>
      <c r="AF177" s="1">
        <v>2.655079513171875</v>
      </c>
      <c r="AG177" s="1">
        <v>2.655079513171875</v>
      </c>
      <c r="AH177" s="1">
        <v>2.655079513171875</v>
      </c>
      <c r="AI177" s="1">
        <v>3.2264333479687504</v>
      </c>
      <c r="AJ177" s="1">
        <v>3.2264333479687504</v>
      </c>
      <c r="AK177" s="1">
        <v>3.2264333479687504</v>
      </c>
      <c r="AL177" s="1">
        <v>3.2264333479687504</v>
      </c>
      <c r="AM177" s="1">
        <v>3.2667983479687495</v>
      </c>
      <c r="AN177" s="1">
        <v>3.2667983479687495</v>
      </c>
      <c r="AO177" s="1">
        <v>3.2667983479687495</v>
      </c>
      <c r="AP177" s="1">
        <v>3.2667983479687495</v>
      </c>
      <c r="AQ177" s="1">
        <v>3.2395499999999995</v>
      </c>
      <c r="AR177" s="1">
        <v>3.2395499999999995</v>
      </c>
      <c r="AS177" s="1">
        <v>3.2429999999999994</v>
      </c>
      <c r="AT177" s="1">
        <v>3.2429999999999994</v>
      </c>
      <c r="AU177" s="1">
        <v>3.4499999999999997</v>
      </c>
      <c r="AV177" s="1">
        <v>3.4499999999999997</v>
      </c>
      <c r="AW177" s="1">
        <v>3.4499999999999997</v>
      </c>
      <c r="AX177" s="1">
        <v>3.4499999999999997</v>
      </c>
      <c r="AY177" s="1">
        <v>3.4499999999999997</v>
      </c>
      <c r="AZ177" s="1">
        <v>3.4499999999999997</v>
      </c>
      <c r="BA177" s="1">
        <v>3.4499999999999997</v>
      </c>
      <c r="BB177" s="1">
        <v>3.4499999999999997</v>
      </c>
      <c r="BC177" s="1">
        <v>3.5994999999999995</v>
      </c>
      <c r="BD177" s="1">
        <v>3.5994999999999995</v>
      </c>
      <c r="BE177" s="1">
        <v>3.5994999999999995</v>
      </c>
      <c r="BF177" s="1">
        <v>3.5994999999999995</v>
      </c>
      <c r="BG177" s="1">
        <v>3.4384999999999999</v>
      </c>
      <c r="BH177" s="1">
        <v>3.4384999999999999</v>
      </c>
      <c r="BI177" s="1">
        <v>3.4384999999999999</v>
      </c>
      <c r="BJ177" s="1">
        <v>3.4384999999999999</v>
      </c>
      <c r="BK177" s="1">
        <v>3.266</v>
      </c>
      <c r="BL177" s="1">
        <v>3.266</v>
      </c>
      <c r="BM177" s="1">
        <v>3.266</v>
      </c>
      <c r="BN177" s="1">
        <v>3.266</v>
      </c>
      <c r="BO177" s="1">
        <v>2.6552924999999994</v>
      </c>
      <c r="BP177" s="1">
        <v>2.6552924999999994</v>
      </c>
      <c r="BQ177" s="1">
        <v>2.6552924999999994</v>
      </c>
      <c r="BR177" s="1">
        <v>2.6552924999999994</v>
      </c>
      <c r="BS177" s="1">
        <v>2.8017219999999998</v>
      </c>
      <c r="BT177" s="1">
        <v>2.8017219999999998</v>
      </c>
      <c r="BU177" s="1">
        <v>2.8017219999999998</v>
      </c>
      <c r="BV177" s="1">
        <v>2.8017219999999998</v>
      </c>
      <c r="BW177" s="1">
        <v>2.74505</v>
      </c>
      <c r="BX177" s="1">
        <v>2.74505</v>
      </c>
      <c r="BY177" s="1">
        <v>2.74505</v>
      </c>
      <c r="BZ177" s="1">
        <v>2.74505</v>
      </c>
      <c r="CA177" s="1">
        <v>2.5760000000000001</v>
      </c>
      <c r="CB177" s="1">
        <v>2.5760000000000001</v>
      </c>
      <c r="CC177" s="1">
        <v>2.5760000000000001</v>
      </c>
      <c r="CD177" s="1">
        <v>2.5760000000000001</v>
      </c>
      <c r="CE177" s="1">
        <v>2.5644999999999998</v>
      </c>
      <c r="CF177" s="1">
        <v>2.5644999999999998</v>
      </c>
      <c r="CG177" s="1">
        <v>2.5644999999999998</v>
      </c>
      <c r="CH177" s="1">
        <v>2.5644999999999998</v>
      </c>
      <c r="CI177" s="1">
        <v>2.99</v>
      </c>
      <c r="CJ177" s="1">
        <v>2.99</v>
      </c>
      <c r="CK177" s="1">
        <v>2.99</v>
      </c>
      <c r="CL177" s="1">
        <v>2.99</v>
      </c>
      <c r="CM177" s="1">
        <v>3.5305</v>
      </c>
      <c r="CN177" s="1">
        <v>3.5305</v>
      </c>
    </row>
    <row r="178" spans="1:92" x14ac:dyDescent="0.35">
      <c r="A178" t="s">
        <v>82</v>
      </c>
      <c r="B178" s="1">
        <v>1.08</v>
      </c>
      <c r="C178" s="1">
        <v>1.08</v>
      </c>
      <c r="D178" s="1">
        <v>1.22</v>
      </c>
      <c r="E178" s="1">
        <v>1.22</v>
      </c>
      <c r="F178" s="1">
        <v>1.1100000000000001</v>
      </c>
      <c r="G178" s="1">
        <v>1.19</v>
      </c>
      <c r="H178" s="1">
        <v>1.19</v>
      </c>
      <c r="I178" s="1">
        <v>1.19</v>
      </c>
      <c r="J178" s="1">
        <v>1.19</v>
      </c>
      <c r="K178" s="1">
        <v>1.23</v>
      </c>
      <c r="L178" s="1">
        <v>1.23</v>
      </c>
      <c r="M178" s="1">
        <v>1.23</v>
      </c>
      <c r="N178" s="1">
        <v>1.23</v>
      </c>
      <c r="O178" s="1">
        <v>1.08</v>
      </c>
      <c r="P178" s="1">
        <v>1.08</v>
      </c>
      <c r="Q178" s="1">
        <v>1.08</v>
      </c>
      <c r="R178" s="1">
        <v>1.08</v>
      </c>
      <c r="S178" s="1">
        <v>1.64</v>
      </c>
      <c r="T178" s="1">
        <v>1.64</v>
      </c>
      <c r="U178" s="1">
        <v>1.64</v>
      </c>
      <c r="V178" s="1">
        <v>1.64</v>
      </c>
      <c r="W178" s="1">
        <v>1.7</v>
      </c>
      <c r="X178" s="1">
        <v>1.7</v>
      </c>
      <c r="Y178" s="1">
        <v>1.7</v>
      </c>
      <c r="Z178" s="1">
        <v>1.7</v>
      </c>
      <c r="AA178" s="1">
        <v>1.75</v>
      </c>
      <c r="AB178" s="1">
        <v>1.75</v>
      </c>
      <c r="AC178" s="1">
        <v>1.78</v>
      </c>
      <c r="AD178" s="1">
        <v>1.78</v>
      </c>
      <c r="AE178" s="1">
        <v>1.7272999999999998</v>
      </c>
      <c r="AF178" s="1">
        <v>1.7272999999999998</v>
      </c>
      <c r="AG178" s="1">
        <v>1.7272999999999998</v>
      </c>
      <c r="AH178" s="1">
        <v>1.7272999999999998</v>
      </c>
      <c r="AI178" s="1">
        <v>1.9986999999999999</v>
      </c>
      <c r="AJ178" s="1">
        <v>1.9986999999999999</v>
      </c>
      <c r="AK178" s="1">
        <v>1.9986999999999999</v>
      </c>
      <c r="AL178" s="1">
        <v>1.9986999999999999</v>
      </c>
      <c r="AM178" s="1">
        <v>2.1642999999999999</v>
      </c>
      <c r="AN178" s="1">
        <v>2.1642999999999999</v>
      </c>
      <c r="AO178" s="1">
        <v>2.1642999999999999</v>
      </c>
      <c r="AP178" s="1">
        <v>2.1642999999999999</v>
      </c>
      <c r="AQ178" s="1">
        <v>2.3367999999999998</v>
      </c>
      <c r="AR178" s="1">
        <v>2.3367999999999998</v>
      </c>
      <c r="AS178" s="1">
        <v>2.3367999999999998</v>
      </c>
      <c r="AT178" s="1">
        <v>2.3367999999999998</v>
      </c>
      <c r="AU178" s="1">
        <v>2.3367999999999998</v>
      </c>
      <c r="AV178" s="1">
        <v>2.3367999999999998</v>
      </c>
      <c r="AW178" s="1">
        <v>2.3367999999999998</v>
      </c>
      <c r="AX178" s="1">
        <v>2.3367999999999998</v>
      </c>
      <c r="AY178" s="1">
        <v>2.7392999999999996</v>
      </c>
      <c r="AZ178" s="1">
        <v>2.7392999999999996</v>
      </c>
      <c r="BA178" s="1">
        <v>2.7392999999999996</v>
      </c>
      <c r="BB178" s="1">
        <v>2.7392999999999996</v>
      </c>
      <c r="BC178" s="1">
        <v>2.5254000000000003</v>
      </c>
      <c r="BD178" s="1">
        <v>2.5254000000000003</v>
      </c>
      <c r="BE178" s="1">
        <v>2.5254000000000003</v>
      </c>
      <c r="BF178" s="1">
        <v>2.5254000000000003</v>
      </c>
      <c r="BG178" s="1">
        <v>2.2884999999999995</v>
      </c>
      <c r="BH178" s="1">
        <v>2.2884999999999995</v>
      </c>
      <c r="BI178" s="1">
        <v>2.2884999999999995</v>
      </c>
      <c r="BJ178" s="1">
        <v>2.2884999999999995</v>
      </c>
      <c r="BK178" s="1">
        <v>2.2332999999999998</v>
      </c>
      <c r="BL178" s="1">
        <v>2.2332999999999998</v>
      </c>
      <c r="BM178" s="1">
        <v>2.2332999999999998</v>
      </c>
      <c r="BN178" s="1">
        <v>2.2332999999999998</v>
      </c>
      <c r="BO178" s="1">
        <v>1.9641999999999997</v>
      </c>
      <c r="BP178" s="1">
        <v>1.9641999999999997</v>
      </c>
      <c r="BQ178" s="1">
        <v>1.9641999999999997</v>
      </c>
      <c r="BR178" s="1">
        <v>1.9641999999999997</v>
      </c>
      <c r="BS178" s="1">
        <v>2.024</v>
      </c>
      <c r="BT178" s="1">
        <v>2.024</v>
      </c>
      <c r="BU178" s="1">
        <v>2.024</v>
      </c>
      <c r="BV178" s="1">
        <v>2.024</v>
      </c>
      <c r="BW178" s="1">
        <v>2.4402999999999997</v>
      </c>
      <c r="BX178" s="1">
        <v>2.4402999999999997</v>
      </c>
      <c r="BY178" s="1">
        <v>2.4402999999999997</v>
      </c>
      <c r="BZ178" s="1">
        <v>2.4402999999999997</v>
      </c>
      <c r="CA178" s="1">
        <v>1.9077421875</v>
      </c>
      <c r="CB178" s="1">
        <v>1.9077421875</v>
      </c>
      <c r="CC178" s="1">
        <v>1.9077421875</v>
      </c>
      <c r="CD178" s="1">
        <v>1.9077421875</v>
      </c>
      <c r="CE178" s="1">
        <v>1.9061246406250001</v>
      </c>
      <c r="CF178" s="1">
        <v>1.9061246406250001</v>
      </c>
      <c r="CG178" s="1">
        <v>1.9061246406250001</v>
      </c>
      <c r="CH178" s="1">
        <v>1.9061246406250001</v>
      </c>
      <c r="CI178" s="1">
        <v>3.8592691874999998</v>
      </c>
      <c r="CJ178" s="1">
        <v>3.8592691874999998</v>
      </c>
      <c r="CK178" s="1">
        <v>3.8592691874999998</v>
      </c>
      <c r="CL178" s="1">
        <v>3.8592691874999998</v>
      </c>
      <c r="CM178" s="1">
        <v>4.7299830624999997</v>
      </c>
      <c r="CN178" s="1">
        <v>4.7299830624999997</v>
      </c>
    </row>
    <row r="179" spans="1:92" x14ac:dyDescent="0.35">
      <c r="A179" t="s">
        <v>76</v>
      </c>
      <c r="B179" s="1">
        <v>1.31</v>
      </c>
      <c r="C179" s="1">
        <v>1.31</v>
      </c>
      <c r="D179" s="1">
        <v>1.31</v>
      </c>
      <c r="E179" s="1">
        <v>1.31</v>
      </c>
      <c r="F179" s="1">
        <v>1.31</v>
      </c>
      <c r="G179" s="1">
        <v>1.6</v>
      </c>
      <c r="H179" s="1">
        <v>1.6</v>
      </c>
      <c r="I179" s="1">
        <v>1.6</v>
      </c>
      <c r="J179" s="1">
        <v>1.6</v>
      </c>
      <c r="K179" s="1">
        <v>1.64</v>
      </c>
      <c r="L179" s="1">
        <v>1.64</v>
      </c>
      <c r="M179" s="1">
        <v>1.64</v>
      </c>
      <c r="N179" s="1">
        <v>1.64</v>
      </c>
      <c r="O179" s="1">
        <v>1.64</v>
      </c>
      <c r="P179" s="1">
        <v>1.64</v>
      </c>
      <c r="Q179" s="1">
        <v>1.64</v>
      </c>
      <c r="R179" s="1">
        <v>1.64</v>
      </c>
      <c r="S179" s="1">
        <v>2.09</v>
      </c>
      <c r="T179" s="1">
        <v>2.09</v>
      </c>
      <c r="U179" s="1">
        <v>2.09</v>
      </c>
      <c r="V179" s="1">
        <v>2.09</v>
      </c>
      <c r="W179" s="1">
        <v>2.25</v>
      </c>
      <c r="X179" s="1">
        <v>2.25</v>
      </c>
      <c r="Y179" s="1">
        <v>2.25</v>
      </c>
      <c r="Z179" s="1">
        <v>2.25</v>
      </c>
      <c r="AA179" s="1">
        <v>2.12</v>
      </c>
      <c r="AB179" s="1">
        <v>2.12</v>
      </c>
      <c r="AC179" s="1">
        <v>2.16</v>
      </c>
      <c r="AD179" s="1">
        <v>2.16</v>
      </c>
      <c r="AE179" s="1">
        <v>2.2654999999999998</v>
      </c>
      <c r="AF179" s="1">
        <v>2.2654999999999998</v>
      </c>
      <c r="AG179" s="1">
        <v>2.2654999999999998</v>
      </c>
      <c r="AH179" s="1">
        <v>2.2654999999999998</v>
      </c>
      <c r="AI179" s="1">
        <v>2.5851999999999995</v>
      </c>
      <c r="AJ179" s="1">
        <v>2.5851999999999995</v>
      </c>
      <c r="AK179" s="1">
        <v>2.5851999999999995</v>
      </c>
      <c r="AL179" s="1">
        <v>2.5851999999999995</v>
      </c>
      <c r="AM179" s="1">
        <v>2.6062248749999997</v>
      </c>
      <c r="AN179" s="1">
        <v>2.6062248749999997</v>
      </c>
      <c r="AO179" s="1">
        <v>2.6062248749999997</v>
      </c>
      <c r="AP179" s="1">
        <v>2.6062248749999997</v>
      </c>
      <c r="AQ179" s="1">
        <v>3.2426082812499999</v>
      </c>
      <c r="AR179" s="1">
        <v>3.2426082812499999</v>
      </c>
      <c r="AS179" s="1">
        <v>3.2426082812499999</v>
      </c>
      <c r="AT179" s="1">
        <v>3.2426082812499999</v>
      </c>
      <c r="AU179" s="1">
        <v>3.2932675781249996</v>
      </c>
      <c r="AV179" s="1">
        <v>3.2932675781249996</v>
      </c>
      <c r="AW179" s="1">
        <v>3.2932675781249996</v>
      </c>
      <c r="AX179" s="1">
        <v>3.2932675781249996</v>
      </c>
      <c r="AY179" s="1">
        <v>3.5565582812500001</v>
      </c>
      <c r="AZ179" s="1">
        <v>3.5565582812500001</v>
      </c>
      <c r="BA179" s="1">
        <v>3.5565582812500001</v>
      </c>
      <c r="BB179" s="1">
        <v>3.5565582812500001</v>
      </c>
      <c r="BC179" s="1">
        <v>3.60738828125</v>
      </c>
      <c r="BD179" s="1">
        <v>3.60738828125</v>
      </c>
      <c r="BE179" s="1">
        <v>3.60738828125</v>
      </c>
      <c r="BF179" s="1">
        <v>3.60738828125</v>
      </c>
      <c r="BG179" s="1">
        <v>3.1840175781250002</v>
      </c>
      <c r="BH179" s="1">
        <v>3.1840175781250002</v>
      </c>
      <c r="BI179" s="1">
        <v>3.1840175781250002</v>
      </c>
      <c r="BJ179" s="1">
        <v>3.1840175781250002</v>
      </c>
      <c r="BK179" s="1">
        <v>2.8740661281249995</v>
      </c>
      <c r="BL179" s="1">
        <v>2.8740661281249995</v>
      </c>
      <c r="BM179" s="1">
        <v>2.8740661281249995</v>
      </c>
      <c r="BN179" s="1">
        <v>2.8740661281249995</v>
      </c>
      <c r="BO179" s="1">
        <v>2.6543305106249995</v>
      </c>
      <c r="BP179" s="1">
        <v>2.6543305106249995</v>
      </c>
      <c r="BQ179" s="1">
        <v>2.6543305106249995</v>
      </c>
      <c r="BR179" s="1">
        <v>2.6543305106249995</v>
      </c>
      <c r="BS179" s="1">
        <v>2.6543305106249995</v>
      </c>
      <c r="BT179" s="1">
        <v>2.6543305106249995</v>
      </c>
      <c r="BU179" s="1">
        <v>2.6543305106249995</v>
      </c>
      <c r="BV179" s="1">
        <v>2.6543305106249995</v>
      </c>
      <c r="BW179" s="1">
        <v>2.6068962162499996</v>
      </c>
      <c r="BX179" s="1">
        <v>2.6068962162499996</v>
      </c>
      <c r="BY179" s="1">
        <v>2.6068962162499996</v>
      </c>
      <c r="BZ179" s="1">
        <v>2.6068962162499996</v>
      </c>
      <c r="CA179" s="1">
        <v>2.084401824325</v>
      </c>
      <c r="CB179" s="1">
        <v>2.084401824325</v>
      </c>
      <c r="CC179" s="1">
        <v>2.084401824325</v>
      </c>
      <c r="CD179" s="1">
        <v>2.084401824325</v>
      </c>
      <c r="CE179" s="1">
        <v>2.1180994234399999</v>
      </c>
      <c r="CF179" s="1">
        <v>2.1180994234399999</v>
      </c>
      <c r="CG179" s="1">
        <v>2.1180994234399999</v>
      </c>
      <c r="CH179" s="1">
        <v>2.1180994234399999</v>
      </c>
      <c r="CI179" s="1">
        <v>2.3547874753350002</v>
      </c>
      <c r="CJ179" s="1">
        <v>2.3547874753350002</v>
      </c>
      <c r="CK179" s="1">
        <v>2.3547874753350002</v>
      </c>
      <c r="CL179" s="1">
        <v>2.3547874753350002</v>
      </c>
      <c r="CM179" s="1">
        <v>2.1259147968750001</v>
      </c>
      <c r="CN179" s="1">
        <v>2.1259147968750001</v>
      </c>
    </row>
    <row r="180" spans="1:92" x14ac:dyDescent="0.35">
      <c r="A180" t="s">
        <v>75</v>
      </c>
      <c r="B180" s="1">
        <v>1.59</v>
      </c>
      <c r="C180" s="1">
        <v>1.65</v>
      </c>
      <c r="D180" s="1">
        <v>1.65</v>
      </c>
      <c r="E180" s="1">
        <v>1.65</v>
      </c>
      <c r="F180" s="1">
        <v>1.65</v>
      </c>
      <c r="G180" s="1">
        <v>1.78</v>
      </c>
      <c r="H180" s="1">
        <v>1.78</v>
      </c>
      <c r="I180" s="1">
        <v>1.78</v>
      </c>
      <c r="J180" s="1">
        <v>1.78</v>
      </c>
      <c r="K180" s="1">
        <v>2.11</v>
      </c>
      <c r="L180" s="1">
        <v>2.11</v>
      </c>
      <c r="M180" s="1">
        <v>2.11</v>
      </c>
      <c r="N180" s="1">
        <v>2.11</v>
      </c>
      <c r="O180" s="1">
        <v>2.0499999999999998</v>
      </c>
      <c r="P180" s="1">
        <v>2.0499999999999998</v>
      </c>
      <c r="Q180" s="1">
        <v>2.0499999999999998</v>
      </c>
      <c r="R180" s="1">
        <v>2.0499999999999998</v>
      </c>
      <c r="S180" s="1">
        <v>2.42</v>
      </c>
      <c r="T180" s="1">
        <v>2.42</v>
      </c>
      <c r="U180" s="1">
        <v>2.42</v>
      </c>
      <c r="V180" s="1">
        <v>2.42</v>
      </c>
      <c r="W180" s="1">
        <v>2.5499999999999998</v>
      </c>
      <c r="X180" s="1">
        <v>2.5499999999999998</v>
      </c>
      <c r="Y180" s="1">
        <v>2.5499999999999998</v>
      </c>
      <c r="Z180" s="1">
        <v>2.5499999999999998</v>
      </c>
      <c r="AA180" s="1">
        <v>2.71</v>
      </c>
      <c r="AB180" s="1">
        <v>2.71</v>
      </c>
      <c r="AC180" s="1">
        <v>2.77</v>
      </c>
      <c r="AD180" s="1">
        <v>2.77</v>
      </c>
      <c r="AE180" s="1">
        <v>3.0378382031250002</v>
      </c>
      <c r="AF180" s="1">
        <v>3.0378382031250002</v>
      </c>
      <c r="AG180" s="1">
        <v>3.0378382031250002</v>
      </c>
      <c r="AH180" s="1">
        <v>3.0378382031250002</v>
      </c>
      <c r="AI180" s="1">
        <v>3.46272475</v>
      </c>
      <c r="AJ180" s="1">
        <v>3.46272475</v>
      </c>
      <c r="AK180" s="1">
        <v>3.46272475</v>
      </c>
      <c r="AL180" s="1">
        <v>3.46272475</v>
      </c>
      <c r="AM180" s="1">
        <v>3.6640002656249999</v>
      </c>
      <c r="AN180" s="1">
        <v>3.6640002656249999</v>
      </c>
      <c r="AO180" s="1">
        <v>3.6640002656249999</v>
      </c>
      <c r="AP180" s="1">
        <v>3.6640002656249999</v>
      </c>
      <c r="AQ180" s="1">
        <v>4.3383509218749996</v>
      </c>
      <c r="AR180" s="1">
        <v>4.3383509218749996</v>
      </c>
      <c r="AS180" s="1">
        <v>4.3383509218749996</v>
      </c>
      <c r="AT180" s="1">
        <v>4.3383509218749996</v>
      </c>
      <c r="AU180" s="1">
        <v>5.6349999999999998</v>
      </c>
      <c r="AV180" s="1">
        <v>5.6349999999999998</v>
      </c>
      <c r="AW180" s="1">
        <v>5.6349999999999998</v>
      </c>
      <c r="AX180" s="1">
        <v>5.6349999999999998</v>
      </c>
      <c r="AY180" s="1">
        <v>6.042675</v>
      </c>
      <c r="AZ180" s="1">
        <v>6.042675</v>
      </c>
      <c r="BA180" s="1">
        <v>6.042675</v>
      </c>
      <c r="BB180" s="1">
        <v>6.042675</v>
      </c>
      <c r="BC180" s="1">
        <v>6.4629999999999992</v>
      </c>
      <c r="BD180" s="1">
        <v>6.4629999999999992</v>
      </c>
      <c r="BE180" s="1">
        <v>6.4629999999999992</v>
      </c>
      <c r="BF180" s="1">
        <v>6.4629999999999992</v>
      </c>
      <c r="BG180" s="1">
        <v>6.4629999999999992</v>
      </c>
      <c r="BH180" s="1">
        <v>4.1675281249999996</v>
      </c>
      <c r="BI180" s="1">
        <v>4.1675281249999996</v>
      </c>
      <c r="BJ180" s="1">
        <v>4.1675281249999996</v>
      </c>
      <c r="BK180" s="1">
        <v>4.0996230328124996</v>
      </c>
      <c r="BL180" s="1">
        <v>4.0996230328124996</v>
      </c>
      <c r="BM180" s="1">
        <v>4.0996230328124996</v>
      </c>
      <c r="BN180" s="1">
        <v>4.0996230328124996</v>
      </c>
      <c r="BO180" s="1">
        <v>3.5206255896875001</v>
      </c>
      <c r="BP180" s="1">
        <v>3.5206255896875001</v>
      </c>
      <c r="BQ180" s="1">
        <v>3.5206255896875001</v>
      </c>
      <c r="BR180" s="1">
        <v>3.5206255896875001</v>
      </c>
      <c r="BS180" s="1">
        <v>3.5740804575</v>
      </c>
      <c r="BT180" s="1">
        <v>3.5740804575</v>
      </c>
      <c r="BU180" s="1">
        <v>3.5740804575</v>
      </c>
      <c r="BV180" s="1">
        <v>3.5740804575</v>
      </c>
      <c r="BW180" s="1">
        <v>3.4593617187499994</v>
      </c>
      <c r="BX180" s="1">
        <v>3.4593617187499994</v>
      </c>
      <c r="BY180" s="1">
        <v>3.4593617187499994</v>
      </c>
      <c r="BZ180" s="1">
        <v>3.4593617187499994</v>
      </c>
      <c r="CA180" s="1">
        <v>2.45645533936356</v>
      </c>
      <c r="CB180" s="1">
        <v>2.45645533936356</v>
      </c>
      <c r="CC180" s="1">
        <v>2.45645533936356</v>
      </c>
      <c r="CD180" s="1">
        <v>2.45645533936356</v>
      </c>
      <c r="CE180" s="1">
        <v>2.7774343593749999</v>
      </c>
      <c r="CF180" s="1">
        <v>2.7774343593749999</v>
      </c>
      <c r="CG180" s="1">
        <v>2.7774343593749999</v>
      </c>
      <c r="CH180" s="1">
        <v>2.7774343593749999</v>
      </c>
      <c r="CI180" s="1">
        <v>3.1065366874999998</v>
      </c>
      <c r="CJ180" s="1">
        <v>3.1065366874999998</v>
      </c>
      <c r="CK180" s="1">
        <v>3.1065366874999998</v>
      </c>
      <c r="CL180" s="1">
        <v>3.1065366874999998</v>
      </c>
      <c r="CM180" s="1">
        <v>3.4126390156249999</v>
      </c>
      <c r="CN180" s="1">
        <v>3.4126390156249999</v>
      </c>
    </row>
    <row r="181" spans="1:92" x14ac:dyDescent="0.35">
      <c r="A181" t="s">
        <v>77</v>
      </c>
      <c r="B181" s="1">
        <v>2.19</v>
      </c>
      <c r="C181" s="1">
        <v>2.19</v>
      </c>
      <c r="D181" s="1">
        <v>2.19</v>
      </c>
      <c r="E181" s="1">
        <v>2.19</v>
      </c>
      <c r="F181" s="1">
        <v>2.19</v>
      </c>
      <c r="G181" s="1">
        <v>1.2</v>
      </c>
      <c r="H181" s="1">
        <v>1.25</v>
      </c>
      <c r="I181" s="1">
        <v>1.25</v>
      </c>
      <c r="J181" s="1">
        <v>1.25</v>
      </c>
      <c r="K181" s="1">
        <v>1.46</v>
      </c>
      <c r="L181" s="1">
        <v>1.46</v>
      </c>
      <c r="M181" s="1">
        <v>1.46</v>
      </c>
      <c r="N181" s="1">
        <v>1.46</v>
      </c>
      <c r="O181" s="1">
        <v>1.39</v>
      </c>
      <c r="P181" s="1">
        <v>1.39</v>
      </c>
      <c r="Q181" s="1">
        <v>1.39</v>
      </c>
      <c r="R181" s="1">
        <v>1.39</v>
      </c>
      <c r="S181" s="1">
        <v>1.39</v>
      </c>
      <c r="T181" s="1">
        <v>1.39</v>
      </c>
      <c r="U181" s="1">
        <v>1.39</v>
      </c>
      <c r="V181" s="1">
        <v>1.39</v>
      </c>
      <c r="W181" s="1">
        <v>1.39</v>
      </c>
      <c r="X181" s="1">
        <v>1.39</v>
      </c>
      <c r="Y181" s="1">
        <v>1.39</v>
      </c>
      <c r="Z181" s="1">
        <v>1.39</v>
      </c>
      <c r="AA181" s="1">
        <v>1.39</v>
      </c>
      <c r="AB181" s="1">
        <v>1.39</v>
      </c>
      <c r="AC181" s="1">
        <v>1.42</v>
      </c>
      <c r="AD181" s="1">
        <v>1.42</v>
      </c>
      <c r="AE181" s="1">
        <v>1.48994</v>
      </c>
      <c r="AF181" s="1">
        <v>1.48994</v>
      </c>
      <c r="AG181" s="1">
        <v>1.48994</v>
      </c>
      <c r="AH181" s="1">
        <v>1.48994</v>
      </c>
      <c r="AI181" s="1">
        <v>1.48994</v>
      </c>
      <c r="AJ181" s="1">
        <v>1.48994</v>
      </c>
      <c r="AK181" s="1">
        <v>1.48994</v>
      </c>
      <c r="AL181" s="1">
        <v>1.48994</v>
      </c>
      <c r="AM181" s="1">
        <v>2.0203199999999999</v>
      </c>
      <c r="AN181" s="1">
        <v>2.0203199999999999</v>
      </c>
      <c r="AO181" s="1">
        <v>2.0203199999999999</v>
      </c>
      <c r="AP181" s="1">
        <v>2.0203199999999999</v>
      </c>
      <c r="AQ181" s="1">
        <v>2.1038099999999993</v>
      </c>
      <c r="AR181" s="1">
        <v>2.1038099999999993</v>
      </c>
      <c r="AS181" s="1">
        <v>2.1038099999999993</v>
      </c>
      <c r="AT181" s="1">
        <v>2.1038099999999993</v>
      </c>
      <c r="AU181" s="1">
        <v>2.1249699999999998</v>
      </c>
      <c r="AV181" s="1">
        <v>2.1249699999999998</v>
      </c>
      <c r="AW181" s="1">
        <v>2.1249699999999998</v>
      </c>
      <c r="AX181" s="1">
        <v>2.1249699999999998</v>
      </c>
      <c r="AY181" s="1">
        <v>2.3798099999999995</v>
      </c>
      <c r="AZ181" s="1">
        <v>2.3798099999999995</v>
      </c>
      <c r="BA181" s="1">
        <v>2.3798099999999995</v>
      </c>
      <c r="BB181" s="1">
        <v>2.3798099999999995</v>
      </c>
      <c r="BC181" s="1">
        <v>2.6252199999999997</v>
      </c>
      <c r="BD181" s="1">
        <v>2.6252199999999997</v>
      </c>
      <c r="BE181" s="1">
        <v>2.6252199999999997</v>
      </c>
      <c r="BF181" s="1">
        <v>2.6252199999999997</v>
      </c>
      <c r="BG181" s="1">
        <v>2.1902900000000001</v>
      </c>
      <c r="BH181" s="1">
        <v>2.1902900000000001</v>
      </c>
      <c r="BI181" s="1">
        <v>2.1902900000000001</v>
      </c>
      <c r="BJ181" s="1">
        <v>2.1902900000000001</v>
      </c>
      <c r="BK181" s="1">
        <v>1.7279899999999997</v>
      </c>
      <c r="BL181" s="1">
        <v>1.7279899999999997</v>
      </c>
      <c r="BM181" s="1">
        <v>1.7279899999999997</v>
      </c>
      <c r="BN181" s="1">
        <v>1.7279899999999997</v>
      </c>
      <c r="BO181" s="1">
        <v>1.85242</v>
      </c>
      <c r="BP181" s="1">
        <v>1.85242</v>
      </c>
      <c r="BQ181" s="1">
        <v>1.85242</v>
      </c>
      <c r="BR181" s="1">
        <v>1.85242</v>
      </c>
      <c r="BS181" s="1">
        <v>1.7641000000000002</v>
      </c>
      <c r="BT181" s="1">
        <v>1.7641000000000002</v>
      </c>
      <c r="BU181" s="1">
        <v>1.7641000000000002</v>
      </c>
      <c r="BV181" s="1">
        <v>1.7641000000000002</v>
      </c>
      <c r="BW181" s="1">
        <v>1.79745</v>
      </c>
      <c r="BX181" s="1">
        <v>1.79745</v>
      </c>
      <c r="BY181" s="1">
        <v>1.79745</v>
      </c>
      <c r="BZ181" s="1">
        <v>1.79745</v>
      </c>
      <c r="CA181" s="1">
        <v>1.79745</v>
      </c>
      <c r="CB181" s="1">
        <v>1.79745</v>
      </c>
      <c r="CC181" s="1">
        <v>1.79745</v>
      </c>
      <c r="CD181" s="1">
        <v>1.79745</v>
      </c>
      <c r="CE181" s="1">
        <v>1.5427459875</v>
      </c>
      <c r="CF181" s="1">
        <v>1.5427459875</v>
      </c>
      <c r="CG181" s="1">
        <v>1.5427459875</v>
      </c>
      <c r="CH181" s="1">
        <v>1.5427459875</v>
      </c>
      <c r="CI181" s="1">
        <v>0.95180497500000005</v>
      </c>
      <c r="CJ181" s="1">
        <v>0.95180497500000005</v>
      </c>
      <c r="CK181" s="1">
        <v>0.95180497500000005</v>
      </c>
      <c r="CL181" s="1">
        <v>0.95180497500000005</v>
      </c>
      <c r="CM181" s="1">
        <v>1.5474181499999999</v>
      </c>
      <c r="CN181" s="1">
        <v>1.5474181499999999</v>
      </c>
    </row>
    <row r="182" spans="1:92" x14ac:dyDescent="0.35">
      <c r="A182" s="37" t="s">
        <v>131</v>
      </c>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T182"/>
      <c r="AV182"/>
      <c r="AW182"/>
      <c r="AX182"/>
      <c r="AY182"/>
      <c r="AZ182"/>
      <c r="BA182"/>
    </row>
    <row r="183" spans="1:92" x14ac:dyDescent="0.35">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T183"/>
      <c r="AV183"/>
      <c r="AW183"/>
      <c r="AX183"/>
      <c r="AY183"/>
      <c r="AZ183"/>
      <c r="BA183"/>
    </row>
    <row r="184" spans="1:92" ht="18.5" x14ac:dyDescent="0.45">
      <c r="A184" s="74" t="s">
        <v>124</v>
      </c>
      <c r="B184" s="18">
        <v>38032</v>
      </c>
      <c r="C184" s="18">
        <v>38122</v>
      </c>
      <c r="D184" s="18">
        <v>38214</v>
      </c>
      <c r="E184" s="18">
        <v>38306</v>
      </c>
      <c r="F184" s="18">
        <v>38398</v>
      </c>
      <c r="G184" s="18">
        <v>38487</v>
      </c>
      <c r="H184" s="18">
        <v>38579</v>
      </c>
      <c r="I184" s="18">
        <v>38671</v>
      </c>
      <c r="J184" s="18">
        <v>38763</v>
      </c>
      <c r="K184" s="18">
        <v>38852</v>
      </c>
      <c r="L184" s="18">
        <v>38944</v>
      </c>
      <c r="M184" s="18">
        <v>39036</v>
      </c>
      <c r="N184" s="18">
        <v>39128</v>
      </c>
      <c r="O184" s="18">
        <v>39217</v>
      </c>
      <c r="P184" s="18">
        <v>39309</v>
      </c>
      <c r="Q184" s="18">
        <v>39401</v>
      </c>
      <c r="R184" s="18">
        <v>39493</v>
      </c>
      <c r="S184" s="18">
        <v>39583</v>
      </c>
      <c r="T184" s="18">
        <v>39675</v>
      </c>
      <c r="U184" s="18">
        <v>39767</v>
      </c>
      <c r="V184" s="18">
        <v>39859</v>
      </c>
      <c r="W184" s="18">
        <v>39948</v>
      </c>
      <c r="X184" s="18">
        <v>40040</v>
      </c>
      <c r="Y184" s="18">
        <v>40132</v>
      </c>
      <c r="Z184" s="18">
        <v>40224</v>
      </c>
      <c r="AA184" s="18">
        <v>40313</v>
      </c>
      <c r="AB184" s="18">
        <v>40405</v>
      </c>
      <c r="AC184" s="18">
        <v>40497</v>
      </c>
      <c r="AD184" s="18">
        <v>40589</v>
      </c>
      <c r="AE184" s="18">
        <v>40678</v>
      </c>
      <c r="AF184" s="18">
        <v>40770</v>
      </c>
      <c r="AG184" s="18">
        <v>40862</v>
      </c>
      <c r="AH184" s="18">
        <v>40954</v>
      </c>
      <c r="AI184" s="18">
        <v>41044</v>
      </c>
      <c r="AJ184" s="18">
        <v>41136</v>
      </c>
      <c r="AK184" s="18">
        <v>41228</v>
      </c>
      <c r="AL184" s="18">
        <v>41320</v>
      </c>
      <c r="AM184" s="18">
        <v>41409</v>
      </c>
      <c r="AN184" s="18">
        <v>41501</v>
      </c>
      <c r="AO184" s="18">
        <v>41593</v>
      </c>
      <c r="AP184" s="18">
        <v>41685</v>
      </c>
      <c r="AQ184" s="18">
        <v>41774</v>
      </c>
      <c r="AR184" s="18">
        <v>41866</v>
      </c>
      <c r="AS184" s="18">
        <v>41958</v>
      </c>
      <c r="AT184" s="18">
        <v>42050</v>
      </c>
      <c r="AU184" s="18">
        <v>42139</v>
      </c>
      <c r="AV184" s="18">
        <v>42231</v>
      </c>
      <c r="AW184" s="18">
        <v>42323</v>
      </c>
      <c r="AX184" s="18">
        <v>42415</v>
      </c>
      <c r="AY184" s="18">
        <v>42505</v>
      </c>
      <c r="AZ184" s="18">
        <v>42597</v>
      </c>
      <c r="BA184" s="18">
        <v>42689</v>
      </c>
      <c r="BB184" s="18">
        <v>42781</v>
      </c>
      <c r="BC184" s="18">
        <v>42870</v>
      </c>
      <c r="BD184" s="18">
        <v>42962</v>
      </c>
      <c r="BE184" s="18">
        <v>43054</v>
      </c>
      <c r="BF184" s="18">
        <v>43146</v>
      </c>
      <c r="BG184" s="18">
        <v>43235</v>
      </c>
      <c r="BH184" s="18">
        <v>43327</v>
      </c>
      <c r="BI184" s="18">
        <v>43419</v>
      </c>
      <c r="BJ184" s="18">
        <v>43511</v>
      </c>
      <c r="BK184" s="18">
        <v>43600</v>
      </c>
      <c r="BL184" s="18">
        <v>43692</v>
      </c>
      <c r="BM184" s="18">
        <v>43784</v>
      </c>
      <c r="BN184" s="18">
        <v>43876</v>
      </c>
      <c r="BO184" s="18">
        <v>43966</v>
      </c>
      <c r="BP184" s="18">
        <v>44058</v>
      </c>
      <c r="BQ184" s="18">
        <v>44150</v>
      </c>
      <c r="BR184" s="18">
        <v>44242</v>
      </c>
      <c r="BS184" s="18">
        <v>44331</v>
      </c>
      <c r="BT184" s="18">
        <v>44423</v>
      </c>
      <c r="BU184" s="18">
        <v>44515</v>
      </c>
      <c r="BV184" s="18">
        <v>44607</v>
      </c>
      <c r="BW184" s="18">
        <v>44696</v>
      </c>
      <c r="BX184" s="18">
        <v>44788</v>
      </c>
      <c r="BY184" s="18">
        <v>44880</v>
      </c>
      <c r="BZ184" s="18">
        <v>44972</v>
      </c>
      <c r="CA184" s="18">
        <v>45061</v>
      </c>
      <c r="CB184" s="18">
        <v>45153</v>
      </c>
      <c r="CC184" s="18">
        <v>45245</v>
      </c>
      <c r="CD184" s="18">
        <v>45337</v>
      </c>
      <c r="CE184" s="18">
        <v>45427</v>
      </c>
      <c r="CF184" s="18">
        <v>45519</v>
      </c>
      <c r="CG184" s="18">
        <v>45611</v>
      </c>
      <c r="CH184" s="18">
        <v>45703</v>
      </c>
      <c r="CI184" s="18">
        <v>45792</v>
      </c>
      <c r="CJ184" s="18">
        <v>45884</v>
      </c>
      <c r="CK184" s="18">
        <v>45976</v>
      </c>
      <c r="CL184" s="18">
        <v>46068</v>
      </c>
      <c r="CM184" s="18">
        <v>46157</v>
      </c>
      <c r="CN184" s="18">
        <v>46249</v>
      </c>
    </row>
    <row r="185" spans="1:92" x14ac:dyDescent="0.35">
      <c r="A185" s="16" t="s">
        <v>85</v>
      </c>
      <c r="B185" s="15">
        <v>5.147313619111797</v>
      </c>
      <c r="C185" s="15">
        <v>5.3083656198431743</v>
      </c>
      <c r="D185" s="15">
        <v>5.317863233049458</v>
      </c>
      <c r="E185" s="15">
        <v>5.3198047526408887</v>
      </c>
      <c r="F185" s="15">
        <v>5.3034510836257676</v>
      </c>
      <c r="G185" s="15">
        <v>5.4849221128269301</v>
      </c>
      <c r="H185" s="15">
        <v>5.4970192789579908</v>
      </c>
      <c r="I185" s="15">
        <v>5.4921632017387152</v>
      </c>
      <c r="J185" s="15">
        <v>5.492586195543967</v>
      </c>
      <c r="K185" s="15">
        <v>5.7028119117395981</v>
      </c>
      <c r="L185" s="15">
        <v>5.7025841064895522</v>
      </c>
      <c r="M185" s="15">
        <v>5.7022667049527058</v>
      </c>
      <c r="N185" s="15">
        <v>5.7108985401277224</v>
      </c>
      <c r="O185" s="15">
        <v>6.1132375262263796</v>
      </c>
      <c r="P185" s="15">
        <v>6.114117885246813</v>
      </c>
      <c r="Q185" s="15">
        <v>6.1325101394778772</v>
      </c>
      <c r="R185" s="15">
        <v>6.1330471162321825</v>
      </c>
      <c r="S185" s="15">
        <v>6.5323523154942373</v>
      </c>
      <c r="T185" s="15">
        <v>6.5340909928939297</v>
      </c>
      <c r="U185" s="15">
        <v>6.5142575386698054</v>
      </c>
      <c r="V185" s="15">
        <v>6.5143313622649979</v>
      </c>
      <c r="W185" s="15">
        <v>6.8041548522923989</v>
      </c>
      <c r="X185" s="15">
        <v>6.8039705483109962</v>
      </c>
      <c r="Y185" s="15">
        <v>6.806341822414808</v>
      </c>
      <c r="Z185" s="15">
        <v>6.8546492028835253</v>
      </c>
      <c r="AA185" s="15">
        <v>7.1020669858732237</v>
      </c>
      <c r="AB185" s="15">
        <v>7.1045957998261438</v>
      </c>
      <c r="AC185" s="15">
        <v>7.2566906212080928</v>
      </c>
      <c r="AD185" s="15">
        <v>7.2570588648662451</v>
      </c>
      <c r="AE185" s="15">
        <v>7.3417726390762095</v>
      </c>
      <c r="AF185" s="15">
        <v>7.3415663788353758</v>
      </c>
      <c r="AG185" s="15">
        <v>7.3443304647525114</v>
      </c>
      <c r="AH185" s="15">
        <v>7.3449845002875156</v>
      </c>
      <c r="AI185" s="15">
        <v>7.7175317729676003</v>
      </c>
      <c r="AJ185" s="15">
        <v>7.7175727711860818</v>
      </c>
      <c r="AK185" s="15">
        <v>7.717925246799191</v>
      </c>
      <c r="AL185" s="15">
        <v>7.7354390822705952</v>
      </c>
      <c r="AM185" s="15">
        <v>7.8847693716464331</v>
      </c>
      <c r="AN185" s="15">
        <v>7.8843985747572791</v>
      </c>
      <c r="AO185" s="15">
        <v>7.8841251326777009</v>
      </c>
      <c r="AP185" s="15">
        <v>7.8914829324261868</v>
      </c>
      <c r="AQ185" s="15">
        <v>8.3122113347268147</v>
      </c>
      <c r="AR185" s="15">
        <v>8.3242103055880943</v>
      </c>
      <c r="AS185" s="15">
        <v>8.3231651108968752</v>
      </c>
      <c r="AT185" s="15">
        <v>8.3230137306002003</v>
      </c>
      <c r="AU185" s="15">
        <v>8.2318506609561233</v>
      </c>
      <c r="AV185" s="15">
        <v>8.2314896925241907</v>
      </c>
      <c r="AW185" s="15">
        <v>8.2315654344938309</v>
      </c>
      <c r="AX185" s="15">
        <v>8.2326346791702782</v>
      </c>
      <c r="AY185" s="15">
        <v>8.3833597822042289</v>
      </c>
      <c r="AZ185" s="15">
        <v>8.3830017105225334</v>
      </c>
      <c r="BA185" s="15">
        <v>8.3870663592607251</v>
      </c>
      <c r="BB185" s="15">
        <v>8.4083577925277098</v>
      </c>
      <c r="BC185" s="15">
        <v>8.4487682401729867</v>
      </c>
      <c r="BD185" s="15">
        <v>8.4486094002923942</v>
      </c>
      <c r="BE185" s="15">
        <v>8.4486733559976326</v>
      </c>
      <c r="BF185" s="15">
        <v>8.4495673580325459</v>
      </c>
      <c r="BG185" s="15">
        <v>8.6650768557029814</v>
      </c>
      <c r="BH185" s="15">
        <v>8.8498325748743749</v>
      </c>
      <c r="BI185" s="15">
        <v>8.8703455761519905</v>
      </c>
      <c r="BJ185" s="15">
        <v>8.8704923670891382</v>
      </c>
      <c r="BK185" s="15">
        <v>9.0151483532203418</v>
      </c>
      <c r="BL185" s="15">
        <v>9.0142913331715953</v>
      </c>
      <c r="BM185" s="15">
        <v>9.0135306954106866</v>
      </c>
      <c r="BN185" s="15">
        <v>9.0137877002824833</v>
      </c>
      <c r="BO185" s="15">
        <v>8.4893878440065205</v>
      </c>
      <c r="BP185" s="15">
        <v>8.4880085633680569</v>
      </c>
      <c r="BQ185" s="15">
        <v>8.4877365178812827</v>
      </c>
      <c r="BR185" s="15">
        <v>8.4883729902056775</v>
      </c>
      <c r="BS185" s="15">
        <v>8.7094766218515662</v>
      </c>
      <c r="BT185" s="15">
        <v>8.7085718629915174</v>
      </c>
      <c r="BU185" s="15">
        <v>8.7061187074565147</v>
      </c>
      <c r="BV185" s="15">
        <v>8.6886643312231584</v>
      </c>
      <c r="BW185" s="15">
        <v>9.0631884990593203</v>
      </c>
      <c r="BX185" s="15">
        <v>9.0627250252170093</v>
      </c>
      <c r="BY185" s="15">
        <v>9.0612217262759334</v>
      </c>
      <c r="BZ185" s="15">
        <v>9.0614463226752502</v>
      </c>
      <c r="CA185" s="15">
        <v>9.6385091628096795</v>
      </c>
      <c r="CB185" s="15">
        <v>9.6372354558213509</v>
      </c>
      <c r="CC185" s="15">
        <v>9.6365174375454199</v>
      </c>
      <c r="CD185" s="15">
        <v>9.6364939954561493</v>
      </c>
      <c r="CE185" s="15">
        <v>10.4597267841236</v>
      </c>
      <c r="CF185" s="15">
        <v>10.458812298741901</v>
      </c>
      <c r="CG185" s="15">
        <v>10.458055125135401</v>
      </c>
      <c r="CH185" s="15">
        <v>10.454390189621</v>
      </c>
      <c r="CI185" s="15">
        <v>12.555711286328201</v>
      </c>
      <c r="CJ185" s="15">
        <v>12.554454131136</v>
      </c>
      <c r="CK185" s="15">
        <v>12.5519575364413</v>
      </c>
      <c r="CL185" s="15">
        <v>12.5519745004828</v>
      </c>
      <c r="CM185" s="15">
        <v>13.840232920681199</v>
      </c>
      <c r="CN185" s="15">
        <v>13.838110399676999</v>
      </c>
    </row>
    <row r="186" spans="1:92" x14ac:dyDescent="0.35">
      <c r="A186" t="s">
        <v>24</v>
      </c>
      <c r="B186" s="1">
        <v>3.94</v>
      </c>
      <c r="C186" s="1">
        <v>3.94</v>
      </c>
      <c r="D186" s="1">
        <v>3.94</v>
      </c>
      <c r="E186" s="1">
        <v>3.94</v>
      </c>
      <c r="F186" s="1">
        <v>3.94</v>
      </c>
      <c r="G186" s="1">
        <v>4.05</v>
      </c>
      <c r="H186" s="1">
        <v>4.05</v>
      </c>
      <c r="I186" s="1">
        <v>4.05</v>
      </c>
      <c r="J186" s="1">
        <v>4.05</v>
      </c>
      <c r="K186" s="1">
        <v>4.05</v>
      </c>
      <c r="L186" s="1">
        <v>4.05</v>
      </c>
      <c r="M186" s="1">
        <v>4.05</v>
      </c>
      <c r="N186" s="1">
        <v>4.05</v>
      </c>
      <c r="O186" s="1">
        <v>4.16</v>
      </c>
      <c r="P186" s="1">
        <v>4.16</v>
      </c>
      <c r="Q186" s="1">
        <v>4.16</v>
      </c>
      <c r="R186" s="1">
        <v>4.16</v>
      </c>
      <c r="S186" s="1">
        <v>4.3600000000000003</v>
      </c>
      <c r="T186" s="1">
        <v>4.3600000000000003</v>
      </c>
      <c r="U186" s="1">
        <v>4.3600000000000003</v>
      </c>
      <c r="V186" s="1">
        <v>4.3600000000000003</v>
      </c>
      <c r="W186" s="1">
        <v>4.08</v>
      </c>
      <c r="X186" s="1">
        <v>4.08</v>
      </c>
      <c r="Y186" s="1">
        <v>4.08</v>
      </c>
      <c r="Z186" s="1">
        <v>4.08</v>
      </c>
      <c r="AA186" s="1">
        <v>5.45</v>
      </c>
      <c r="AB186" s="1">
        <v>5.45</v>
      </c>
      <c r="AC186" s="1">
        <v>5.57</v>
      </c>
      <c r="AD186" s="1">
        <v>5.57</v>
      </c>
      <c r="AE186" s="1">
        <v>5.8015703124999991</v>
      </c>
      <c r="AF186" s="1">
        <v>5.8015703124999991</v>
      </c>
      <c r="AG186" s="1">
        <v>5.8015703124999991</v>
      </c>
      <c r="AH186" s="1">
        <v>5.8015703124999991</v>
      </c>
      <c r="AI186" s="1">
        <v>6.1897312500000004</v>
      </c>
      <c r="AJ186" s="1">
        <v>6.1897312500000004</v>
      </c>
      <c r="AK186" s="1">
        <v>6.1897312500000004</v>
      </c>
      <c r="AL186" s="1">
        <v>6.1897312500000004</v>
      </c>
      <c r="AM186" s="1">
        <v>6.60603125</v>
      </c>
      <c r="AN186" s="1">
        <v>6.60603125</v>
      </c>
      <c r="AO186" s="1">
        <v>6.60603125</v>
      </c>
      <c r="AP186" s="1">
        <v>6.60603125</v>
      </c>
      <c r="AQ186" s="1">
        <v>7.4202312499999996</v>
      </c>
      <c r="AR186" s="1">
        <v>7.4202312499999996</v>
      </c>
      <c r="AS186" s="1">
        <v>7.4202312499999996</v>
      </c>
      <c r="AT186" s="1">
        <v>7.4202312499999996</v>
      </c>
      <c r="AU186" s="1">
        <v>7.7157812499999991</v>
      </c>
      <c r="AV186" s="1">
        <v>7.7157812499999991</v>
      </c>
      <c r="AW186" s="1">
        <v>7.7157812499999991</v>
      </c>
      <c r="AX186" s="1">
        <v>7.7157812499999991</v>
      </c>
      <c r="AY186" s="1">
        <v>8.0883812499999994</v>
      </c>
      <c r="AZ186" s="1">
        <v>8.0883812499999994</v>
      </c>
      <c r="BA186" s="1">
        <v>8.0883812499999994</v>
      </c>
      <c r="BB186" s="1">
        <v>8.0883812499999994</v>
      </c>
      <c r="BC186" s="1">
        <v>9.160135249999998</v>
      </c>
      <c r="BD186" s="1">
        <v>9.160135249999998</v>
      </c>
      <c r="BE186" s="1">
        <v>9.160135249999998</v>
      </c>
      <c r="BF186" s="1">
        <v>9.160135249999998</v>
      </c>
      <c r="BG186" s="1">
        <v>10.97373125</v>
      </c>
      <c r="BH186" s="1">
        <v>10.97373125</v>
      </c>
      <c r="BI186" s="1">
        <v>10.97373125</v>
      </c>
      <c r="BJ186" s="1">
        <v>10.97373125</v>
      </c>
      <c r="BK186" s="1">
        <v>12.944687499999999</v>
      </c>
      <c r="BL186" s="1">
        <v>12.944687499999999</v>
      </c>
      <c r="BM186" s="1">
        <v>12.944687499999999</v>
      </c>
      <c r="BN186" s="1">
        <v>12.944687499999999</v>
      </c>
      <c r="BO186" s="1">
        <v>10.599981250000001</v>
      </c>
      <c r="BP186" s="1">
        <v>10.599981250000001</v>
      </c>
      <c r="BQ186" s="1">
        <v>10.599981250000001</v>
      </c>
      <c r="BR186" s="1">
        <v>10.599981250000001</v>
      </c>
      <c r="BS186" s="1">
        <v>8.9980312499999986</v>
      </c>
      <c r="BT186" s="1">
        <v>8.9980312499999986</v>
      </c>
      <c r="BU186" s="1">
        <v>8.9980312499999986</v>
      </c>
      <c r="BV186" s="1">
        <v>8.9980312499999986</v>
      </c>
      <c r="BW186" s="1">
        <v>9.3825625000000006</v>
      </c>
      <c r="BX186" s="1">
        <v>9.3825625000000006</v>
      </c>
      <c r="BY186" s="1">
        <v>9.3825625000000006</v>
      </c>
      <c r="BZ186" s="1">
        <v>9.3825625000000006</v>
      </c>
      <c r="CA186" s="1">
        <v>10.5739625</v>
      </c>
      <c r="CB186" s="1">
        <v>10.5739625</v>
      </c>
      <c r="CC186" s="1">
        <v>10.5739625</v>
      </c>
      <c r="CD186" s="1">
        <v>10.5739625</v>
      </c>
      <c r="CE186" s="1">
        <v>11.628225</v>
      </c>
      <c r="CF186" s="1">
        <v>11.628225</v>
      </c>
      <c r="CG186" s="1">
        <v>11.628225</v>
      </c>
      <c r="CH186" s="1">
        <v>11.628225</v>
      </c>
      <c r="CI186" s="1">
        <v>14.749756250000001</v>
      </c>
      <c r="CJ186" s="1">
        <v>14.749756250000001</v>
      </c>
      <c r="CK186" s="1">
        <v>14.749756250000001</v>
      </c>
      <c r="CL186" s="1">
        <v>14.749756250000001</v>
      </c>
      <c r="CM186" s="1">
        <v>14.266971874999999</v>
      </c>
      <c r="CN186" s="1">
        <v>14.266971874999999</v>
      </c>
    </row>
    <row r="187" spans="1:92" x14ac:dyDescent="0.35">
      <c r="A187" t="s">
        <v>35</v>
      </c>
      <c r="B187" s="1">
        <v>5.81</v>
      </c>
      <c r="C187" s="1">
        <v>6.22</v>
      </c>
      <c r="D187" s="1">
        <v>6.22</v>
      </c>
      <c r="E187" s="1">
        <v>6.22</v>
      </c>
      <c r="F187" s="1">
        <v>6.22</v>
      </c>
      <c r="G187" s="1">
        <v>6.64</v>
      </c>
      <c r="H187" s="1">
        <v>6.64</v>
      </c>
      <c r="I187" s="1">
        <v>6.64</v>
      </c>
      <c r="J187" s="1">
        <v>6.64</v>
      </c>
      <c r="K187" s="1">
        <v>7.69</v>
      </c>
      <c r="L187" s="1">
        <v>7.69</v>
      </c>
      <c r="M187" s="1">
        <v>7.69</v>
      </c>
      <c r="N187" s="1">
        <v>7.69</v>
      </c>
      <c r="O187" s="1">
        <v>7.91</v>
      </c>
      <c r="P187" s="1">
        <v>7.91</v>
      </c>
      <c r="Q187" s="1">
        <v>7.91</v>
      </c>
      <c r="R187" s="1">
        <v>7.91</v>
      </c>
      <c r="S187" s="1">
        <v>8.41</v>
      </c>
      <c r="T187" s="1">
        <v>8.41</v>
      </c>
      <c r="U187" s="1">
        <v>8.41</v>
      </c>
      <c r="V187" s="1">
        <v>8.41</v>
      </c>
      <c r="W187" s="1">
        <v>9.75</v>
      </c>
      <c r="X187" s="1">
        <v>9.75</v>
      </c>
      <c r="Y187" s="1">
        <v>9.75</v>
      </c>
      <c r="Z187" s="1">
        <v>9.75</v>
      </c>
      <c r="AA187" s="1">
        <v>10.039999999999999</v>
      </c>
      <c r="AB187" s="1">
        <v>10.039999999999999</v>
      </c>
      <c r="AC187" s="1">
        <v>10.26</v>
      </c>
      <c r="AD187" s="1">
        <v>10.26</v>
      </c>
      <c r="AE187" s="1">
        <v>10.666393749999997</v>
      </c>
      <c r="AF187" s="1">
        <v>10.666393749999997</v>
      </c>
      <c r="AG187" s="1">
        <v>10.666393749999997</v>
      </c>
      <c r="AH187" s="1">
        <v>10.666393749999997</v>
      </c>
      <c r="AI187" s="1">
        <v>11.65872875</v>
      </c>
      <c r="AJ187" s="1">
        <v>11.65872875</v>
      </c>
      <c r="AK187" s="1">
        <v>11.65872875</v>
      </c>
      <c r="AL187" s="1">
        <v>11.65872875</v>
      </c>
      <c r="AM187" s="1">
        <v>11.97118375</v>
      </c>
      <c r="AN187" s="1">
        <v>11.97118375</v>
      </c>
      <c r="AO187" s="1">
        <v>11.97118375</v>
      </c>
      <c r="AP187" s="1">
        <v>11.97118375</v>
      </c>
      <c r="AQ187" s="1">
        <v>12.082963749999999</v>
      </c>
      <c r="AR187" s="1">
        <v>12.082963749999999</v>
      </c>
      <c r="AS187" s="1">
        <v>12.082963749999999</v>
      </c>
      <c r="AT187" s="1">
        <v>12.082963749999999</v>
      </c>
      <c r="AU187" s="1">
        <v>11.665973749999999</v>
      </c>
      <c r="AV187" s="1">
        <v>11.665973749999999</v>
      </c>
      <c r="AW187" s="1">
        <v>11.665973749999999</v>
      </c>
      <c r="AX187" s="1">
        <v>11.665973749999999</v>
      </c>
      <c r="AY187" s="1">
        <v>11.61037125</v>
      </c>
      <c r="AZ187" s="1">
        <v>11.61037125</v>
      </c>
      <c r="BA187" s="1">
        <v>11.61037125</v>
      </c>
      <c r="BB187" s="1">
        <v>11.61037125</v>
      </c>
      <c r="BC187" s="1">
        <v>11.572881249999998</v>
      </c>
      <c r="BD187" s="1">
        <v>11.572881249999998</v>
      </c>
      <c r="BE187" s="1">
        <v>11.572881249999998</v>
      </c>
      <c r="BF187" s="1">
        <v>11.572881249999998</v>
      </c>
      <c r="BG187" s="1">
        <v>11.45765125</v>
      </c>
      <c r="BH187" s="1">
        <v>11.45765125</v>
      </c>
      <c r="BI187" s="1">
        <v>11.45765125</v>
      </c>
      <c r="BJ187" s="1">
        <v>11.45765125</v>
      </c>
      <c r="BK187" s="1">
        <v>11.750096249999999</v>
      </c>
      <c r="BL187" s="1">
        <v>11.750096249999999</v>
      </c>
      <c r="BM187" s="1">
        <v>11.750096249999999</v>
      </c>
      <c r="BN187" s="1">
        <v>11.750096249999999</v>
      </c>
      <c r="BO187" s="1">
        <v>11.383909174897305</v>
      </c>
      <c r="BP187" s="1">
        <v>11.383909174897305</v>
      </c>
      <c r="BQ187" s="1">
        <v>11.383909174897305</v>
      </c>
      <c r="BR187" s="1">
        <v>11.383909174897305</v>
      </c>
      <c r="BS187" s="1">
        <v>12.643450414933911</v>
      </c>
      <c r="BT187" s="1">
        <v>12.643450414933911</v>
      </c>
      <c r="BU187" s="1">
        <v>12.643450414933911</v>
      </c>
      <c r="BV187" s="1">
        <v>12.643450414933911</v>
      </c>
      <c r="BW187" s="1">
        <v>14.710675602872337</v>
      </c>
      <c r="BX187" s="1">
        <v>14.710675602872337</v>
      </c>
      <c r="BY187" s="1">
        <v>14.710675602872337</v>
      </c>
      <c r="BZ187" s="1">
        <v>14.710675602872337</v>
      </c>
      <c r="CA187" s="1">
        <v>17.088663856379799</v>
      </c>
      <c r="CB187" s="1">
        <v>17.088663856379799</v>
      </c>
      <c r="CC187" s="1">
        <v>17.088663856379799</v>
      </c>
      <c r="CD187" s="1">
        <v>17.088663856379799</v>
      </c>
      <c r="CE187" s="1">
        <v>18.626210659771701</v>
      </c>
      <c r="CF187" s="1">
        <v>18.626210659771701</v>
      </c>
      <c r="CG187" s="1">
        <v>18.626210659771701</v>
      </c>
      <c r="CH187" s="1">
        <v>18.626210659771701</v>
      </c>
      <c r="CI187" s="1">
        <v>19.846605736608499</v>
      </c>
      <c r="CJ187" s="1">
        <v>19.846605736608499</v>
      </c>
      <c r="CK187" s="1">
        <v>19.846605736608499</v>
      </c>
      <c r="CL187" s="1">
        <v>19.846605736608499</v>
      </c>
      <c r="CM187" s="1">
        <v>22.103295739704599</v>
      </c>
      <c r="CN187" s="1">
        <v>22.103295739704599</v>
      </c>
    </row>
    <row r="188" spans="1:92" x14ac:dyDescent="0.35">
      <c r="A188" t="s">
        <v>81</v>
      </c>
      <c r="B188" s="1">
        <v>3.82</v>
      </c>
      <c r="C188" s="1">
        <v>4.1900000000000004</v>
      </c>
      <c r="D188" s="1">
        <v>4.1900000000000004</v>
      </c>
      <c r="E188" s="1">
        <v>4.1900000000000004</v>
      </c>
      <c r="F188" s="1">
        <v>4.1900000000000004</v>
      </c>
      <c r="G188" s="1">
        <v>4.33</v>
      </c>
      <c r="H188" s="1">
        <v>4.33</v>
      </c>
      <c r="I188" s="1">
        <v>4.33</v>
      </c>
      <c r="J188" s="1">
        <v>4.33</v>
      </c>
      <c r="K188" s="1">
        <v>4.46</v>
      </c>
      <c r="L188" s="1">
        <v>4.46</v>
      </c>
      <c r="M188" s="1">
        <v>4.46</v>
      </c>
      <c r="N188" s="1">
        <v>4.46</v>
      </c>
      <c r="O188" s="1">
        <v>4.57</v>
      </c>
      <c r="P188" s="1">
        <v>4.57</v>
      </c>
      <c r="Q188" s="1">
        <v>4.57</v>
      </c>
      <c r="R188" s="1">
        <v>4.57</v>
      </c>
      <c r="S188" s="1">
        <v>4.67</v>
      </c>
      <c r="T188" s="1">
        <v>4.67</v>
      </c>
      <c r="U188" s="1">
        <v>4.67</v>
      </c>
      <c r="V188" s="1">
        <v>4.67</v>
      </c>
      <c r="W188" s="1">
        <v>4.51</v>
      </c>
      <c r="X188" s="1">
        <v>4.51</v>
      </c>
      <c r="Y188" s="1">
        <v>4.51</v>
      </c>
      <c r="Z188" s="1">
        <v>4.51</v>
      </c>
      <c r="AA188" s="1">
        <v>4.49</v>
      </c>
      <c r="AB188" s="1">
        <v>4.49</v>
      </c>
      <c r="AC188" s="1">
        <v>4.59</v>
      </c>
      <c r="AD188" s="1">
        <v>4.59</v>
      </c>
      <c r="AE188" s="1">
        <v>4.59899375</v>
      </c>
      <c r="AF188" s="1">
        <v>4.59899375</v>
      </c>
      <c r="AG188" s="1">
        <v>4.59899375</v>
      </c>
      <c r="AH188" s="1">
        <v>4.59899375</v>
      </c>
      <c r="AI188" s="1">
        <v>4.6047437499999999</v>
      </c>
      <c r="AJ188" s="1">
        <v>4.6047437499999999</v>
      </c>
      <c r="AK188" s="1">
        <v>4.6047437499999999</v>
      </c>
      <c r="AL188" s="1">
        <v>4.6047437499999999</v>
      </c>
      <c r="AM188" s="1">
        <v>4.6967437499999996</v>
      </c>
      <c r="AN188" s="1">
        <v>4.6967437499999996</v>
      </c>
      <c r="AO188" s="1">
        <v>4.6967437499999996</v>
      </c>
      <c r="AP188" s="1">
        <v>4.6967437499999996</v>
      </c>
      <c r="AQ188" s="1">
        <v>4.79449375</v>
      </c>
      <c r="AR188" s="1">
        <v>4.79449375</v>
      </c>
      <c r="AS188" s="1">
        <v>4.79449375</v>
      </c>
      <c r="AT188" s="1">
        <v>4.79449375</v>
      </c>
      <c r="AU188" s="1">
        <v>4.8807437499999997</v>
      </c>
      <c r="AV188" s="1">
        <v>4.8807437499999997</v>
      </c>
      <c r="AW188" s="1">
        <v>4.8807437499999997</v>
      </c>
      <c r="AX188" s="1">
        <v>4.8807437499999997</v>
      </c>
      <c r="AY188" s="1">
        <v>4.9672812499999992</v>
      </c>
      <c r="AZ188" s="1">
        <v>4.9672812499999992</v>
      </c>
      <c r="BA188" s="1">
        <v>4.9672812499999992</v>
      </c>
      <c r="BB188" s="1">
        <v>4.9672812499999992</v>
      </c>
      <c r="BC188" s="1">
        <v>5.04203125</v>
      </c>
      <c r="BD188" s="1">
        <v>5.04203125</v>
      </c>
      <c r="BE188" s="1">
        <v>5.04203125</v>
      </c>
      <c r="BF188" s="1">
        <v>5.04203125</v>
      </c>
      <c r="BG188" s="1">
        <v>5.2720312500000004</v>
      </c>
      <c r="BH188" s="1">
        <v>5.2720312500000004</v>
      </c>
      <c r="BI188" s="1">
        <v>5.2720312500000004</v>
      </c>
      <c r="BJ188" s="1">
        <v>5.2720312500000004</v>
      </c>
      <c r="BK188" s="1">
        <v>5.2950312500000001</v>
      </c>
      <c r="BL188" s="1">
        <v>5.2950312500000001</v>
      </c>
      <c r="BM188" s="1">
        <v>5.2950312500000001</v>
      </c>
      <c r="BN188" s="1">
        <v>5.2950312500000001</v>
      </c>
      <c r="BO188" s="1">
        <v>5.8970191396572647</v>
      </c>
      <c r="BP188" s="1">
        <v>5.8970191396572647</v>
      </c>
      <c r="BQ188" s="1">
        <v>5.8970191396572647</v>
      </c>
      <c r="BR188" s="1">
        <v>5.8970191396572647</v>
      </c>
      <c r="BS188" s="1">
        <v>6.8284636659230529</v>
      </c>
      <c r="BT188" s="1">
        <v>6.8284636659230529</v>
      </c>
      <c r="BU188" s="1">
        <v>6.8284636659230529</v>
      </c>
      <c r="BV188" s="1">
        <v>6.8284636659230529</v>
      </c>
      <c r="BW188" s="1">
        <v>8.1760064267453494</v>
      </c>
      <c r="BX188" s="1">
        <v>8.1760064267453494</v>
      </c>
      <c r="BY188" s="1">
        <v>8.1760064267453494</v>
      </c>
      <c r="BZ188" s="1">
        <v>8.1760064267453494</v>
      </c>
      <c r="CA188" s="1">
        <v>8.2971828838857906</v>
      </c>
      <c r="CB188" s="1">
        <v>8.2971828838857906</v>
      </c>
      <c r="CC188" s="1">
        <v>8.2971828838857906</v>
      </c>
      <c r="CD188" s="1">
        <v>8.2971828838857906</v>
      </c>
      <c r="CE188" s="1">
        <v>9.3756375498828195</v>
      </c>
      <c r="CF188" s="1">
        <v>9.3756375498828195</v>
      </c>
      <c r="CG188" s="1">
        <v>9.3756375498828195</v>
      </c>
      <c r="CH188" s="1">
        <v>9.3756375498828195</v>
      </c>
      <c r="CI188" s="1">
        <v>11.0161548294654</v>
      </c>
      <c r="CJ188" s="1">
        <v>11.0161548294654</v>
      </c>
      <c r="CK188" s="1">
        <v>11.0161548294654</v>
      </c>
      <c r="CL188" s="1">
        <v>11.0161548294654</v>
      </c>
      <c r="CM188" s="1">
        <v>12.645565309973501</v>
      </c>
      <c r="CN188" s="1">
        <v>12.645565309973501</v>
      </c>
    </row>
    <row r="189" spans="1:92" x14ac:dyDescent="0.35">
      <c r="A189" t="s">
        <v>27</v>
      </c>
      <c r="B189" s="1">
        <v>0</v>
      </c>
      <c r="C189" s="1">
        <v>0</v>
      </c>
      <c r="D189" s="1">
        <v>0</v>
      </c>
      <c r="E189" s="1">
        <v>0</v>
      </c>
      <c r="F189" s="1">
        <v>0</v>
      </c>
      <c r="G189" s="1">
        <v>0</v>
      </c>
      <c r="H189" s="1">
        <v>0</v>
      </c>
      <c r="I189" s="1">
        <v>0</v>
      </c>
      <c r="J189" s="1">
        <v>0</v>
      </c>
      <c r="K189" s="1">
        <v>0</v>
      </c>
      <c r="L189" s="1">
        <v>0</v>
      </c>
      <c r="M189" s="1">
        <v>0</v>
      </c>
      <c r="N189" s="1">
        <v>0</v>
      </c>
      <c r="O189" s="1">
        <v>0</v>
      </c>
      <c r="P189" s="1">
        <v>0</v>
      </c>
      <c r="Q189" s="1">
        <v>0</v>
      </c>
      <c r="R189" s="1">
        <v>0</v>
      </c>
      <c r="S189" s="1">
        <v>5.46</v>
      </c>
      <c r="T189" s="1">
        <v>5.46</v>
      </c>
      <c r="U189" s="1">
        <v>5.46</v>
      </c>
      <c r="V189" s="1">
        <v>5.46</v>
      </c>
      <c r="W189" s="1">
        <v>5.84</v>
      </c>
      <c r="X189" s="1">
        <v>5.84</v>
      </c>
      <c r="Y189" s="1">
        <v>5.84</v>
      </c>
      <c r="Z189" s="1">
        <v>5.84</v>
      </c>
      <c r="AA189" s="1">
        <v>6.17</v>
      </c>
      <c r="AB189" s="1">
        <v>6.17</v>
      </c>
      <c r="AC189" s="1">
        <v>6.31</v>
      </c>
      <c r="AD189" s="1">
        <v>6.31</v>
      </c>
      <c r="AE189" s="1">
        <v>6.5390437499999985</v>
      </c>
      <c r="AF189" s="1">
        <v>6.5390437499999985</v>
      </c>
      <c r="AG189" s="1">
        <v>6.5390437499999985</v>
      </c>
      <c r="AH189" s="1">
        <v>6.5390437499999985</v>
      </c>
      <c r="AI189" s="1">
        <v>7.2075387499999994</v>
      </c>
      <c r="AJ189" s="1">
        <v>7.2075387499999994</v>
      </c>
      <c r="AK189" s="1">
        <v>7.2075387499999994</v>
      </c>
      <c r="AL189" s="1">
        <v>7.2075387499999994</v>
      </c>
      <c r="AM189" s="1">
        <v>7.6139487499999987</v>
      </c>
      <c r="AN189" s="1">
        <v>7.6139487499999987</v>
      </c>
      <c r="AO189" s="1">
        <v>7.6139487499999987</v>
      </c>
      <c r="AP189" s="1">
        <v>7.6139487499999987</v>
      </c>
      <c r="AQ189" s="1">
        <v>7.57588375</v>
      </c>
      <c r="AR189" s="1">
        <v>7.57588375</v>
      </c>
      <c r="AS189" s="1">
        <v>7.57588375</v>
      </c>
      <c r="AT189" s="1">
        <v>7.57588375</v>
      </c>
      <c r="AU189" s="1">
        <v>7.0963337499999994</v>
      </c>
      <c r="AV189" s="1">
        <v>7.0963337499999994</v>
      </c>
      <c r="AW189" s="1">
        <v>7.0963337499999994</v>
      </c>
      <c r="AX189" s="1">
        <v>7.0963337499999994</v>
      </c>
      <c r="AY189" s="1">
        <v>6.6777912499999994</v>
      </c>
      <c r="AZ189" s="1">
        <v>6.6777912499999994</v>
      </c>
      <c r="BA189" s="1">
        <v>6.6777912499999994</v>
      </c>
      <c r="BB189" s="1">
        <v>6.6777912499999994</v>
      </c>
      <c r="BC189" s="1">
        <v>6.5192062500000008</v>
      </c>
      <c r="BD189" s="1">
        <v>6.5192062500000008</v>
      </c>
      <c r="BE189" s="1">
        <v>6.5192062500000008</v>
      </c>
      <c r="BF189" s="1">
        <v>6.5192062500000008</v>
      </c>
      <c r="BG189" s="1">
        <v>6.4949412499999983</v>
      </c>
      <c r="BH189" s="1">
        <v>6.4949412499999983</v>
      </c>
      <c r="BI189" s="1">
        <v>6.4949412499999983</v>
      </c>
      <c r="BJ189" s="1">
        <v>6.4949412499999983</v>
      </c>
      <c r="BK189" s="1">
        <v>6.6749162499999999</v>
      </c>
      <c r="BL189" s="1">
        <v>6.6749162499999999</v>
      </c>
      <c r="BM189" s="1">
        <v>6.6749162499999999</v>
      </c>
      <c r="BN189" s="1">
        <v>6.6749162499999999</v>
      </c>
      <c r="BO189" s="1">
        <v>6.7986698338213856</v>
      </c>
      <c r="BP189" s="1">
        <v>6.7986698338213856</v>
      </c>
      <c r="BQ189" s="1">
        <v>6.7986698338213856</v>
      </c>
      <c r="BR189" s="1">
        <v>6.7986698338213856</v>
      </c>
      <c r="BS189" s="1">
        <v>7.7980999209681805</v>
      </c>
      <c r="BT189" s="1">
        <v>7.7980999209681805</v>
      </c>
      <c r="BU189" s="1">
        <v>7.7980999209681805</v>
      </c>
      <c r="BV189" s="1">
        <v>7.7980999209681805</v>
      </c>
      <c r="BW189" s="1">
        <v>9.5925531448489156</v>
      </c>
      <c r="BX189" s="1">
        <v>9.5925531448489156</v>
      </c>
      <c r="BY189" s="1">
        <v>9.5925531448489156</v>
      </c>
      <c r="BZ189" s="1">
        <v>9.5925531448489156</v>
      </c>
      <c r="CA189" s="1">
        <v>10.371196271273201</v>
      </c>
      <c r="CB189" s="1">
        <v>10.371196271273201</v>
      </c>
      <c r="CC189" s="1">
        <v>10.371196271273201</v>
      </c>
      <c r="CD189" s="1">
        <v>10.371196271273201</v>
      </c>
      <c r="CE189" s="1">
        <v>11.6762842825781</v>
      </c>
      <c r="CF189" s="1">
        <v>11.6762842825781</v>
      </c>
      <c r="CG189" s="1">
        <v>11.6762842825781</v>
      </c>
      <c r="CH189" s="1">
        <v>11.6762842825781</v>
      </c>
      <c r="CI189" s="1">
        <v>12.6085624505184</v>
      </c>
      <c r="CJ189" s="1">
        <v>12.6085624505184</v>
      </c>
      <c r="CK189" s="1">
        <v>12.6085624505184</v>
      </c>
      <c r="CL189" s="1">
        <v>12.6085624505184</v>
      </c>
      <c r="CM189" s="1">
        <v>14.1277316786535</v>
      </c>
      <c r="CN189" s="1">
        <v>14.1277316786535</v>
      </c>
    </row>
    <row r="190" spans="1:92" x14ac:dyDescent="0.35">
      <c r="A190" t="s">
        <v>26</v>
      </c>
      <c r="B190" s="1">
        <v>8.31</v>
      </c>
      <c r="C190" s="1">
        <v>8.31</v>
      </c>
      <c r="D190" s="1">
        <v>8.31</v>
      </c>
      <c r="E190" s="1">
        <v>8.31</v>
      </c>
      <c r="F190" s="1">
        <v>8.31</v>
      </c>
      <c r="G190" s="1">
        <v>8.31</v>
      </c>
      <c r="H190" s="1">
        <v>8.31</v>
      </c>
      <c r="I190" s="1">
        <v>8.31</v>
      </c>
      <c r="J190" s="1">
        <v>8.31</v>
      </c>
      <c r="K190" s="1">
        <v>9.24</v>
      </c>
      <c r="L190" s="1">
        <v>9.24</v>
      </c>
      <c r="M190" s="1">
        <v>9.24</v>
      </c>
      <c r="N190" s="1">
        <v>9.24</v>
      </c>
      <c r="O190" s="1">
        <v>9.24</v>
      </c>
      <c r="P190" s="1">
        <v>9.24</v>
      </c>
      <c r="Q190" s="1">
        <v>9.24</v>
      </c>
      <c r="R190" s="1">
        <v>9.24</v>
      </c>
      <c r="S190" s="1">
        <v>10.54</v>
      </c>
      <c r="T190" s="1">
        <v>10.54</v>
      </c>
      <c r="U190" s="1">
        <v>10.54</v>
      </c>
      <c r="V190" s="1">
        <v>10.54</v>
      </c>
      <c r="W190" s="1">
        <v>11.21</v>
      </c>
      <c r="X190" s="1">
        <v>11.21</v>
      </c>
      <c r="Y190" s="1">
        <v>11.21</v>
      </c>
      <c r="Z190" s="1">
        <v>11.21</v>
      </c>
      <c r="AA190" s="1">
        <v>11.28</v>
      </c>
      <c r="AB190" s="1">
        <v>11.28</v>
      </c>
      <c r="AC190" s="1">
        <v>11.53</v>
      </c>
      <c r="AD190" s="1">
        <v>11.53</v>
      </c>
      <c r="AE190" s="1">
        <v>11.885968749999996</v>
      </c>
      <c r="AF190" s="1">
        <v>11.885968749999996</v>
      </c>
      <c r="AG190" s="1">
        <v>11.885968749999996</v>
      </c>
      <c r="AH190" s="1">
        <v>11.885968749999996</v>
      </c>
      <c r="AI190" s="1">
        <v>12.365770312499999</v>
      </c>
      <c r="AJ190" s="1">
        <v>12.365770312499999</v>
      </c>
      <c r="AK190" s="1">
        <v>12.365770312499999</v>
      </c>
      <c r="AL190" s="1">
        <v>12.365770312499999</v>
      </c>
      <c r="AM190" s="1">
        <v>13.499670312500001</v>
      </c>
      <c r="AN190" s="1">
        <v>13.499670312500001</v>
      </c>
      <c r="AO190" s="1">
        <v>13.499670312500001</v>
      </c>
      <c r="AP190" s="1">
        <v>13.499670312500001</v>
      </c>
      <c r="AQ190" s="1">
        <v>13.678099999999997</v>
      </c>
      <c r="AR190" s="1">
        <v>13.678099999999997</v>
      </c>
      <c r="AS190" s="1">
        <v>13.678099999999997</v>
      </c>
      <c r="AT190" s="1">
        <v>13.678099999999997</v>
      </c>
      <c r="AU190" s="1">
        <v>13.747099999999998</v>
      </c>
      <c r="AV190" s="1">
        <v>13.747099999999998</v>
      </c>
      <c r="AW190" s="1">
        <v>13.747099999999998</v>
      </c>
      <c r="AX190" s="1">
        <v>13.747099999999998</v>
      </c>
      <c r="AY190" s="1">
        <v>14.326699999999997</v>
      </c>
      <c r="AZ190" s="1">
        <v>14.326699999999997</v>
      </c>
      <c r="BA190" s="1">
        <v>14.326699999999997</v>
      </c>
      <c r="BB190" s="1">
        <v>14.326699999999997</v>
      </c>
      <c r="BC190" s="1">
        <v>13.363476243749998</v>
      </c>
      <c r="BD190" s="1">
        <v>13.363476243749998</v>
      </c>
      <c r="BE190" s="1">
        <v>13.363476243749998</v>
      </c>
      <c r="BF190" s="1">
        <v>13.363476243749998</v>
      </c>
      <c r="BG190" s="1">
        <v>13.27788864375</v>
      </c>
      <c r="BH190" s="1">
        <v>13.27788864375</v>
      </c>
      <c r="BI190" s="1">
        <v>13.27788864375</v>
      </c>
      <c r="BJ190" s="1">
        <v>13.27788864375</v>
      </c>
      <c r="BK190" s="1">
        <v>13.217049043749999</v>
      </c>
      <c r="BL190" s="1">
        <v>13.217049043749999</v>
      </c>
      <c r="BM190" s="1">
        <v>13.217049043749999</v>
      </c>
      <c r="BN190" s="1">
        <v>13.217049043749999</v>
      </c>
      <c r="BO190" s="1">
        <v>14.642337409374999</v>
      </c>
      <c r="BP190" s="1">
        <v>14.642337409374999</v>
      </c>
      <c r="BQ190" s="1">
        <v>14.642337409374999</v>
      </c>
      <c r="BR190" s="1">
        <v>14.642337409374999</v>
      </c>
      <c r="BS190" s="1">
        <v>14.297365009374998</v>
      </c>
      <c r="BT190" s="1">
        <v>14.297365009374998</v>
      </c>
      <c r="BU190" s="1">
        <v>14.297365009374998</v>
      </c>
      <c r="BV190" s="1">
        <v>14.297365009374998</v>
      </c>
      <c r="BW190" s="1">
        <v>14.133645618749998</v>
      </c>
      <c r="BX190" s="1">
        <v>14.133645618749998</v>
      </c>
      <c r="BY190" s="1">
        <v>14.133645618749998</v>
      </c>
      <c r="BZ190" s="1">
        <v>14.133645618749998</v>
      </c>
      <c r="CA190" s="1">
        <v>14.071038828124999</v>
      </c>
      <c r="CB190" s="1">
        <v>14.071038828124999</v>
      </c>
      <c r="CC190" s="1">
        <v>14.071038828124999</v>
      </c>
      <c r="CD190" s="1">
        <v>14.071038828124999</v>
      </c>
      <c r="CE190" s="1">
        <v>15.2673830375</v>
      </c>
      <c r="CF190" s="1">
        <v>15.2673830375</v>
      </c>
      <c r="CG190" s="1">
        <v>15.2673830375</v>
      </c>
      <c r="CH190" s="1">
        <v>15.2673830375</v>
      </c>
      <c r="CI190" s="1">
        <v>16.001781446875</v>
      </c>
      <c r="CJ190" s="1">
        <v>16.001781446875</v>
      </c>
      <c r="CK190" s="1">
        <v>16.001781446875</v>
      </c>
      <c r="CL190" s="1">
        <v>16.001781446875</v>
      </c>
      <c r="CM190" s="1">
        <v>15.69729745625</v>
      </c>
      <c r="CN190" s="1">
        <v>15.69729745625</v>
      </c>
    </row>
    <row r="191" spans="1:92" x14ac:dyDescent="0.35">
      <c r="A191" t="s">
        <v>33</v>
      </c>
      <c r="B191" s="1">
        <v>6.17</v>
      </c>
      <c r="C191" s="1">
        <v>6.17</v>
      </c>
      <c r="D191" s="1">
        <v>6.17</v>
      </c>
      <c r="E191" s="1">
        <v>6.17</v>
      </c>
      <c r="F191" s="1">
        <v>6.17</v>
      </c>
      <c r="G191" s="1">
        <v>6.17</v>
      </c>
      <c r="H191" s="1">
        <v>6.17</v>
      </c>
      <c r="I191" s="1">
        <v>6.17</v>
      </c>
      <c r="J191" s="1">
        <v>6.17</v>
      </c>
      <c r="K191" s="1">
        <v>7.92</v>
      </c>
      <c r="L191" s="1">
        <v>7.92</v>
      </c>
      <c r="M191" s="1">
        <v>7.92</v>
      </c>
      <c r="N191" s="1">
        <v>7.92</v>
      </c>
      <c r="O191" s="1">
        <v>7.3</v>
      </c>
      <c r="P191" s="1">
        <v>7.3</v>
      </c>
      <c r="Q191" s="1">
        <v>7.3</v>
      </c>
      <c r="R191" s="1">
        <v>7.3</v>
      </c>
      <c r="S191" s="1">
        <v>7.94</v>
      </c>
      <c r="T191" s="1">
        <v>7.94</v>
      </c>
      <c r="U191" s="1">
        <v>7.94</v>
      </c>
      <c r="V191" s="1">
        <v>7.94</v>
      </c>
      <c r="W191" s="1">
        <v>8.98</v>
      </c>
      <c r="X191" s="1">
        <v>8.98</v>
      </c>
      <c r="Y191" s="1">
        <v>8.98</v>
      </c>
      <c r="Z191" s="1">
        <v>8.98</v>
      </c>
      <c r="AA191" s="1">
        <v>9.8800000000000008</v>
      </c>
      <c r="AB191" s="1">
        <v>9.8800000000000008</v>
      </c>
      <c r="AC191" s="1">
        <v>10.1</v>
      </c>
      <c r="AD191" s="1">
        <v>10.1</v>
      </c>
      <c r="AE191" s="1">
        <v>10.4928515625</v>
      </c>
      <c r="AF191" s="1">
        <v>10.4928515625</v>
      </c>
      <c r="AG191" s="1">
        <v>10.4928515625</v>
      </c>
      <c r="AH191" s="1">
        <v>10.4928515625</v>
      </c>
      <c r="AI191" s="1">
        <v>10.735252874999999</v>
      </c>
      <c r="AJ191" s="1">
        <v>10.735252874999999</v>
      </c>
      <c r="AK191" s="1">
        <v>10.735252874999999</v>
      </c>
      <c r="AL191" s="1">
        <v>10.735252874999999</v>
      </c>
      <c r="AM191" s="1">
        <v>11.695003343750001</v>
      </c>
      <c r="AN191" s="1">
        <v>11.695003343750001</v>
      </c>
      <c r="AO191" s="1">
        <v>11.695003343750001</v>
      </c>
      <c r="AP191" s="1">
        <v>11.695003343750001</v>
      </c>
      <c r="AQ191" s="1">
        <v>12.834079421875</v>
      </c>
      <c r="AR191" s="1">
        <v>12.834079421875</v>
      </c>
      <c r="AS191" s="1">
        <v>12.834079421875</v>
      </c>
      <c r="AT191" s="1">
        <v>12.834079421875</v>
      </c>
      <c r="AU191" s="1">
        <v>13.638744843749999</v>
      </c>
      <c r="AV191" s="1">
        <v>13.638744843749999</v>
      </c>
      <c r="AW191" s="1">
        <v>13.638744843749999</v>
      </c>
      <c r="AX191" s="1">
        <v>13.638744843749999</v>
      </c>
      <c r="AY191" s="1">
        <v>14.703930546874998</v>
      </c>
      <c r="AZ191" s="1">
        <v>14.703930546874998</v>
      </c>
      <c r="BA191" s="1">
        <v>14.703930546874998</v>
      </c>
      <c r="BB191" s="1">
        <v>14.703930546874998</v>
      </c>
      <c r="BC191" s="1">
        <v>15.794130546875</v>
      </c>
      <c r="BD191" s="1">
        <v>15.794130546875</v>
      </c>
      <c r="BE191" s="1">
        <v>15.794130546875</v>
      </c>
      <c r="BF191" s="1">
        <v>15.794130546875</v>
      </c>
      <c r="BG191" s="1">
        <v>15.794130546875</v>
      </c>
      <c r="BH191" s="1">
        <v>15.794130546875</v>
      </c>
      <c r="BI191" s="1">
        <v>15.794130546875</v>
      </c>
      <c r="BJ191" s="1">
        <v>15.794130546875</v>
      </c>
      <c r="BK191" s="1">
        <v>15.994056249999998</v>
      </c>
      <c r="BL191" s="1">
        <v>15.994056249999998</v>
      </c>
      <c r="BM191" s="1">
        <v>15.994056249999998</v>
      </c>
      <c r="BN191" s="1">
        <v>15.994056249999998</v>
      </c>
      <c r="BO191" s="1">
        <v>15.994056249999998</v>
      </c>
      <c r="BP191" s="1">
        <v>15.994056249999998</v>
      </c>
      <c r="BQ191" s="1">
        <v>15.994056249999998</v>
      </c>
      <c r="BR191" s="1">
        <v>15.994056249999998</v>
      </c>
      <c r="BS191" s="1">
        <v>14.79805625</v>
      </c>
      <c r="BT191" s="1">
        <v>14.79805625</v>
      </c>
      <c r="BU191" s="1">
        <v>14.79805625</v>
      </c>
      <c r="BV191" s="1">
        <v>14.79805625</v>
      </c>
      <c r="BW191" s="1">
        <v>14.784112499999999</v>
      </c>
      <c r="BX191" s="1">
        <v>14.784112499999999</v>
      </c>
      <c r="BY191" s="1">
        <v>14.784112499999999</v>
      </c>
      <c r="BZ191" s="1">
        <v>14.784112499999999</v>
      </c>
      <c r="CA191" s="1">
        <v>15.78216875</v>
      </c>
      <c r="CB191" s="1">
        <v>15.78216875</v>
      </c>
      <c r="CC191" s="1">
        <v>15.78216875</v>
      </c>
      <c r="CD191" s="1">
        <v>15.78216875</v>
      </c>
      <c r="CE191" s="1">
        <v>16.228224999999998</v>
      </c>
      <c r="CF191" s="1">
        <v>16.228224999999998</v>
      </c>
      <c r="CG191" s="1">
        <v>16.228224999999998</v>
      </c>
      <c r="CH191" s="1">
        <v>16.228224999999998</v>
      </c>
      <c r="CI191" s="1">
        <v>20.570121875000002</v>
      </c>
      <c r="CJ191" s="1">
        <v>20.570121875000002</v>
      </c>
      <c r="CK191" s="1">
        <v>20.570121875000002</v>
      </c>
      <c r="CL191" s="1">
        <v>20.570121875000002</v>
      </c>
      <c r="CM191" s="1">
        <v>22.631500109375001</v>
      </c>
      <c r="CN191" s="1">
        <v>22.631500109375001</v>
      </c>
    </row>
    <row r="192" spans="1:92" x14ac:dyDescent="0.35">
      <c r="A192" t="s">
        <v>34</v>
      </c>
      <c r="B192" s="1">
        <v>4.51</v>
      </c>
      <c r="C192" s="1">
        <v>4.51</v>
      </c>
      <c r="D192" s="1">
        <v>4.79</v>
      </c>
      <c r="E192" s="1">
        <v>4.79</v>
      </c>
      <c r="F192" s="1">
        <v>4.79</v>
      </c>
      <c r="G192" s="1">
        <v>4.79</v>
      </c>
      <c r="H192" s="1">
        <v>4.79</v>
      </c>
      <c r="I192" s="1">
        <v>4.79</v>
      </c>
      <c r="J192" s="1">
        <v>4.79</v>
      </c>
      <c r="K192" s="1">
        <v>4.91</v>
      </c>
      <c r="L192" s="1">
        <v>4.91</v>
      </c>
      <c r="M192" s="1">
        <v>4.91</v>
      </c>
      <c r="N192" s="1">
        <v>4.91</v>
      </c>
      <c r="O192" s="1">
        <v>4.72</v>
      </c>
      <c r="P192" s="1">
        <v>4.72</v>
      </c>
      <c r="Q192" s="1">
        <v>4.72</v>
      </c>
      <c r="R192" s="1">
        <v>4.72</v>
      </c>
      <c r="S192" s="1">
        <v>4.95</v>
      </c>
      <c r="T192" s="1">
        <v>4.95</v>
      </c>
      <c r="U192" s="1">
        <v>4.95</v>
      </c>
      <c r="V192" s="1">
        <v>4.95</v>
      </c>
      <c r="W192" s="1">
        <v>5.19</v>
      </c>
      <c r="X192" s="1">
        <v>5.19</v>
      </c>
      <c r="Y192" s="1">
        <v>5.19</v>
      </c>
      <c r="Z192" s="1">
        <v>5.19</v>
      </c>
      <c r="AA192" s="1">
        <v>7.45</v>
      </c>
      <c r="AB192" s="1">
        <v>7.45</v>
      </c>
      <c r="AC192" s="1">
        <v>7.61</v>
      </c>
      <c r="AD192" s="1">
        <v>7.61</v>
      </c>
      <c r="AE192" s="1">
        <v>7.8491801718749992</v>
      </c>
      <c r="AF192" s="1">
        <v>7.8491801718749992</v>
      </c>
      <c r="AG192" s="1">
        <v>7.8491801718749992</v>
      </c>
      <c r="AH192" s="1">
        <v>7.8491801718749992</v>
      </c>
      <c r="AI192" s="1">
        <v>7.8491801718749992</v>
      </c>
      <c r="AJ192" s="1">
        <v>7.8491801718749992</v>
      </c>
      <c r="AK192" s="1">
        <v>7.8491801718749992</v>
      </c>
      <c r="AL192" s="1">
        <v>8.7041297031249982</v>
      </c>
      <c r="AM192" s="1">
        <v>8.7041297031249982</v>
      </c>
      <c r="AN192" s="1">
        <v>8.7041297031249982</v>
      </c>
      <c r="AO192" s="1">
        <v>8.7041297031249982</v>
      </c>
      <c r="AP192" s="1">
        <v>9.0638777343750014</v>
      </c>
      <c r="AQ192" s="1">
        <v>9.0638777343750014</v>
      </c>
      <c r="AR192" s="1">
        <v>9.0638777343750014</v>
      </c>
      <c r="AS192" s="1">
        <v>9.0638777343750014</v>
      </c>
      <c r="AT192" s="1">
        <v>9.0638777343750014</v>
      </c>
      <c r="AU192" s="1">
        <v>9.0638777343750014</v>
      </c>
      <c r="AV192" s="1">
        <v>9.0638777343750014</v>
      </c>
      <c r="AW192" s="1">
        <v>9.0638777343750014</v>
      </c>
      <c r="AX192" s="1">
        <v>9.0638777343750014</v>
      </c>
      <c r="AY192" s="1">
        <v>9.7491799843750009</v>
      </c>
      <c r="AZ192" s="1">
        <v>9.7491799843750009</v>
      </c>
      <c r="BA192" s="1">
        <v>9.7491799843750009</v>
      </c>
      <c r="BB192" s="1">
        <v>9.7491799843750009</v>
      </c>
      <c r="BC192" s="1">
        <v>9.7003039062499958</v>
      </c>
      <c r="BD192" s="1">
        <v>9.7003039062499958</v>
      </c>
      <c r="BE192" s="1">
        <v>9.7003039062499958</v>
      </c>
      <c r="BF192" s="1">
        <v>9.7003039062499958</v>
      </c>
      <c r="BG192" s="1">
        <v>9.8620797968749994</v>
      </c>
      <c r="BH192" s="1">
        <v>9.8620797968749994</v>
      </c>
      <c r="BI192" s="1">
        <v>9.8620797968749994</v>
      </c>
      <c r="BJ192" s="1">
        <v>9.8620797968749994</v>
      </c>
      <c r="BK192" s="1">
        <v>9.9661048437499993</v>
      </c>
      <c r="BL192" s="1">
        <v>9.9661048437499993</v>
      </c>
      <c r="BM192" s="1">
        <v>9.9661048437499993</v>
      </c>
      <c r="BN192" s="1">
        <v>9.9661048437499993</v>
      </c>
      <c r="BO192" s="1">
        <v>10.806055500000003</v>
      </c>
      <c r="BP192" s="1">
        <v>10.806055500000003</v>
      </c>
      <c r="BQ192" s="1">
        <v>10.806055500000003</v>
      </c>
      <c r="BR192" s="1">
        <v>10.806055500000003</v>
      </c>
      <c r="BS192" s="1">
        <v>11.2775555</v>
      </c>
      <c r="BT192" s="1">
        <v>11.2775555</v>
      </c>
      <c r="BU192" s="1">
        <v>11.2775555</v>
      </c>
      <c r="BV192" s="1">
        <v>11.2775555</v>
      </c>
      <c r="BW192" s="1">
        <v>12.134650859375</v>
      </c>
      <c r="BX192" s="1">
        <v>12.134650859375</v>
      </c>
      <c r="BY192" s="1">
        <v>12.134650859375</v>
      </c>
      <c r="BZ192" s="1">
        <v>12.134650859375</v>
      </c>
      <c r="CA192" s="1">
        <v>13.315076984375001</v>
      </c>
      <c r="CB192" s="1">
        <v>13.315076984375001</v>
      </c>
      <c r="CC192" s="1">
        <v>13.315076984375001</v>
      </c>
      <c r="CD192" s="1">
        <v>13.315076984375001</v>
      </c>
      <c r="CE192" s="1">
        <v>14.700521875</v>
      </c>
      <c r="CF192" s="1">
        <v>14.700521875</v>
      </c>
      <c r="CG192" s="1">
        <v>14.700521875</v>
      </c>
      <c r="CH192" s="1">
        <v>14.700521875</v>
      </c>
      <c r="CI192" s="1">
        <v>16.174293234375</v>
      </c>
      <c r="CJ192" s="1">
        <v>16.174293234375</v>
      </c>
      <c r="CK192" s="1">
        <v>16.174293234375</v>
      </c>
      <c r="CL192" s="1">
        <v>16.174293234375</v>
      </c>
      <c r="CM192" s="1">
        <v>17.434313374999999</v>
      </c>
      <c r="CN192" s="1">
        <v>17.434313374999999</v>
      </c>
    </row>
    <row r="193" spans="1:92" x14ac:dyDescent="0.35">
      <c r="A193" t="s">
        <v>29</v>
      </c>
      <c r="B193" s="1">
        <v>5.94</v>
      </c>
      <c r="C193" s="1">
        <v>5.95</v>
      </c>
      <c r="D193" s="1">
        <v>5.95</v>
      </c>
      <c r="E193" s="1">
        <v>5.95</v>
      </c>
      <c r="F193" s="1">
        <v>5.95</v>
      </c>
      <c r="G193" s="1">
        <v>6.7</v>
      </c>
      <c r="H193" s="1">
        <v>6.7</v>
      </c>
      <c r="I193" s="1">
        <v>6.7</v>
      </c>
      <c r="J193" s="1">
        <v>6.7</v>
      </c>
      <c r="K193" s="1">
        <v>7.73</v>
      </c>
      <c r="L193" s="1">
        <v>7.73</v>
      </c>
      <c r="M193" s="1">
        <v>7.73</v>
      </c>
      <c r="N193" s="1">
        <v>7.73</v>
      </c>
      <c r="O193" s="1">
        <v>8</v>
      </c>
      <c r="P193" s="1">
        <v>8</v>
      </c>
      <c r="Q193" s="1">
        <v>8</v>
      </c>
      <c r="R193" s="1">
        <v>8</v>
      </c>
      <c r="S193" s="1">
        <v>8.77</v>
      </c>
      <c r="T193" s="1">
        <v>8.77</v>
      </c>
      <c r="U193" s="1">
        <v>8.77</v>
      </c>
      <c r="V193" s="1">
        <v>8.77</v>
      </c>
      <c r="W193" s="1">
        <v>9.2100000000000009</v>
      </c>
      <c r="X193" s="1">
        <v>9.2100000000000009</v>
      </c>
      <c r="Y193" s="1">
        <v>9.2100000000000009</v>
      </c>
      <c r="Z193" s="1">
        <v>9.2100000000000009</v>
      </c>
      <c r="AA193" s="1">
        <v>10.029999999999999</v>
      </c>
      <c r="AB193" s="1">
        <v>10.029999999999999</v>
      </c>
      <c r="AC193" s="1">
        <v>10.25</v>
      </c>
      <c r="AD193" s="1">
        <v>10.25</v>
      </c>
      <c r="AE193" s="1">
        <v>10.372791875000001</v>
      </c>
      <c r="AF193" s="1">
        <v>10.372791875000001</v>
      </c>
      <c r="AG193" s="1">
        <v>10.372791875000001</v>
      </c>
      <c r="AH193" s="1">
        <v>10.372791875000001</v>
      </c>
      <c r="AI193" s="1">
        <v>10.648791875000001</v>
      </c>
      <c r="AJ193" s="1">
        <v>10.648791875000001</v>
      </c>
      <c r="AK193" s="1">
        <v>10.648791875000001</v>
      </c>
      <c r="AL193" s="1">
        <v>10.648791875000001</v>
      </c>
      <c r="AM193" s="1">
        <v>10.882791875000001</v>
      </c>
      <c r="AN193" s="1">
        <v>10.882791875000001</v>
      </c>
      <c r="AO193" s="1">
        <v>10.882791875000001</v>
      </c>
      <c r="AP193" s="1">
        <v>10.882791875000001</v>
      </c>
      <c r="AQ193" s="1">
        <v>10.882791875000001</v>
      </c>
      <c r="AR193" s="1">
        <v>10.882791875000001</v>
      </c>
      <c r="AS193" s="1">
        <v>10.882791875000001</v>
      </c>
      <c r="AT193" s="1">
        <v>10.882791875000001</v>
      </c>
      <c r="AU193" s="1">
        <v>10.900791874999999</v>
      </c>
      <c r="AV193" s="1">
        <v>10.900791874999999</v>
      </c>
      <c r="AW193" s="1">
        <v>10.900791874999999</v>
      </c>
      <c r="AX193" s="1">
        <v>10.900791874999999</v>
      </c>
      <c r="AY193" s="1">
        <v>11.032677734374998</v>
      </c>
      <c r="AZ193" s="1">
        <v>11.032677734374998</v>
      </c>
      <c r="BA193" s="1">
        <v>11.032677734374998</v>
      </c>
      <c r="BB193" s="1">
        <v>11.032677734374998</v>
      </c>
      <c r="BC193" s="1">
        <v>11.527177734374998</v>
      </c>
      <c r="BD193" s="1">
        <v>11.527177734374998</v>
      </c>
      <c r="BE193" s="1">
        <v>11.527177734374998</v>
      </c>
      <c r="BF193" s="1">
        <v>11.527177734374998</v>
      </c>
      <c r="BG193" s="1">
        <v>11.876777734374999</v>
      </c>
      <c r="BH193" s="1">
        <v>11.876777734374999</v>
      </c>
      <c r="BI193" s="1">
        <v>11.876777734374999</v>
      </c>
      <c r="BJ193" s="1">
        <v>11.876777734374999</v>
      </c>
      <c r="BK193" s="1">
        <v>12.210277734374998</v>
      </c>
      <c r="BL193" s="1">
        <v>12.210277734374998</v>
      </c>
      <c r="BM193" s="1">
        <v>12.210277734374998</v>
      </c>
      <c r="BN193" s="1">
        <v>12.210277734374998</v>
      </c>
      <c r="BO193" s="1">
        <v>13.328077734375</v>
      </c>
      <c r="BP193" s="1">
        <v>13.328077734375</v>
      </c>
      <c r="BQ193" s="1">
        <v>13.328077734375</v>
      </c>
      <c r="BR193" s="1">
        <v>13.328077734375</v>
      </c>
      <c r="BS193" s="1">
        <v>12.957777734375</v>
      </c>
      <c r="BT193" s="1">
        <v>12.957777734375</v>
      </c>
      <c r="BU193" s="1">
        <v>12.957777734375</v>
      </c>
      <c r="BV193" s="1">
        <v>12.957777734375</v>
      </c>
      <c r="BW193" s="1">
        <v>13.166496265625</v>
      </c>
      <c r="BX193" s="1">
        <v>13.166496265625</v>
      </c>
      <c r="BY193" s="1">
        <v>13.166496265625</v>
      </c>
      <c r="BZ193" s="1">
        <v>13.166496265625</v>
      </c>
      <c r="CA193" s="1">
        <v>13.171986437499999</v>
      </c>
      <c r="CB193" s="1">
        <v>13.171986437499999</v>
      </c>
      <c r="CC193" s="1">
        <v>13.171986437499999</v>
      </c>
      <c r="CD193" s="1">
        <v>13.171986437499999</v>
      </c>
      <c r="CE193" s="1">
        <v>14.599862375000001</v>
      </c>
      <c r="CF193" s="1">
        <v>14.599862375000001</v>
      </c>
      <c r="CG193" s="1">
        <v>14.599862375000001</v>
      </c>
      <c r="CH193" s="1">
        <v>14.599862375000001</v>
      </c>
      <c r="CI193" s="1">
        <v>17.304565343749999</v>
      </c>
      <c r="CJ193" s="1">
        <v>17.304565343749999</v>
      </c>
      <c r="CK193" s="1">
        <v>17.304565343749999</v>
      </c>
      <c r="CL193" s="1">
        <v>17.304565343749999</v>
      </c>
      <c r="CM193" s="1">
        <v>19.099286609375</v>
      </c>
      <c r="CN193" s="1">
        <v>19.099286609375</v>
      </c>
    </row>
    <row r="194" spans="1:92" x14ac:dyDescent="0.35">
      <c r="A194" t="s">
        <v>36</v>
      </c>
      <c r="B194" s="1">
        <v>4.96</v>
      </c>
      <c r="C194" s="1">
        <v>5.0599999999999996</v>
      </c>
      <c r="D194" s="1">
        <v>5.0599999999999996</v>
      </c>
      <c r="E194" s="1">
        <v>5.0599999999999996</v>
      </c>
      <c r="F194" s="1">
        <v>5.0599999999999996</v>
      </c>
      <c r="G194" s="1">
        <v>5.01</v>
      </c>
      <c r="H194" s="1">
        <v>5.01</v>
      </c>
      <c r="I194" s="1">
        <v>5.01</v>
      </c>
      <c r="J194" s="1">
        <v>5.01</v>
      </c>
      <c r="K194" s="1">
        <v>5.15</v>
      </c>
      <c r="L194" s="1">
        <v>5.15</v>
      </c>
      <c r="M194" s="1">
        <v>5.15</v>
      </c>
      <c r="N194" s="1">
        <v>5.15</v>
      </c>
      <c r="O194" s="1">
        <v>5.27</v>
      </c>
      <c r="P194" s="1">
        <v>5.27</v>
      </c>
      <c r="Q194" s="1">
        <v>5.27</v>
      </c>
      <c r="R194" s="1">
        <v>5.27</v>
      </c>
      <c r="S194" s="1">
        <v>5.42</v>
      </c>
      <c r="T194" s="1">
        <v>5.42</v>
      </c>
      <c r="U194" s="1">
        <v>5.42</v>
      </c>
      <c r="V194" s="1">
        <v>5.42</v>
      </c>
      <c r="W194" s="1">
        <v>5.73</v>
      </c>
      <c r="X194" s="1">
        <v>5.73</v>
      </c>
      <c r="Y194" s="1">
        <v>5.73</v>
      </c>
      <c r="Z194" s="1">
        <v>5.73</v>
      </c>
      <c r="AA194" s="1">
        <v>6.04</v>
      </c>
      <c r="AB194" s="1">
        <v>6.04</v>
      </c>
      <c r="AC194" s="1">
        <v>6.17</v>
      </c>
      <c r="AD194" s="1">
        <v>6.17</v>
      </c>
      <c r="AE194" s="1">
        <v>6.6588234375000006</v>
      </c>
      <c r="AF194" s="1">
        <v>6.6588234375000006</v>
      </c>
      <c r="AG194" s="1">
        <v>6.6588234375000006</v>
      </c>
      <c r="AH194" s="1">
        <v>6.6588234375000006</v>
      </c>
      <c r="AI194" s="1">
        <v>7.036023437499999</v>
      </c>
      <c r="AJ194" s="1">
        <v>7.036023437499999</v>
      </c>
      <c r="AK194" s="1">
        <v>7.036023437499999</v>
      </c>
      <c r="AL194" s="1">
        <v>7.036023437499999</v>
      </c>
      <c r="AM194" s="1">
        <v>7.4155234375000001</v>
      </c>
      <c r="AN194" s="1">
        <v>7.4155234375000001</v>
      </c>
      <c r="AO194" s="1">
        <v>7.4155234375000001</v>
      </c>
      <c r="AP194" s="1">
        <v>7.4155234375000001</v>
      </c>
      <c r="AQ194" s="1">
        <v>7.5535234374999991</v>
      </c>
      <c r="AR194" s="1">
        <v>7.5535234374999991</v>
      </c>
      <c r="AS194" s="1">
        <v>7.5535234374999991</v>
      </c>
      <c r="AT194" s="1">
        <v>7.5535234374999991</v>
      </c>
      <c r="AU194" s="1">
        <v>7.8778234374999991</v>
      </c>
      <c r="AV194" s="1">
        <v>7.8778234374999991</v>
      </c>
      <c r="AW194" s="1">
        <v>7.8778234374999991</v>
      </c>
      <c r="AX194" s="1">
        <v>7.8778234374999991</v>
      </c>
      <c r="AY194" s="1">
        <v>8.0503234374999995</v>
      </c>
      <c r="AZ194" s="1">
        <v>8.0503234374999995</v>
      </c>
      <c r="BA194" s="1">
        <v>8.0503234374999995</v>
      </c>
      <c r="BB194" s="1">
        <v>8.0503234374999995</v>
      </c>
      <c r="BC194" s="1">
        <v>8.1860234374999994</v>
      </c>
      <c r="BD194" s="1">
        <v>8.1860234374999994</v>
      </c>
      <c r="BE194" s="1">
        <v>8.1860234374999994</v>
      </c>
      <c r="BF194" s="1">
        <v>8.1860234374999994</v>
      </c>
      <c r="BG194" s="1">
        <v>9.109877734374999</v>
      </c>
      <c r="BH194" s="1">
        <v>9.109877734374999</v>
      </c>
      <c r="BI194" s="1">
        <v>9.109877734374999</v>
      </c>
      <c r="BJ194" s="1">
        <v>9.109877734374999</v>
      </c>
      <c r="BK194" s="1">
        <v>9.109877734374999</v>
      </c>
      <c r="BL194" s="1">
        <v>9.109877734374999</v>
      </c>
      <c r="BM194" s="1">
        <v>9.109877734374999</v>
      </c>
      <c r="BN194" s="1">
        <v>9.109877734374999</v>
      </c>
      <c r="BO194" s="1">
        <v>9.1006777343749974</v>
      </c>
      <c r="BP194" s="1">
        <v>9.1006777343749974</v>
      </c>
      <c r="BQ194" s="1">
        <v>9.1006777343749974</v>
      </c>
      <c r="BR194" s="1">
        <v>9.1006777343749974</v>
      </c>
      <c r="BS194" s="1">
        <v>9.3604523124999996</v>
      </c>
      <c r="BT194" s="1">
        <v>9.3604523124999996</v>
      </c>
      <c r="BU194" s="1">
        <v>9.3604523124999996</v>
      </c>
      <c r="BV194" s="1">
        <v>9.3604523124999996</v>
      </c>
      <c r="BW194" s="1">
        <v>10.457478281249999</v>
      </c>
      <c r="BX194" s="1">
        <v>10.457478281249999</v>
      </c>
      <c r="BY194" s="1">
        <v>10.457478281249999</v>
      </c>
      <c r="BZ194" s="1">
        <v>10.457478281249999</v>
      </c>
      <c r="CA194" s="1">
        <v>12.932272171875001</v>
      </c>
      <c r="CB194" s="1">
        <v>12.932272171875001</v>
      </c>
      <c r="CC194" s="1">
        <v>12.932272171875001</v>
      </c>
      <c r="CD194" s="1">
        <v>12.932272171875001</v>
      </c>
      <c r="CE194" s="1">
        <v>13.342349234375</v>
      </c>
      <c r="CF194" s="1">
        <v>13.342349234375</v>
      </c>
      <c r="CG194" s="1">
        <v>13.342349234375</v>
      </c>
      <c r="CH194" s="1">
        <v>13.342349234375</v>
      </c>
      <c r="CI194" s="1">
        <v>15.349373796875</v>
      </c>
      <c r="CJ194" s="1">
        <v>15.349373796875</v>
      </c>
      <c r="CK194" s="1">
        <v>15.349373796875</v>
      </c>
      <c r="CL194" s="1">
        <v>15.349373796875</v>
      </c>
      <c r="CM194" s="1">
        <v>20.753596468750001</v>
      </c>
      <c r="CN194" s="1">
        <v>20.753596468750001</v>
      </c>
    </row>
    <row r="195" spans="1:92" x14ac:dyDescent="0.35">
      <c r="A195" t="s">
        <v>30</v>
      </c>
      <c r="B195" s="1">
        <v>4.7300000000000004</v>
      </c>
      <c r="C195" s="1">
        <v>4.7300000000000004</v>
      </c>
      <c r="D195" s="1">
        <v>4.6500000000000004</v>
      </c>
      <c r="E195" s="1">
        <v>4.6500000000000004</v>
      </c>
      <c r="F195" s="1">
        <v>4.6500000000000004</v>
      </c>
      <c r="G195" s="1">
        <v>4.6500000000000004</v>
      </c>
      <c r="H195" s="1">
        <v>4.6500000000000004</v>
      </c>
      <c r="I195" s="1">
        <v>4.91</v>
      </c>
      <c r="J195" s="1">
        <v>4.91</v>
      </c>
      <c r="K195" s="1">
        <v>4.91</v>
      </c>
      <c r="L195" s="1">
        <v>4.91</v>
      </c>
      <c r="M195" s="1">
        <v>4.91</v>
      </c>
      <c r="N195" s="1">
        <v>4.91</v>
      </c>
      <c r="O195" s="1">
        <v>4.91</v>
      </c>
      <c r="P195" s="1">
        <v>4.91</v>
      </c>
      <c r="Q195" s="1">
        <v>4.91</v>
      </c>
      <c r="R195" s="1">
        <v>4.91</v>
      </c>
      <c r="S195" s="1">
        <v>4.91</v>
      </c>
      <c r="T195" s="1">
        <v>4.91</v>
      </c>
      <c r="U195" s="1">
        <v>4.91</v>
      </c>
      <c r="V195" s="1">
        <v>4.91</v>
      </c>
      <c r="W195" s="1">
        <v>5.32</v>
      </c>
      <c r="X195" s="1">
        <v>5.32</v>
      </c>
      <c r="Y195" s="1">
        <v>5.32</v>
      </c>
      <c r="Z195" s="1">
        <v>5.32</v>
      </c>
      <c r="AA195" s="1">
        <v>5.32</v>
      </c>
      <c r="AB195" s="1">
        <v>5.32</v>
      </c>
      <c r="AC195" s="1">
        <v>5.43</v>
      </c>
      <c r="AD195" s="1">
        <v>5.43</v>
      </c>
      <c r="AE195" s="1">
        <v>5.4887703124999998</v>
      </c>
      <c r="AF195" s="1">
        <v>5.4887703124999998</v>
      </c>
      <c r="AG195" s="1">
        <v>5.4887703124999998</v>
      </c>
      <c r="AH195" s="1">
        <v>5.4887703124999998</v>
      </c>
      <c r="AI195" s="1">
        <v>5.6635703124999992</v>
      </c>
      <c r="AJ195" s="1">
        <v>5.6635703124999992</v>
      </c>
      <c r="AK195" s="1">
        <v>5.6635703124999992</v>
      </c>
      <c r="AL195" s="1">
        <v>5.6635703124999992</v>
      </c>
      <c r="AM195" s="1">
        <v>5.8015703124999991</v>
      </c>
      <c r="AN195" s="1">
        <v>5.8015703124999991</v>
      </c>
      <c r="AO195" s="1">
        <v>5.8015703124999991</v>
      </c>
      <c r="AP195" s="1">
        <v>5.8015703124999991</v>
      </c>
      <c r="AQ195" s="1">
        <v>6.0660703124999991</v>
      </c>
      <c r="AR195" s="1">
        <v>6.0660703124999991</v>
      </c>
      <c r="AS195" s="1">
        <v>6.0660703124999991</v>
      </c>
      <c r="AT195" s="1">
        <v>6.0660703124999991</v>
      </c>
      <c r="AU195" s="1">
        <v>6.2523703124999992</v>
      </c>
      <c r="AV195" s="1">
        <v>6.2523703124999992</v>
      </c>
      <c r="AW195" s="1">
        <v>6.2523703124999992</v>
      </c>
      <c r="AX195" s="1">
        <v>6.2523703124999992</v>
      </c>
      <c r="AY195" s="1">
        <v>6.2523703124999992</v>
      </c>
      <c r="AZ195" s="1">
        <v>6.2523703124999992</v>
      </c>
      <c r="BA195" s="1">
        <v>6.2523703124999992</v>
      </c>
      <c r="BB195" s="1">
        <v>6.2523703124999992</v>
      </c>
      <c r="BC195" s="1">
        <v>6.2523703124999992</v>
      </c>
      <c r="BD195" s="1">
        <v>6.2523703124999992</v>
      </c>
      <c r="BE195" s="1">
        <v>6.2523703124999992</v>
      </c>
      <c r="BF195" s="1">
        <v>6.2523703124999992</v>
      </c>
      <c r="BG195" s="1">
        <v>6.5697703124999993</v>
      </c>
      <c r="BH195" s="1">
        <v>6.5697703124999993</v>
      </c>
      <c r="BI195" s="1">
        <v>6.5697703124999993</v>
      </c>
      <c r="BJ195" s="1">
        <v>6.5697703124999993</v>
      </c>
      <c r="BK195" s="1">
        <v>6.7123703124999992</v>
      </c>
      <c r="BL195" s="1">
        <v>6.7123703124999992</v>
      </c>
      <c r="BM195" s="1">
        <v>6.7123703124999992</v>
      </c>
      <c r="BN195" s="1">
        <v>6.7123703124999992</v>
      </c>
      <c r="BO195" s="1">
        <v>6.1764703124999984</v>
      </c>
      <c r="BP195" s="1">
        <v>6.1764703124999984</v>
      </c>
      <c r="BQ195" s="1">
        <v>6.1764703124999984</v>
      </c>
      <c r="BR195" s="1">
        <v>6.1764703124999984</v>
      </c>
      <c r="BS195" s="1">
        <v>6.0982703124999995</v>
      </c>
      <c r="BT195" s="1">
        <v>6.0982703124999995</v>
      </c>
      <c r="BU195" s="1">
        <v>6.0982703124999995</v>
      </c>
      <c r="BV195" s="1">
        <v>6.0982703124999995</v>
      </c>
      <c r="BW195" s="1">
        <v>6.2280406249999984</v>
      </c>
      <c r="BX195" s="1">
        <v>6.2280406249999984</v>
      </c>
      <c r="BY195" s="1">
        <v>6.2280406249999984</v>
      </c>
      <c r="BZ195" s="1">
        <v>6.2280406249999984</v>
      </c>
      <c r="CA195" s="1">
        <v>6.4206142343749999</v>
      </c>
      <c r="CB195" s="1">
        <v>6.4206142343749999</v>
      </c>
      <c r="CC195" s="1">
        <v>6.4206142343749999</v>
      </c>
      <c r="CD195" s="1">
        <v>6.4206142343749999</v>
      </c>
      <c r="CE195" s="1">
        <v>6.9930214875000001</v>
      </c>
      <c r="CF195" s="1">
        <v>6.9930214875000001</v>
      </c>
      <c r="CG195" s="1">
        <v>6.9930214875000001</v>
      </c>
      <c r="CH195" s="1">
        <v>6.9930214875000001</v>
      </c>
      <c r="CI195" s="1">
        <v>8.7316626796874992</v>
      </c>
      <c r="CJ195" s="1">
        <v>8.7316626796874992</v>
      </c>
      <c r="CK195" s="1">
        <v>8.7316626796874992</v>
      </c>
      <c r="CL195" s="1">
        <v>8.7316626796874992</v>
      </c>
      <c r="CM195" s="1">
        <v>9.8600971249999994</v>
      </c>
      <c r="CN195" s="1">
        <v>9.8600971249999994</v>
      </c>
    </row>
    <row r="196" spans="1:92" x14ac:dyDescent="0.35">
      <c r="A196" t="s">
        <v>32</v>
      </c>
      <c r="B196" s="1">
        <v>4.84</v>
      </c>
      <c r="C196" s="1">
        <v>5</v>
      </c>
      <c r="D196" s="1">
        <v>5</v>
      </c>
      <c r="E196" s="1">
        <v>5.05</v>
      </c>
      <c r="F196" s="1">
        <v>5.05</v>
      </c>
      <c r="G196" s="1">
        <v>5.22</v>
      </c>
      <c r="H196" s="1">
        <v>5.22</v>
      </c>
      <c r="I196" s="1">
        <v>5.22</v>
      </c>
      <c r="J196" s="1">
        <v>5.22</v>
      </c>
      <c r="K196" s="1">
        <v>5.23</v>
      </c>
      <c r="L196" s="1">
        <v>5.23</v>
      </c>
      <c r="M196" s="1">
        <v>5.23</v>
      </c>
      <c r="N196" s="1">
        <v>5.23</v>
      </c>
      <c r="O196" s="1">
        <v>5.52</v>
      </c>
      <c r="P196" s="1">
        <v>5.52</v>
      </c>
      <c r="Q196" s="1">
        <v>5.52</v>
      </c>
      <c r="R196" s="1">
        <v>5.52</v>
      </c>
      <c r="S196" s="1">
        <v>5.69</v>
      </c>
      <c r="T196" s="1">
        <v>5.69</v>
      </c>
      <c r="U196" s="1">
        <v>5.69</v>
      </c>
      <c r="V196" s="1">
        <v>5.69</v>
      </c>
      <c r="W196" s="1">
        <v>5.51</v>
      </c>
      <c r="X196" s="1">
        <v>5.51</v>
      </c>
      <c r="Y196" s="1">
        <v>5.51</v>
      </c>
      <c r="Z196" s="1">
        <v>5.51</v>
      </c>
      <c r="AA196" s="1">
        <v>5.91</v>
      </c>
      <c r="AB196" s="1">
        <v>5.91</v>
      </c>
      <c r="AC196" s="1">
        <v>6.04</v>
      </c>
      <c r="AD196" s="1">
        <v>6.04</v>
      </c>
      <c r="AE196" s="1">
        <v>6.2918339491033128</v>
      </c>
      <c r="AF196" s="1">
        <v>6.2918339491033128</v>
      </c>
      <c r="AG196" s="1">
        <v>6.2918339491033128</v>
      </c>
      <c r="AH196" s="1">
        <v>6.2918339491033128</v>
      </c>
      <c r="AI196" s="1">
        <v>6.5528153914533398</v>
      </c>
      <c r="AJ196" s="1">
        <v>6.5528153914533398</v>
      </c>
      <c r="AK196" s="1">
        <v>6.5528153914533398</v>
      </c>
      <c r="AL196" s="1">
        <v>6.5528153914533398</v>
      </c>
      <c r="AM196" s="1">
        <v>6.8156165011751799</v>
      </c>
      <c r="AN196" s="1">
        <v>6.8156165011751799</v>
      </c>
      <c r="AO196" s="1">
        <v>6.8156165011751799</v>
      </c>
      <c r="AP196" s="1">
        <v>6.8156165011751799</v>
      </c>
      <c r="AQ196" s="1">
        <v>7.2492264210824597</v>
      </c>
      <c r="AR196" s="1">
        <v>7.2492264210824597</v>
      </c>
      <c r="AS196" s="1">
        <v>7.2492264210824597</v>
      </c>
      <c r="AT196" s="1">
        <v>7.2492264210824597</v>
      </c>
      <c r="AU196" s="1">
        <v>7.18085138065255</v>
      </c>
      <c r="AV196" s="1">
        <v>7.18085138065255</v>
      </c>
      <c r="AW196" s="1">
        <v>7.18085138065255</v>
      </c>
      <c r="AX196" s="1">
        <v>7.18085138065255</v>
      </c>
      <c r="AY196" s="1">
        <v>7.1657173140199468</v>
      </c>
      <c r="AZ196" s="1">
        <v>7.1657173140199468</v>
      </c>
      <c r="BA196" s="1">
        <v>7.1657173140199468</v>
      </c>
      <c r="BB196" s="1">
        <v>7.1657173140199468</v>
      </c>
      <c r="BC196" s="1">
        <v>7.3472556770183601</v>
      </c>
      <c r="BD196" s="1">
        <v>7.3472556770183601</v>
      </c>
      <c r="BE196" s="1">
        <v>7.3472556770183601</v>
      </c>
      <c r="BF196" s="1">
        <v>7.3472556770183601</v>
      </c>
      <c r="BG196" s="1">
        <v>7.6294574287302419</v>
      </c>
      <c r="BH196" s="1">
        <v>7.6294574287302419</v>
      </c>
      <c r="BI196" s="1">
        <v>7.6294574287302419</v>
      </c>
      <c r="BJ196" s="1">
        <v>7.6294574287302419</v>
      </c>
      <c r="BK196" s="1">
        <v>7.423108814003327</v>
      </c>
      <c r="BL196" s="1">
        <v>7.423108814003327</v>
      </c>
      <c r="BM196" s="1">
        <v>7.423108814003327</v>
      </c>
      <c r="BN196" s="1">
        <v>7.423108814003327</v>
      </c>
      <c r="BO196" s="1">
        <v>7.4256388940728284</v>
      </c>
      <c r="BP196" s="1">
        <v>7.4256388940728284</v>
      </c>
      <c r="BQ196" s="1">
        <v>7.4256388940728284</v>
      </c>
      <c r="BR196" s="1">
        <v>7.4256388940728284</v>
      </c>
      <c r="BS196" s="1">
        <v>6.5609083849217624</v>
      </c>
      <c r="BT196" s="1">
        <v>6.5609083849217624</v>
      </c>
      <c r="BU196" s="1">
        <v>6.5609083849217624</v>
      </c>
      <c r="BV196" s="1">
        <v>6.5609083849217624</v>
      </c>
      <c r="BW196" s="1">
        <v>7.1177296630716969</v>
      </c>
      <c r="BX196" s="1">
        <v>7.1177296630716969</v>
      </c>
      <c r="BY196" s="1">
        <v>7.1177296630716969</v>
      </c>
      <c r="BZ196" s="1">
        <v>7.1177296630716969</v>
      </c>
      <c r="CA196" s="1">
        <v>7.1919068143749998</v>
      </c>
      <c r="CB196" s="1">
        <v>7.1919068143749998</v>
      </c>
      <c r="CC196" s="1">
        <v>7.1919068143749998</v>
      </c>
      <c r="CD196" s="1">
        <v>7.1919068143749998</v>
      </c>
      <c r="CE196" s="1">
        <v>8.0683995141249998</v>
      </c>
      <c r="CF196" s="1">
        <v>8.0683995141249998</v>
      </c>
      <c r="CG196" s="1">
        <v>8.0683995141249998</v>
      </c>
      <c r="CH196" s="1">
        <v>8.0683995141249998</v>
      </c>
      <c r="CI196" s="1">
        <v>10.089414487756301</v>
      </c>
      <c r="CJ196" s="1">
        <v>10.089414487756301</v>
      </c>
      <c r="CK196" s="1">
        <v>10.089414487756301</v>
      </c>
      <c r="CL196" s="1">
        <v>10.089414487756301</v>
      </c>
      <c r="CM196" s="1">
        <v>10.982515643126799</v>
      </c>
      <c r="CN196" s="1">
        <v>10.982515643126799</v>
      </c>
    </row>
    <row r="197" spans="1:92" x14ac:dyDescent="0.35">
      <c r="A197" t="s">
        <v>38</v>
      </c>
      <c r="B197" s="1">
        <v>7.15</v>
      </c>
      <c r="C197" s="1">
        <v>7.47</v>
      </c>
      <c r="D197" s="1">
        <v>7.47</v>
      </c>
      <c r="E197" s="1">
        <v>7.47</v>
      </c>
      <c r="F197" s="1">
        <v>7.47</v>
      </c>
      <c r="G197" s="1">
        <v>7.68</v>
      </c>
      <c r="H197" s="1">
        <v>7.68</v>
      </c>
      <c r="I197" s="1">
        <v>7.68</v>
      </c>
      <c r="J197" s="1">
        <v>7.68</v>
      </c>
      <c r="K197" s="1">
        <v>7.85</v>
      </c>
      <c r="L197" s="1">
        <v>7.85</v>
      </c>
      <c r="M197" s="1">
        <v>7.85</v>
      </c>
      <c r="N197" s="1">
        <v>7.85</v>
      </c>
      <c r="O197" s="1">
        <v>7.86</v>
      </c>
      <c r="P197" s="1">
        <v>7.86</v>
      </c>
      <c r="Q197" s="1">
        <v>7.86</v>
      </c>
      <c r="R197" s="1">
        <v>7.86</v>
      </c>
      <c r="S197" s="1">
        <v>8.19</v>
      </c>
      <c r="T197" s="1">
        <v>8.19</v>
      </c>
      <c r="U197" s="1">
        <v>8.19</v>
      </c>
      <c r="V197" s="1">
        <v>8.19</v>
      </c>
      <c r="W197" s="1">
        <v>8.4499999999999993</v>
      </c>
      <c r="X197" s="1">
        <v>8.4499999999999993</v>
      </c>
      <c r="Y197" s="1">
        <v>8.4499999999999993</v>
      </c>
      <c r="Z197" s="1">
        <v>8.4499999999999993</v>
      </c>
      <c r="AA197" s="1">
        <v>8.89</v>
      </c>
      <c r="AB197" s="1">
        <v>8.89</v>
      </c>
      <c r="AC197" s="1">
        <v>9.09</v>
      </c>
      <c r="AD197" s="1">
        <v>9.09</v>
      </c>
      <c r="AE197" s="1">
        <v>10.422270312499998</v>
      </c>
      <c r="AF197" s="1">
        <v>10.422270312499998</v>
      </c>
      <c r="AG197" s="1">
        <v>10.422270312499998</v>
      </c>
      <c r="AH197" s="1">
        <v>10.422270312499998</v>
      </c>
      <c r="AI197" s="1">
        <v>10.180949999999999</v>
      </c>
      <c r="AJ197" s="1">
        <v>10.180949999999999</v>
      </c>
      <c r="AK197" s="1">
        <v>10.180949999999999</v>
      </c>
      <c r="AL197" s="1">
        <v>10.180949999999999</v>
      </c>
      <c r="AM197" s="1">
        <v>9.9900499999999983</v>
      </c>
      <c r="AN197" s="1">
        <v>9.9900499999999983</v>
      </c>
      <c r="AO197" s="1">
        <v>9.9900499999999983</v>
      </c>
      <c r="AP197" s="1">
        <v>9.9900499999999983</v>
      </c>
      <c r="AQ197" s="1">
        <v>9.8888499999999997</v>
      </c>
      <c r="AR197" s="1">
        <v>9.8888499999999997</v>
      </c>
      <c r="AS197" s="1">
        <v>9.8888499999999997</v>
      </c>
      <c r="AT197" s="1">
        <v>9.8888499999999997</v>
      </c>
      <c r="AU197" s="1">
        <v>9.8439999999999994</v>
      </c>
      <c r="AV197" s="1">
        <v>9.8439999999999994</v>
      </c>
      <c r="AW197" s="1">
        <v>9.8439999999999994</v>
      </c>
      <c r="AX197" s="1">
        <v>9.8439999999999994</v>
      </c>
      <c r="AY197" s="1">
        <v>10.336199999999998</v>
      </c>
      <c r="AZ197" s="1">
        <v>10.336199999999998</v>
      </c>
      <c r="BA197" s="1">
        <v>10.336199999999998</v>
      </c>
      <c r="BB197" s="1">
        <v>10.336199999999998</v>
      </c>
      <c r="BC197" s="1">
        <v>10.1568</v>
      </c>
      <c r="BD197" s="1">
        <v>10.1568</v>
      </c>
      <c r="BE197" s="1">
        <v>10.1568</v>
      </c>
      <c r="BF197" s="1">
        <v>10.1568</v>
      </c>
      <c r="BG197" s="1">
        <v>10.14185</v>
      </c>
      <c r="BH197" s="1">
        <v>10.14185</v>
      </c>
      <c r="BI197" s="1">
        <v>10.14185</v>
      </c>
      <c r="BJ197" s="1">
        <v>10.14185</v>
      </c>
      <c r="BK197" s="1">
        <v>10.085499999999998</v>
      </c>
      <c r="BL197" s="1">
        <v>10.085499999999998</v>
      </c>
      <c r="BM197" s="1">
        <v>10.085499999999998</v>
      </c>
      <c r="BN197" s="1">
        <v>10.085499999999998</v>
      </c>
      <c r="BO197" s="1">
        <v>10.379899999999999</v>
      </c>
      <c r="BP197" s="1">
        <v>10.379899999999999</v>
      </c>
      <c r="BQ197" s="1">
        <v>10.379899999999999</v>
      </c>
      <c r="BR197" s="1">
        <v>10.379899999999999</v>
      </c>
      <c r="BS197" s="1">
        <v>10.583449999999999</v>
      </c>
      <c r="BT197" s="1">
        <v>10.583449999999999</v>
      </c>
      <c r="BU197" s="1">
        <v>10.583449999999999</v>
      </c>
      <c r="BV197" s="1">
        <v>10.583449999999999</v>
      </c>
      <c r="BW197" s="1">
        <v>10.366202745312501</v>
      </c>
      <c r="BX197" s="1">
        <v>10.366202745312501</v>
      </c>
      <c r="BY197" s="1">
        <v>10.366202745312501</v>
      </c>
      <c r="BZ197" s="1">
        <v>10.366202745312501</v>
      </c>
      <c r="CA197" s="1">
        <v>10.718546968749999</v>
      </c>
      <c r="CB197" s="1">
        <v>10.718546968749999</v>
      </c>
      <c r="CC197" s="1">
        <v>10.718546968749999</v>
      </c>
      <c r="CD197" s="1">
        <v>10.718546968749999</v>
      </c>
      <c r="CE197" s="1">
        <v>11.665175434375</v>
      </c>
      <c r="CF197" s="1">
        <v>11.665175434375</v>
      </c>
      <c r="CG197" s="1">
        <v>11.665175434375</v>
      </c>
      <c r="CH197" s="1">
        <v>11.665175434375</v>
      </c>
      <c r="CI197" s="1">
        <v>14.292448939062499</v>
      </c>
      <c r="CJ197" s="1">
        <v>14.292448939062499</v>
      </c>
      <c r="CK197" s="1">
        <v>14.292448939062499</v>
      </c>
      <c r="CL197" s="1">
        <v>14.292448939062499</v>
      </c>
      <c r="CM197" s="1">
        <v>15.2165242875</v>
      </c>
      <c r="CN197" s="1">
        <v>15.2165242875</v>
      </c>
    </row>
    <row r="198" spans="1:92" x14ac:dyDescent="0.35">
      <c r="A198" t="s">
        <v>39</v>
      </c>
      <c r="B198" s="32">
        <v>6.15</v>
      </c>
      <c r="C198" s="32">
        <v>6.15</v>
      </c>
      <c r="D198" s="32">
        <v>6.15</v>
      </c>
      <c r="E198" s="32">
        <v>6.15</v>
      </c>
      <c r="F198" s="32">
        <v>6.15</v>
      </c>
      <c r="G198" s="32">
        <v>6.15</v>
      </c>
      <c r="H198" s="32">
        <v>6.15</v>
      </c>
      <c r="I198" s="32">
        <v>6.931558908599448</v>
      </c>
      <c r="J198" s="32">
        <v>6.931558908599448</v>
      </c>
      <c r="K198" s="32">
        <v>6.931558908599448</v>
      </c>
      <c r="L198" s="32">
        <v>6.931558908599448</v>
      </c>
      <c r="M198" s="32">
        <v>6.931558908599448</v>
      </c>
      <c r="N198" s="32">
        <v>6.931558908599448</v>
      </c>
      <c r="O198" s="32">
        <v>6.8239203124999985</v>
      </c>
      <c r="P198" s="32">
        <v>6.8239203124999985</v>
      </c>
      <c r="Q198" s="32">
        <v>6.8239203124999985</v>
      </c>
      <c r="R198" s="32">
        <v>6.8239203124999985</v>
      </c>
      <c r="S198" s="32">
        <v>6.9320203124999988</v>
      </c>
      <c r="T198" s="32">
        <v>6.9320203124999988</v>
      </c>
      <c r="U198" s="32">
        <v>6.9320203124999988</v>
      </c>
      <c r="V198" s="32">
        <v>6.9320203124999988</v>
      </c>
      <c r="W198" s="32">
        <v>6.9320203124999988</v>
      </c>
      <c r="X198" s="32">
        <v>6.9320203124999988</v>
      </c>
      <c r="Y198" s="32">
        <v>6.9320203124999988</v>
      </c>
      <c r="Z198" s="32">
        <v>7.5162203124999989</v>
      </c>
      <c r="AA198" s="32">
        <v>7.5162203124999989</v>
      </c>
      <c r="AB198" s="32">
        <v>7.5162203124999989</v>
      </c>
      <c r="AC198" s="32">
        <v>7.5162203124999989</v>
      </c>
      <c r="AD198" s="32">
        <v>7.5162203124999989</v>
      </c>
      <c r="AE198" s="32">
        <v>7.9014703124999999</v>
      </c>
      <c r="AF198" s="32">
        <v>7.9014703124999999</v>
      </c>
      <c r="AG198" s="32">
        <v>7.9014703124999999</v>
      </c>
      <c r="AH198" s="32">
        <v>7.9014703124999999</v>
      </c>
      <c r="AI198" s="32">
        <v>8.4373703124999988</v>
      </c>
      <c r="AJ198" s="32">
        <v>8.4373703124999988</v>
      </c>
      <c r="AK198" s="32">
        <v>8.4373703124999988</v>
      </c>
      <c r="AL198" s="32">
        <v>8.4373703124999988</v>
      </c>
      <c r="AM198" s="32">
        <v>8.4373703124999988</v>
      </c>
      <c r="AN198" s="32">
        <v>8.4373703124999988</v>
      </c>
      <c r="AO198" s="32">
        <v>8.4373703124999988</v>
      </c>
      <c r="AP198" s="32">
        <v>8.4373703124999988</v>
      </c>
      <c r="AQ198" s="32">
        <v>8.7973203124999984</v>
      </c>
      <c r="AR198" s="32">
        <v>8.7973203124999984</v>
      </c>
      <c r="AS198" s="32">
        <v>8.7973203124999984</v>
      </c>
      <c r="AT198" s="32">
        <v>8.7973203124999984</v>
      </c>
      <c r="AU198" s="32">
        <v>9.0273203124999988</v>
      </c>
      <c r="AV198" s="1">
        <v>9.0273203124999988</v>
      </c>
      <c r="AW198" s="1">
        <v>9.0273203124999988</v>
      </c>
      <c r="AX198" s="1">
        <v>9.0273203124999988</v>
      </c>
      <c r="AY198" s="1">
        <v>9.0273203124999988</v>
      </c>
      <c r="AZ198" s="1">
        <v>9.0273203124999988</v>
      </c>
      <c r="BA198" s="1">
        <v>9.0273203124999988</v>
      </c>
      <c r="BB198" s="1">
        <v>9.0273203124999988</v>
      </c>
      <c r="BC198" s="1">
        <v>9.4988203124999995</v>
      </c>
      <c r="BD198" s="1">
        <v>9.4988203124999995</v>
      </c>
      <c r="BE198" s="1">
        <v>9.4988203124999995</v>
      </c>
      <c r="BF198" s="1">
        <v>9.4988203124999995</v>
      </c>
      <c r="BG198" s="1">
        <v>9.7748203124999993</v>
      </c>
      <c r="BH198" s="1">
        <v>9.7748203124999993</v>
      </c>
      <c r="BI198" s="1">
        <v>9.7748203124999993</v>
      </c>
      <c r="BJ198" s="1">
        <v>9.7748203124999993</v>
      </c>
      <c r="BK198" s="1">
        <v>10.024370312499999</v>
      </c>
      <c r="BL198" s="1">
        <v>10.024370312499999</v>
      </c>
      <c r="BM198" s="1">
        <v>10.024370312499999</v>
      </c>
      <c r="BN198" s="1">
        <v>10.024370312499999</v>
      </c>
      <c r="BO198" s="1">
        <v>10.280820312499998</v>
      </c>
      <c r="BP198" s="1">
        <v>10.280820312499998</v>
      </c>
      <c r="BQ198" s="1">
        <v>10.280820312499998</v>
      </c>
      <c r="BR198" s="1">
        <v>10.280820312499998</v>
      </c>
      <c r="BS198" s="1">
        <v>10.884570312500001</v>
      </c>
      <c r="BT198" s="1">
        <v>10.884570312500001</v>
      </c>
      <c r="BU198" s="1">
        <v>10.884570312500001</v>
      </c>
      <c r="BV198" s="1">
        <v>10.884570312500001</v>
      </c>
      <c r="BW198" s="1">
        <v>12.051640624999997</v>
      </c>
      <c r="BX198" s="1">
        <v>12.051640624999997</v>
      </c>
      <c r="BY198" s="1">
        <v>12.051640624999997</v>
      </c>
      <c r="BZ198" s="1">
        <v>12.051640624999997</v>
      </c>
      <c r="CA198" s="1">
        <v>13.632710937500001</v>
      </c>
      <c r="CB198" s="1">
        <v>13.632710937500001</v>
      </c>
      <c r="CC198" s="1">
        <v>13.632710937500001</v>
      </c>
      <c r="CD198" s="1">
        <v>13.632710937500001</v>
      </c>
      <c r="CE198" s="1">
        <v>15.46678125</v>
      </c>
      <c r="CF198" s="1">
        <v>15.46678125</v>
      </c>
      <c r="CG198" s="1">
        <v>15.46678125</v>
      </c>
      <c r="CH198" s="1">
        <v>15.46678125</v>
      </c>
      <c r="CI198" s="1">
        <v>18.9108515625</v>
      </c>
      <c r="CJ198" s="1">
        <v>18.9108515625</v>
      </c>
      <c r="CK198" s="1">
        <v>18.9108515625</v>
      </c>
      <c r="CL198" s="1">
        <v>18.9108515625</v>
      </c>
      <c r="CM198" s="1">
        <v>18.199971874999999</v>
      </c>
      <c r="CN198" s="1">
        <v>18.199971874999999</v>
      </c>
    </row>
    <row r="199" spans="1:92" x14ac:dyDescent="0.35">
      <c r="A199" t="s">
        <v>42</v>
      </c>
      <c r="B199" s="1">
        <v>3.45</v>
      </c>
      <c r="C199" s="1">
        <v>3.45</v>
      </c>
      <c r="D199" s="1">
        <v>3.45</v>
      </c>
      <c r="E199" s="1">
        <v>3.45</v>
      </c>
      <c r="F199" s="1">
        <v>3.45</v>
      </c>
      <c r="G199" s="1">
        <v>3.45</v>
      </c>
      <c r="H199" s="1">
        <v>3.45</v>
      </c>
      <c r="I199" s="1">
        <v>3.7974388806629258</v>
      </c>
      <c r="J199" s="1">
        <v>3.7974388806629258</v>
      </c>
      <c r="K199" s="1">
        <v>3.7974388806629258</v>
      </c>
      <c r="L199" s="1">
        <v>3.7974388806629258</v>
      </c>
      <c r="M199" s="1">
        <v>3.7974388806629258</v>
      </c>
      <c r="N199" s="1">
        <v>3.7974388806629258</v>
      </c>
      <c r="O199" s="1">
        <v>4.0800203124999994</v>
      </c>
      <c r="P199" s="1">
        <v>4.0800203124999994</v>
      </c>
      <c r="Q199" s="1">
        <v>4.0800203124999994</v>
      </c>
      <c r="R199" s="1">
        <v>4.0800203124999994</v>
      </c>
      <c r="S199" s="1">
        <v>4.113370312499999</v>
      </c>
      <c r="T199" s="1">
        <v>4.113370312499999</v>
      </c>
      <c r="U199" s="1">
        <v>4.113370312499999</v>
      </c>
      <c r="V199" s="1">
        <v>4.113370312499999</v>
      </c>
      <c r="W199" s="1">
        <v>4.113370312499999</v>
      </c>
      <c r="X199" s="1">
        <v>4.113370312499999</v>
      </c>
      <c r="Y199" s="1">
        <v>4.113370312499999</v>
      </c>
      <c r="Z199" s="1">
        <v>4.3353203125000004</v>
      </c>
      <c r="AA199" s="1">
        <v>4.3353203125000004</v>
      </c>
      <c r="AB199" s="1">
        <v>4.3353203125000004</v>
      </c>
      <c r="AC199" s="1">
        <v>4.3353203125000004</v>
      </c>
      <c r="AD199" s="1">
        <v>4.3353203125000004</v>
      </c>
      <c r="AE199" s="1">
        <v>4.0731203125000004</v>
      </c>
      <c r="AF199" s="1">
        <v>4.0731203125000004</v>
      </c>
      <c r="AG199" s="1">
        <v>4.0731203125000004</v>
      </c>
      <c r="AH199" s="1">
        <v>4.0731203125000004</v>
      </c>
      <c r="AI199" s="1">
        <v>4.6757203124999993</v>
      </c>
      <c r="AJ199" s="1">
        <v>4.6757203124999993</v>
      </c>
      <c r="AK199" s="1">
        <v>4.6757203124999993</v>
      </c>
      <c r="AL199" s="1">
        <v>4.6757203124999993</v>
      </c>
      <c r="AM199" s="1">
        <v>4.6757203124999993</v>
      </c>
      <c r="AN199" s="1">
        <v>4.6757203124999993</v>
      </c>
      <c r="AO199" s="1">
        <v>4.6757203124999993</v>
      </c>
      <c r="AP199" s="1">
        <v>4.6757203124999993</v>
      </c>
      <c r="AQ199" s="1">
        <v>4.9390703124999993</v>
      </c>
      <c r="AR199" s="1">
        <v>4.9390703124999993</v>
      </c>
      <c r="AS199" s="1">
        <v>4.9390703124999993</v>
      </c>
      <c r="AT199" s="1">
        <v>4.9390703124999993</v>
      </c>
      <c r="AU199" s="1">
        <v>5.1690703124999997</v>
      </c>
      <c r="AV199" s="1">
        <v>5.1690703124999997</v>
      </c>
      <c r="AW199" s="1">
        <v>5.1690703124999997</v>
      </c>
      <c r="AX199" s="1">
        <v>5.1690703124999997</v>
      </c>
      <c r="AY199" s="1">
        <v>5.1690703124999997</v>
      </c>
      <c r="AZ199" s="1">
        <v>5.1690703124999997</v>
      </c>
      <c r="BA199" s="1">
        <v>5.1690703124999997</v>
      </c>
      <c r="BB199" s="1">
        <v>5.1690703124999997</v>
      </c>
      <c r="BC199" s="1">
        <v>5.419770312499999</v>
      </c>
      <c r="BD199" s="1">
        <v>5.419770312499999</v>
      </c>
      <c r="BE199" s="1">
        <v>5.419770312499999</v>
      </c>
      <c r="BF199" s="1">
        <v>5.419770312499999</v>
      </c>
      <c r="BG199" s="1">
        <v>5.5658203124999996</v>
      </c>
      <c r="BH199" s="1">
        <v>5.5658203124999996</v>
      </c>
      <c r="BI199" s="1">
        <v>5.5658203124999996</v>
      </c>
      <c r="BJ199" s="1">
        <v>5.5658203124999996</v>
      </c>
      <c r="BK199" s="1">
        <v>7.7082703124999989</v>
      </c>
      <c r="BL199" s="1">
        <v>7.7082703124999989</v>
      </c>
      <c r="BM199" s="1">
        <v>7.7082703124999989</v>
      </c>
      <c r="BN199" s="1">
        <v>7.7082703124999989</v>
      </c>
      <c r="BO199" s="1">
        <v>10.280820312499998</v>
      </c>
      <c r="BP199" s="1">
        <v>10.280820312499998</v>
      </c>
      <c r="BQ199" s="1">
        <v>10.280820312499998</v>
      </c>
      <c r="BR199" s="1">
        <v>10.280820312499998</v>
      </c>
      <c r="BS199" s="1">
        <v>10.884570312500001</v>
      </c>
      <c r="BT199" s="1">
        <v>10.884570312500001</v>
      </c>
      <c r="BU199" s="1">
        <v>10.884570312500001</v>
      </c>
      <c r="BV199" s="1">
        <v>10.884570312500001</v>
      </c>
      <c r="BW199" s="1">
        <v>12.051640624999997</v>
      </c>
      <c r="BX199" s="1">
        <v>12.051640624999997</v>
      </c>
      <c r="BY199" s="1">
        <v>12.051640624999997</v>
      </c>
      <c r="BZ199" s="1">
        <v>12.051640624999997</v>
      </c>
      <c r="CA199" s="1">
        <v>13.632710937500001</v>
      </c>
      <c r="CB199" s="1">
        <v>13.632710937500001</v>
      </c>
      <c r="CC199" s="1">
        <v>13.632710937500001</v>
      </c>
      <c r="CD199" s="1">
        <v>13.632710937500001</v>
      </c>
      <c r="CE199" s="1">
        <v>15.46678125</v>
      </c>
      <c r="CF199" s="1">
        <v>15.46678125</v>
      </c>
      <c r="CG199" s="1">
        <v>15.46678125</v>
      </c>
      <c r="CH199" s="1">
        <v>15.46678125</v>
      </c>
      <c r="CI199" s="1">
        <v>18.9108515625</v>
      </c>
      <c r="CJ199" s="1">
        <v>18.9108515625</v>
      </c>
      <c r="CK199" s="1">
        <v>18.9108515625</v>
      </c>
      <c r="CL199" s="1">
        <v>18.9108515625</v>
      </c>
      <c r="CM199" s="1">
        <v>18.199971874999999</v>
      </c>
      <c r="CN199" s="1">
        <v>18.199971874999999</v>
      </c>
    </row>
    <row r="200" spans="1:92" x14ac:dyDescent="0.35">
      <c r="A200" t="s">
        <v>43</v>
      </c>
      <c r="B200" s="1">
        <v>5.51</v>
      </c>
      <c r="C200" s="1">
        <v>5.51</v>
      </c>
      <c r="D200" s="1">
        <v>5.96</v>
      </c>
      <c r="E200" s="1">
        <v>5.96</v>
      </c>
      <c r="F200" s="1">
        <v>5.96</v>
      </c>
      <c r="G200" s="1">
        <v>6.47</v>
      </c>
      <c r="H200" s="1">
        <v>6.47</v>
      </c>
      <c r="I200" s="1">
        <v>6.47</v>
      </c>
      <c r="J200" s="1">
        <v>6.47</v>
      </c>
      <c r="K200" s="1">
        <v>6.47</v>
      </c>
      <c r="L200" s="1">
        <v>6.47</v>
      </c>
      <c r="M200" s="1">
        <v>6.47</v>
      </c>
      <c r="N200" s="1">
        <v>6.47</v>
      </c>
      <c r="O200" s="1">
        <v>7.3</v>
      </c>
      <c r="P200" s="1">
        <v>7.3</v>
      </c>
      <c r="Q200" s="1">
        <v>7.3</v>
      </c>
      <c r="R200" s="1">
        <v>7.3</v>
      </c>
      <c r="S200" s="1">
        <v>8.5500000000000007</v>
      </c>
      <c r="T200" s="1">
        <v>8.5500000000000007</v>
      </c>
      <c r="U200" s="1">
        <v>8.5500000000000007</v>
      </c>
      <c r="V200" s="1">
        <v>8.5500000000000007</v>
      </c>
      <c r="W200" s="1">
        <v>8.7799999999999994</v>
      </c>
      <c r="X200" s="1">
        <v>8.7799999999999994</v>
      </c>
      <c r="Y200" s="1">
        <v>8.7799999999999994</v>
      </c>
      <c r="Z200" s="1">
        <v>8.7799999999999994</v>
      </c>
      <c r="AA200" s="1">
        <v>9.19</v>
      </c>
      <c r="AB200" s="1">
        <v>9.19</v>
      </c>
      <c r="AC200" s="1">
        <v>9.39</v>
      </c>
      <c r="AD200" s="1">
        <v>9.39</v>
      </c>
      <c r="AE200" s="1">
        <v>9.5615564062500003</v>
      </c>
      <c r="AF200" s="1">
        <v>9.5615564062500003</v>
      </c>
      <c r="AG200" s="1">
        <v>9.5615564062500003</v>
      </c>
      <c r="AH200" s="1">
        <v>9.5615564062500003</v>
      </c>
      <c r="AI200" s="1">
        <v>10.317799999999998</v>
      </c>
      <c r="AJ200" s="1">
        <v>10.317799999999998</v>
      </c>
      <c r="AK200" s="1">
        <v>10.317799999999998</v>
      </c>
      <c r="AL200" s="1">
        <v>10.317799999999998</v>
      </c>
      <c r="AM200" s="1">
        <v>11.560770312499999</v>
      </c>
      <c r="AN200" s="1">
        <v>11.560770312499999</v>
      </c>
      <c r="AO200" s="1">
        <v>11.560770312499999</v>
      </c>
      <c r="AP200" s="1">
        <v>11.560770312499999</v>
      </c>
      <c r="AQ200" s="1">
        <v>11.862760312500001</v>
      </c>
      <c r="AR200" s="1">
        <v>11.862760312500001</v>
      </c>
      <c r="AS200" s="1">
        <v>11.862760312500001</v>
      </c>
      <c r="AT200" s="1">
        <v>11.862760312500001</v>
      </c>
      <c r="AU200" s="1">
        <v>11.867360312499997</v>
      </c>
      <c r="AV200" s="1">
        <v>11.867360312499997</v>
      </c>
      <c r="AW200" s="1">
        <v>11.867360312499997</v>
      </c>
      <c r="AX200" s="1">
        <v>11.867360312499997</v>
      </c>
      <c r="AY200" s="1">
        <v>11.480960312499999</v>
      </c>
      <c r="AZ200" s="1">
        <v>11.480960312499999</v>
      </c>
      <c r="BA200" s="1">
        <v>11.830330312500003</v>
      </c>
      <c r="BB200" s="1">
        <v>11.830330312500003</v>
      </c>
      <c r="BC200" s="1">
        <v>11.830330312500003</v>
      </c>
      <c r="BD200" s="1">
        <v>11.830330312500003</v>
      </c>
      <c r="BE200" s="1">
        <v>11.830330312500003</v>
      </c>
      <c r="BF200" s="1">
        <v>11.830330312500003</v>
      </c>
      <c r="BG200" s="1">
        <v>12.3749703125</v>
      </c>
      <c r="BH200" s="1">
        <v>12.3749703125</v>
      </c>
      <c r="BI200" s="1">
        <v>12.3749703125</v>
      </c>
      <c r="BJ200" s="1">
        <v>12.3749703125</v>
      </c>
      <c r="BK200" s="1">
        <v>12.722960312499998</v>
      </c>
      <c r="BL200" s="1">
        <v>12.722960312499998</v>
      </c>
      <c r="BM200" s="1">
        <v>12.722960312499998</v>
      </c>
      <c r="BN200" s="1">
        <v>12.722960312499998</v>
      </c>
      <c r="BO200" s="1">
        <v>12.703870312500001</v>
      </c>
      <c r="BP200" s="1">
        <v>12.703870312500001</v>
      </c>
      <c r="BQ200" s="1">
        <v>12.703870312500001</v>
      </c>
      <c r="BR200" s="1">
        <v>12.703870312500001</v>
      </c>
      <c r="BS200" s="1">
        <v>12.706170312500001</v>
      </c>
      <c r="BT200" s="1">
        <v>12.706170312500001</v>
      </c>
      <c r="BU200" s="1">
        <v>12.706170312500001</v>
      </c>
      <c r="BV200" s="1">
        <v>12.706170312500001</v>
      </c>
      <c r="BW200" s="1">
        <v>13.567340624999998</v>
      </c>
      <c r="BX200" s="1">
        <v>13.567340624999998</v>
      </c>
      <c r="BY200" s="1">
        <v>13.567340624999998</v>
      </c>
      <c r="BZ200" s="1">
        <v>13.567340624999998</v>
      </c>
      <c r="CA200" s="1">
        <v>14.63386859375</v>
      </c>
      <c r="CB200" s="1">
        <v>14.63386859375</v>
      </c>
      <c r="CC200" s="1">
        <v>14.63386859375</v>
      </c>
      <c r="CD200" s="1">
        <v>14.63386859375</v>
      </c>
      <c r="CE200" s="1">
        <v>15.438259453124999</v>
      </c>
      <c r="CF200" s="1">
        <v>15.438259453124999</v>
      </c>
      <c r="CG200" s="1">
        <v>15.438259453124999</v>
      </c>
      <c r="CH200" s="1">
        <v>15.438259453124999</v>
      </c>
      <c r="CI200" s="1">
        <v>16.728309328125</v>
      </c>
      <c r="CJ200" s="1">
        <v>16.728309328125</v>
      </c>
      <c r="CK200" s="1">
        <v>16.728309328125</v>
      </c>
      <c r="CL200" s="1">
        <v>16.728309328125</v>
      </c>
      <c r="CM200" s="1">
        <v>17.43192928125</v>
      </c>
      <c r="CN200" s="1">
        <v>17.43192928125</v>
      </c>
    </row>
    <row r="201" spans="1:92" x14ac:dyDescent="0.35">
      <c r="A201" t="s">
        <v>46</v>
      </c>
      <c r="B201" s="1">
        <v>4.99</v>
      </c>
      <c r="C201" s="1">
        <v>4.99</v>
      </c>
      <c r="D201" s="1">
        <v>4.99</v>
      </c>
      <c r="E201" s="1">
        <v>4.99</v>
      </c>
      <c r="F201" s="1">
        <v>4.99</v>
      </c>
      <c r="G201" s="1">
        <v>5.09</v>
      </c>
      <c r="H201" s="1">
        <v>5.09</v>
      </c>
      <c r="I201" s="1">
        <v>5.09</v>
      </c>
      <c r="J201" s="1">
        <v>5.09</v>
      </c>
      <c r="K201" s="1">
        <v>5.42</v>
      </c>
      <c r="L201" s="1">
        <v>5.42</v>
      </c>
      <c r="M201" s="1">
        <v>5.42</v>
      </c>
      <c r="N201" s="1">
        <v>5.42</v>
      </c>
      <c r="O201" s="1">
        <v>5.59</v>
      </c>
      <c r="P201" s="1">
        <v>5.59</v>
      </c>
      <c r="Q201" s="1">
        <v>5.59</v>
      </c>
      <c r="R201" s="1">
        <v>5.59</v>
      </c>
      <c r="S201" s="1">
        <v>5.93</v>
      </c>
      <c r="T201" s="1">
        <v>5.93</v>
      </c>
      <c r="U201" s="1">
        <v>5.93</v>
      </c>
      <c r="V201" s="1">
        <v>5.93</v>
      </c>
      <c r="W201" s="1">
        <v>5.6</v>
      </c>
      <c r="X201" s="1">
        <v>5.6</v>
      </c>
      <c r="Y201" s="1">
        <v>5.6</v>
      </c>
      <c r="Z201" s="1">
        <v>5.6</v>
      </c>
      <c r="AA201" s="1">
        <v>6.18</v>
      </c>
      <c r="AB201" s="1">
        <v>6.18</v>
      </c>
      <c r="AC201" s="1">
        <v>6.31</v>
      </c>
      <c r="AD201" s="1">
        <v>6.31</v>
      </c>
      <c r="AE201" s="1">
        <v>6.4087523437500007</v>
      </c>
      <c r="AF201" s="1">
        <v>6.4087523437500007</v>
      </c>
      <c r="AG201" s="1">
        <v>6.4087523437500007</v>
      </c>
      <c r="AH201" s="1">
        <v>6.4087523437500007</v>
      </c>
      <c r="AI201" s="1">
        <v>6.7744703124999983</v>
      </c>
      <c r="AJ201" s="1">
        <v>6.7744703124999983</v>
      </c>
      <c r="AK201" s="1">
        <v>6.7744703124999983</v>
      </c>
      <c r="AL201" s="1">
        <v>6.7744703124999983</v>
      </c>
      <c r="AM201" s="1">
        <v>6.7744703124999983</v>
      </c>
      <c r="AN201" s="1">
        <v>6.7744703124999983</v>
      </c>
      <c r="AO201" s="1">
        <v>6.7744703124999983</v>
      </c>
      <c r="AP201" s="1">
        <v>6.7744703124999983</v>
      </c>
      <c r="AQ201" s="1">
        <v>6.9354703124999997</v>
      </c>
      <c r="AR201" s="1">
        <v>6.9354703124999997</v>
      </c>
      <c r="AS201" s="1">
        <v>6.9354703124999997</v>
      </c>
      <c r="AT201" s="1">
        <v>6.9354703124999997</v>
      </c>
      <c r="AU201" s="1">
        <v>6.8825703125000004</v>
      </c>
      <c r="AV201" s="1">
        <v>6.8825703125000004</v>
      </c>
      <c r="AW201" s="1">
        <v>6.8825703125000004</v>
      </c>
      <c r="AX201" s="1">
        <v>6.8825703125000004</v>
      </c>
      <c r="AY201" s="1">
        <v>7.181570312499999</v>
      </c>
      <c r="AZ201" s="1">
        <v>7.181570312499999</v>
      </c>
      <c r="BA201" s="1">
        <v>7.181570312499999</v>
      </c>
      <c r="BB201" s="1">
        <v>7.181570312499999</v>
      </c>
      <c r="BC201" s="1">
        <v>6.9833103124999978</v>
      </c>
      <c r="BD201" s="1">
        <v>6.9833103124999978</v>
      </c>
      <c r="BE201" s="1">
        <v>6.9833103124999978</v>
      </c>
      <c r="BF201" s="1">
        <v>6.9833103124999978</v>
      </c>
      <c r="BG201" s="1">
        <v>7.0493203124999999</v>
      </c>
      <c r="BH201" s="1">
        <v>7.0493203124999999</v>
      </c>
      <c r="BI201" s="1">
        <v>7.0493203124999999</v>
      </c>
      <c r="BJ201" s="1">
        <v>7.0493203124999999</v>
      </c>
      <c r="BK201" s="1">
        <v>7.3287703124999997</v>
      </c>
      <c r="BL201" s="1">
        <v>7.3287703124999997</v>
      </c>
      <c r="BM201" s="1">
        <v>7.3287703124999997</v>
      </c>
      <c r="BN201" s="1">
        <v>7.3287703124999997</v>
      </c>
      <c r="BO201" s="1">
        <v>6.4961703124999994</v>
      </c>
      <c r="BP201" s="1">
        <v>6.4961703124999994</v>
      </c>
      <c r="BQ201" s="1">
        <v>6.4961703124999994</v>
      </c>
      <c r="BR201" s="1">
        <v>6.4961703124999994</v>
      </c>
      <c r="BS201" s="1">
        <v>6.0269703124999996</v>
      </c>
      <c r="BT201" s="1">
        <v>6.0269703124999996</v>
      </c>
      <c r="BU201" s="1">
        <v>6.0269703124999996</v>
      </c>
      <c r="BV201" s="1">
        <v>6.0269703124999996</v>
      </c>
      <c r="BW201" s="1">
        <v>6.232640625000001</v>
      </c>
      <c r="BX201" s="1">
        <v>6.232640625000001</v>
      </c>
      <c r="BY201" s="1">
        <v>6.232640625000001</v>
      </c>
      <c r="BZ201" s="1">
        <v>6.232640625000001</v>
      </c>
      <c r="CA201" s="1">
        <v>5.8186406249999996</v>
      </c>
      <c r="CB201" s="1">
        <v>5.8186406249999996</v>
      </c>
      <c r="CC201" s="1">
        <v>5.8186406249999996</v>
      </c>
      <c r="CD201" s="1">
        <v>5.8186406249999996</v>
      </c>
      <c r="CE201" s="1">
        <v>6.4173324218749999</v>
      </c>
      <c r="CF201" s="1">
        <v>6.4173324218749999</v>
      </c>
      <c r="CG201" s="1">
        <v>6.4173324218749999</v>
      </c>
      <c r="CH201" s="1">
        <v>6.4173324218749999</v>
      </c>
      <c r="CI201" s="1">
        <v>8.2888492500000002</v>
      </c>
      <c r="CJ201" s="1">
        <v>8.2888492500000002</v>
      </c>
      <c r="CK201" s="1">
        <v>8.2888492500000002</v>
      </c>
      <c r="CL201" s="1">
        <v>8.2888492500000002</v>
      </c>
      <c r="CM201" s="1">
        <v>8.5488664062499993</v>
      </c>
      <c r="CN201" s="1">
        <v>8.5488664062499993</v>
      </c>
    </row>
    <row r="202" spans="1:92" x14ac:dyDescent="0.35">
      <c r="A202" t="s">
        <v>47</v>
      </c>
      <c r="B202" s="1">
        <v>4.26</v>
      </c>
      <c r="C202" s="1">
        <v>4.3099999999999996</v>
      </c>
      <c r="D202" s="1">
        <v>4.3099999999999996</v>
      </c>
      <c r="E202" s="1">
        <v>4.3099999999999996</v>
      </c>
      <c r="F202" s="1">
        <v>4.3099999999999996</v>
      </c>
      <c r="G202" s="1">
        <v>4.9800000000000004</v>
      </c>
      <c r="H202" s="1">
        <v>4.9800000000000004</v>
      </c>
      <c r="I202" s="1">
        <v>4.9800000000000004</v>
      </c>
      <c r="J202" s="1">
        <v>4.9800000000000004</v>
      </c>
      <c r="K202" s="1">
        <v>5.12</v>
      </c>
      <c r="L202" s="1">
        <v>5.12</v>
      </c>
      <c r="M202" s="1">
        <v>5.12</v>
      </c>
      <c r="N202" s="1">
        <v>5.12</v>
      </c>
      <c r="O202" s="1">
        <v>5.24</v>
      </c>
      <c r="P202" s="1">
        <v>5.24</v>
      </c>
      <c r="Q202" s="1">
        <v>5.24</v>
      </c>
      <c r="R202" s="1">
        <v>5.24</v>
      </c>
      <c r="S202" s="1">
        <v>5.35</v>
      </c>
      <c r="T202" s="1">
        <v>5.35</v>
      </c>
      <c r="U202" s="1">
        <v>5.35</v>
      </c>
      <c r="V202" s="1">
        <v>5.35</v>
      </c>
      <c r="W202" s="1">
        <v>5.35</v>
      </c>
      <c r="X202" s="1">
        <v>5.35</v>
      </c>
      <c r="Y202" s="1">
        <v>5.35</v>
      </c>
      <c r="Z202" s="1">
        <v>5.35</v>
      </c>
      <c r="AA202" s="1">
        <v>5.56</v>
      </c>
      <c r="AB202" s="1">
        <v>5.56</v>
      </c>
      <c r="AC202" s="1">
        <v>5.68</v>
      </c>
      <c r="AD202" s="1">
        <v>5.68</v>
      </c>
      <c r="AE202" s="1">
        <v>5.8247805468749991</v>
      </c>
      <c r="AF202" s="1">
        <v>5.8247805468749991</v>
      </c>
      <c r="AG202" s="1">
        <v>5.8247805468749991</v>
      </c>
      <c r="AH202" s="1">
        <v>5.8247805468749991</v>
      </c>
      <c r="AI202" s="1">
        <v>5.9972805468749986</v>
      </c>
      <c r="AJ202" s="1">
        <v>5.9972805468749986</v>
      </c>
      <c r="AK202" s="1">
        <v>5.9972805468749986</v>
      </c>
      <c r="AL202" s="1">
        <v>5.9972805468749986</v>
      </c>
      <c r="AM202" s="1">
        <v>6.1145805468749987</v>
      </c>
      <c r="AN202" s="1">
        <v>6.1145805468749987</v>
      </c>
      <c r="AO202" s="1">
        <v>6.1145805468749987</v>
      </c>
      <c r="AP202" s="1">
        <v>6.1145805468749987</v>
      </c>
      <c r="AQ202" s="1">
        <v>6.3054805468749997</v>
      </c>
      <c r="AR202" s="1">
        <v>6.3054805468749997</v>
      </c>
      <c r="AS202" s="1">
        <v>6.3054805468749997</v>
      </c>
      <c r="AT202" s="1">
        <v>6.3054805468749997</v>
      </c>
      <c r="AU202" s="1">
        <v>6.1996805468749994</v>
      </c>
      <c r="AV202" s="1">
        <v>6.1996805468749994</v>
      </c>
      <c r="AW202" s="1">
        <v>6.1996805468749994</v>
      </c>
      <c r="AX202" s="1">
        <v>6.1996805468749994</v>
      </c>
      <c r="AY202" s="1">
        <v>6.2433805468749988</v>
      </c>
      <c r="AZ202" s="1">
        <v>6.2433805468749988</v>
      </c>
      <c r="BA202" s="1">
        <v>6.2433805468749988</v>
      </c>
      <c r="BB202" s="1">
        <v>6.2433805468749988</v>
      </c>
      <c r="BC202" s="1">
        <v>6.2433805468749988</v>
      </c>
      <c r="BD202" s="1">
        <v>6.2433805468749988</v>
      </c>
      <c r="BE202" s="1">
        <v>6.2433805468749988</v>
      </c>
      <c r="BF202" s="1">
        <v>6.2433805468749988</v>
      </c>
      <c r="BG202" s="1">
        <v>6.4016809218749993</v>
      </c>
      <c r="BH202" s="1">
        <v>6.4016809218749993</v>
      </c>
      <c r="BI202" s="1">
        <v>6.4016809218749993</v>
      </c>
      <c r="BJ202" s="1">
        <v>6.4016809218749993</v>
      </c>
      <c r="BK202" s="1">
        <v>6.2268809218749981</v>
      </c>
      <c r="BL202" s="1">
        <v>6.2268809218749981</v>
      </c>
      <c r="BM202" s="1">
        <v>6.2268809218749981</v>
      </c>
      <c r="BN202" s="1">
        <v>6.2268809218749981</v>
      </c>
      <c r="BO202" s="1">
        <v>6.90215625</v>
      </c>
      <c r="BP202" s="1">
        <v>6.90215625</v>
      </c>
      <c r="BQ202" s="1">
        <v>6.90215625</v>
      </c>
      <c r="BR202" s="1">
        <v>6.90215625</v>
      </c>
      <c r="BS202" s="1">
        <v>7.0194562499999993</v>
      </c>
      <c r="BT202" s="1">
        <v>7.0194562499999993</v>
      </c>
      <c r="BU202" s="1">
        <v>7.0194562499999993</v>
      </c>
      <c r="BV202" s="1">
        <v>7.0194562499999993</v>
      </c>
      <c r="BW202" s="1">
        <v>7.627237359375</v>
      </c>
      <c r="BX202" s="1">
        <v>7.627237359375</v>
      </c>
      <c r="BY202" s="1">
        <v>7.627237359375</v>
      </c>
      <c r="BZ202" s="1">
        <v>7.627237359375</v>
      </c>
      <c r="CA202" s="1">
        <v>7.96676875</v>
      </c>
      <c r="CB202" s="1">
        <v>7.96676875</v>
      </c>
      <c r="CC202" s="1">
        <v>7.96676875</v>
      </c>
      <c r="CD202" s="1">
        <v>7.96676875</v>
      </c>
      <c r="CE202" s="1">
        <v>8.3657828125000009</v>
      </c>
      <c r="CF202" s="1">
        <v>8.3657828125000009</v>
      </c>
      <c r="CG202" s="1">
        <v>8.3657828125000009</v>
      </c>
      <c r="CH202" s="1">
        <v>8.3657828125000009</v>
      </c>
      <c r="CI202" s="1">
        <v>9.2084093750000005</v>
      </c>
      <c r="CJ202" s="1">
        <v>9.2084093750000005</v>
      </c>
      <c r="CK202" s="1">
        <v>9.2084093750000005</v>
      </c>
      <c r="CL202" s="1">
        <v>9.2084093750000005</v>
      </c>
      <c r="CM202" s="1">
        <v>9.7459624999999992</v>
      </c>
      <c r="CN202" s="1">
        <v>9.7459624999999992</v>
      </c>
    </row>
    <row r="203" spans="1:92" x14ac:dyDescent="0.35">
      <c r="A203" t="s">
        <v>48</v>
      </c>
      <c r="B203" s="1">
        <v>4.0192499999999995</v>
      </c>
      <c r="C203" s="1">
        <v>4.0192499999999995</v>
      </c>
      <c r="D203" s="1">
        <v>4.0192499999999995</v>
      </c>
      <c r="E203" s="1">
        <v>4.0192499999999995</v>
      </c>
      <c r="F203" s="1">
        <v>4.0192499999999995</v>
      </c>
      <c r="G203" s="1">
        <v>4.2001162499999989</v>
      </c>
      <c r="H203" s="1">
        <v>4.2001162499999989</v>
      </c>
      <c r="I203" s="1">
        <v>4.2001162499999989</v>
      </c>
      <c r="J203" s="1">
        <v>4.2001162499999989</v>
      </c>
      <c r="K203" s="1">
        <v>4.7885712500000004</v>
      </c>
      <c r="L203" s="1">
        <v>4.7885712500000004</v>
      </c>
      <c r="M203" s="1">
        <v>4.7885712500000004</v>
      </c>
      <c r="N203" s="1">
        <v>4.7885712500000004</v>
      </c>
      <c r="O203" s="1">
        <v>5.0499662499999998</v>
      </c>
      <c r="P203" s="1">
        <v>5.0499662499999998</v>
      </c>
      <c r="Q203" s="1">
        <v>5.0499662499999998</v>
      </c>
      <c r="R203" s="1">
        <v>5.0499662499999998</v>
      </c>
      <c r="S203" s="1">
        <v>5.2312637499999992</v>
      </c>
      <c r="T203" s="1">
        <v>5.2312637499999992</v>
      </c>
      <c r="U203" s="1">
        <v>5.2312637499999992</v>
      </c>
      <c r="V203" s="1">
        <v>5.2312637499999992</v>
      </c>
      <c r="W203" s="1">
        <v>5.7003832499999989</v>
      </c>
      <c r="X203" s="1">
        <v>5.7003832499999989</v>
      </c>
      <c r="Y203" s="1">
        <v>5.7003832499999989</v>
      </c>
      <c r="Z203" s="1">
        <v>5.7003832499999989</v>
      </c>
      <c r="AA203" s="1">
        <v>5.8388662499999988</v>
      </c>
      <c r="AB203" s="1">
        <v>5.8388662499999988</v>
      </c>
      <c r="AC203" s="1">
        <v>5.8388662499999988</v>
      </c>
      <c r="AD203" s="1">
        <v>5.8388662499999988</v>
      </c>
      <c r="AE203" s="1">
        <v>5.3848462499999998</v>
      </c>
      <c r="AF203" s="1">
        <v>5.3848462499999998</v>
      </c>
      <c r="AG203" s="1">
        <v>5.3848462499999998</v>
      </c>
      <c r="AH203" s="1">
        <v>5.3848462499999998</v>
      </c>
      <c r="AI203" s="1">
        <v>5.8445012500000004</v>
      </c>
      <c r="AJ203" s="1">
        <v>5.8445012500000004</v>
      </c>
      <c r="AK203" s="1">
        <v>5.8445012500000004</v>
      </c>
      <c r="AL203" s="1">
        <v>5.8445012500000004</v>
      </c>
      <c r="AM203" s="1">
        <v>5.8504812499999979</v>
      </c>
      <c r="AN203" s="1">
        <v>5.8504812499999979</v>
      </c>
      <c r="AO203" s="1">
        <v>5.8504812499999979</v>
      </c>
      <c r="AP203" s="1">
        <v>5.8504812499999979</v>
      </c>
      <c r="AQ203" s="1">
        <v>5.8946538999999998</v>
      </c>
      <c r="AR203" s="1">
        <v>5.8946538999999998</v>
      </c>
      <c r="AS203" s="1">
        <v>5.8946538999999998</v>
      </c>
      <c r="AT203" s="1">
        <v>5.8946538999999998</v>
      </c>
      <c r="AU203" s="1">
        <v>6.6545612499999987</v>
      </c>
      <c r="AV203" s="1">
        <v>6.6545612499999987</v>
      </c>
      <c r="AW203" s="1">
        <v>6.6545612499999987</v>
      </c>
      <c r="AX203" s="1">
        <v>6.6545612499999987</v>
      </c>
      <c r="AY203" s="1">
        <v>6.7977074999999987</v>
      </c>
      <c r="AZ203" s="1">
        <v>6.7977074999999987</v>
      </c>
      <c r="BA203" s="1">
        <v>6.7977074999999987</v>
      </c>
      <c r="BB203" s="1">
        <v>6.7977074999999987</v>
      </c>
      <c r="BC203" s="1">
        <v>6.9184574999999997</v>
      </c>
      <c r="BD203" s="1">
        <v>6.9184574999999997</v>
      </c>
      <c r="BE203" s="1">
        <v>6.9184574999999997</v>
      </c>
      <c r="BF203" s="1">
        <v>6.9184574999999997</v>
      </c>
      <c r="BG203" s="1">
        <v>7.4709174999999988</v>
      </c>
      <c r="BH203" s="1">
        <v>7.4709174999999988</v>
      </c>
      <c r="BI203" s="1">
        <v>7.4709174999999988</v>
      </c>
      <c r="BJ203" s="1">
        <v>7.4709174999999988</v>
      </c>
      <c r="BK203" s="1">
        <v>7.7518944843749988</v>
      </c>
      <c r="BL203" s="1">
        <v>7.7518944843749988</v>
      </c>
      <c r="BM203" s="1">
        <v>7.7518944843749988</v>
      </c>
      <c r="BN203" s="1">
        <v>7.7518944843749988</v>
      </c>
      <c r="BO203" s="1">
        <v>8.0784596249999971</v>
      </c>
      <c r="BP203" s="1">
        <v>8.0784596249999971</v>
      </c>
      <c r="BQ203" s="1">
        <v>8.0784596249999971</v>
      </c>
      <c r="BR203" s="1">
        <v>8.0784596249999971</v>
      </c>
      <c r="BS203" s="1">
        <v>8.3378996250000004</v>
      </c>
      <c r="BT203" s="1">
        <v>8.3378996250000004</v>
      </c>
      <c r="BU203" s="1">
        <v>8.3378996250000004</v>
      </c>
      <c r="BV203" s="1">
        <v>8.3378996250000004</v>
      </c>
      <c r="BW203" s="1">
        <v>9.3320969062499994</v>
      </c>
      <c r="BX203" s="1">
        <v>9.3320969062499994</v>
      </c>
      <c r="BY203" s="1">
        <v>9.3320969062499994</v>
      </c>
      <c r="BZ203" s="1">
        <v>9.3320969062499994</v>
      </c>
      <c r="CA203" s="1">
        <v>10.108794328125001</v>
      </c>
      <c r="CB203" s="1">
        <v>10.108794328125001</v>
      </c>
      <c r="CC203" s="1">
        <v>10.108794328125001</v>
      </c>
      <c r="CD203" s="1">
        <v>10.108794328125001</v>
      </c>
      <c r="CE203" s="1">
        <v>11.815266749999999</v>
      </c>
      <c r="CF203" s="1">
        <v>11.815266749999999</v>
      </c>
      <c r="CG203" s="1">
        <v>11.815266749999999</v>
      </c>
      <c r="CH203" s="1">
        <v>11.815266749999999</v>
      </c>
      <c r="CI203" s="1">
        <v>14.270504171875</v>
      </c>
      <c r="CJ203" s="1">
        <v>14.270504171875</v>
      </c>
      <c r="CK203" s="1">
        <v>14.270504171875</v>
      </c>
      <c r="CL203" s="1">
        <v>14.270504171875</v>
      </c>
      <c r="CM203" s="1">
        <v>15.361266593750001</v>
      </c>
      <c r="CN203" s="1">
        <v>15.361266593750001</v>
      </c>
    </row>
    <row r="204" spans="1:92" x14ac:dyDescent="0.35">
      <c r="A204" t="s">
        <v>49</v>
      </c>
      <c r="B204" s="1">
        <v>4.84</v>
      </c>
      <c r="C204" s="1">
        <v>5.08</v>
      </c>
      <c r="D204" s="1">
        <v>5.08</v>
      </c>
      <c r="E204" s="1">
        <v>5.03</v>
      </c>
      <c r="F204" s="1">
        <v>5.03</v>
      </c>
      <c r="G204" s="1">
        <v>5.23</v>
      </c>
      <c r="H204" s="1">
        <v>5.23</v>
      </c>
      <c r="I204" s="1">
        <v>5.23</v>
      </c>
      <c r="J204" s="1">
        <v>5.23</v>
      </c>
      <c r="K204" s="1">
        <v>5.42</v>
      </c>
      <c r="L204" s="1">
        <v>5.42</v>
      </c>
      <c r="M204" s="1">
        <v>5.42</v>
      </c>
      <c r="N204" s="1">
        <v>5.42</v>
      </c>
      <c r="O204" s="1">
        <v>5.65</v>
      </c>
      <c r="P204" s="1">
        <v>5.65</v>
      </c>
      <c r="Q204" s="1">
        <v>5.65</v>
      </c>
      <c r="R204" s="1">
        <v>5.65</v>
      </c>
      <c r="S204" s="1">
        <v>6.19</v>
      </c>
      <c r="T204" s="1">
        <v>6.19</v>
      </c>
      <c r="U204" s="1">
        <v>6.19</v>
      </c>
      <c r="V204" s="1">
        <v>6.19</v>
      </c>
      <c r="W204" s="1">
        <v>6.81</v>
      </c>
      <c r="X204" s="1">
        <v>6.81</v>
      </c>
      <c r="Y204" s="1">
        <v>6.81</v>
      </c>
      <c r="Z204" s="1">
        <v>6.81</v>
      </c>
      <c r="AA204" s="1">
        <v>7.16</v>
      </c>
      <c r="AB204" s="1">
        <v>7.16</v>
      </c>
      <c r="AC204" s="1">
        <v>7.32</v>
      </c>
      <c r="AD204" s="1">
        <v>7.32</v>
      </c>
      <c r="AE204" s="1">
        <v>7.6537603124999993</v>
      </c>
      <c r="AF204" s="1">
        <v>7.6537603124999993</v>
      </c>
      <c r="AG204" s="1">
        <v>7.6537603124999993</v>
      </c>
      <c r="AH204" s="1">
        <v>7.6537603124999993</v>
      </c>
      <c r="AI204" s="1">
        <v>8.0239453124999986</v>
      </c>
      <c r="AJ204" s="1">
        <v>8.0239453124999986</v>
      </c>
      <c r="AK204" s="1">
        <v>8.0239453124999986</v>
      </c>
      <c r="AL204" s="1">
        <v>8.0239453124999986</v>
      </c>
      <c r="AM204" s="1">
        <v>8.4525503124999997</v>
      </c>
      <c r="AN204" s="1">
        <v>8.4525503124999997</v>
      </c>
      <c r="AO204" s="1">
        <v>8.4525503124999997</v>
      </c>
      <c r="AP204" s="1">
        <v>8.4525503124999997</v>
      </c>
      <c r="AQ204" s="1">
        <v>8.6363203125000005</v>
      </c>
      <c r="AR204" s="1">
        <v>8.6363203125000005</v>
      </c>
      <c r="AS204" s="1">
        <v>8.6363203125000005</v>
      </c>
      <c r="AT204" s="1">
        <v>8.6363203125000005</v>
      </c>
      <c r="AU204" s="1">
        <v>8.4580703125000003</v>
      </c>
      <c r="AV204" s="1">
        <v>8.4580703125000003</v>
      </c>
      <c r="AW204" s="1">
        <v>8.4580703125000003</v>
      </c>
      <c r="AX204" s="1">
        <v>8.4580703125000003</v>
      </c>
      <c r="AY204" s="1">
        <v>8.7039403124999986</v>
      </c>
      <c r="AZ204" s="1">
        <v>8.7039403124999986</v>
      </c>
      <c r="BA204" s="1">
        <v>8.7039403124999986</v>
      </c>
      <c r="BB204" s="1">
        <v>8.7039403124999986</v>
      </c>
      <c r="BC204" s="1">
        <v>9.1503703124999998</v>
      </c>
      <c r="BD204" s="1">
        <v>9.1503703124999998</v>
      </c>
      <c r="BE204" s="1">
        <v>9.1503703124999998</v>
      </c>
      <c r="BF204" s="1">
        <v>9.1503703124999998</v>
      </c>
      <c r="BG204" s="1">
        <v>9.3205703124999992</v>
      </c>
      <c r="BH204" s="1">
        <v>9.3205703124999992</v>
      </c>
      <c r="BI204" s="1">
        <v>9.3205703124999992</v>
      </c>
      <c r="BJ204" s="1">
        <v>9.3205703124999992</v>
      </c>
      <c r="BK204" s="1">
        <v>9.601170312499999</v>
      </c>
      <c r="BL204" s="1">
        <v>9.601170312499999</v>
      </c>
      <c r="BM204" s="1">
        <v>9.601170312499999</v>
      </c>
      <c r="BN204" s="1">
        <v>9.601170312499999</v>
      </c>
      <c r="BO204" s="1">
        <v>9.5068703124999985</v>
      </c>
      <c r="BP204" s="1">
        <v>9.5068703124999985</v>
      </c>
      <c r="BQ204" s="1">
        <v>9.5068703124999985</v>
      </c>
      <c r="BR204" s="1">
        <v>9.5068703124999985</v>
      </c>
      <c r="BS204" s="1">
        <v>9.8498826093749976</v>
      </c>
      <c r="BT204" s="1">
        <v>9.8498826093749976</v>
      </c>
      <c r="BU204" s="1">
        <v>9.8498826093749976</v>
      </c>
      <c r="BV204" s="1">
        <v>9.8498826093749976</v>
      </c>
      <c r="BW204" s="1">
        <v>10.498370843749999</v>
      </c>
      <c r="BX204" s="1">
        <v>10.498370843749999</v>
      </c>
      <c r="BY204" s="1">
        <v>10.498370843749999</v>
      </c>
      <c r="BZ204" s="1">
        <v>10.498370843749999</v>
      </c>
      <c r="CA204" s="1">
        <v>11.48476825</v>
      </c>
      <c r="CB204" s="1">
        <v>11.48476825</v>
      </c>
      <c r="CC204" s="1">
        <v>11.48476825</v>
      </c>
      <c r="CD204" s="1">
        <v>11.48476825</v>
      </c>
      <c r="CE204" s="1">
        <v>12.811807515625</v>
      </c>
      <c r="CF204" s="1">
        <v>12.811807515625</v>
      </c>
      <c r="CG204" s="1">
        <v>12.811807515625</v>
      </c>
      <c r="CH204" s="1">
        <v>12.811807515625</v>
      </c>
      <c r="CI204" s="1">
        <v>14.709735531250001</v>
      </c>
      <c r="CJ204" s="1">
        <v>14.709735531250001</v>
      </c>
      <c r="CK204" s="1">
        <v>14.709735531250001</v>
      </c>
      <c r="CL204" s="1">
        <v>14.709735531250001</v>
      </c>
      <c r="CM204" s="1">
        <v>15.77347978125</v>
      </c>
      <c r="CN204" s="1">
        <v>15.77347978125</v>
      </c>
    </row>
    <row r="205" spans="1:92" x14ac:dyDescent="0.35">
      <c r="A205" t="s">
        <v>66</v>
      </c>
      <c r="B205" s="1">
        <v>4.5599999999999996</v>
      </c>
      <c r="C205" s="1">
        <v>4.68</v>
      </c>
      <c r="D205" s="1">
        <v>4.68</v>
      </c>
      <c r="E205" s="1">
        <v>4.68</v>
      </c>
      <c r="F205" s="1">
        <v>4.68</v>
      </c>
      <c r="G205" s="1">
        <v>4.8</v>
      </c>
      <c r="H205" s="1">
        <v>4.8</v>
      </c>
      <c r="I205" s="1">
        <v>4.8</v>
      </c>
      <c r="J205" s="1">
        <v>4.8</v>
      </c>
      <c r="K205" s="1">
        <v>4.97</v>
      </c>
      <c r="L205" s="1">
        <v>4.97</v>
      </c>
      <c r="M205" s="1">
        <v>4.97</v>
      </c>
      <c r="N205" s="1">
        <v>4.97</v>
      </c>
      <c r="O205" s="1">
        <v>5.31</v>
      </c>
      <c r="P205" s="1">
        <v>5.31</v>
      </c>
      <c r="Q205" s="1">
        <v>5.31</v>
      </c>
      <c r="R205" s="1">
        <v>5.31</v>
      </c>
      <c r="S205" s="1">
        <v>5.5</v>
      </c>
      <c r="T205" s="1">
        <v>5.5</v>
      </c>
      <c r="U205" s="1">
        <v>5.5</v>
      </c>
      <c r="V205" s="1">
        <v>5.5</v>
      </c>
      <c r="W205" s="1">
        <v>5.71</v>
      </c>
      <c r="X205" s="1">
        <v>5.71</v>
      </c>
      <c r="Y205" s="1">
        <v>5.71</v>
      </c>
      <c r="Z205" s="1">
        <v>5.71</v>
      </c>
      <c r="AA205" s="1">
        <v>5.89</v>
      </c>
      <c r="AB205" s="1">
        <v>5.89</v>
      </c>
      <c r="AC205" s="1">
        <v>6.02</v>
      </c>
      <c r="AD205" s="1">
        <v>6.02</v>
      </c>
      <c r="AE205" s="1">
        <v>6.1189242485805639</v>
      </c>
      <c r="AF205" s="1">
        <v>6.1189242485805639</v>
      </c>
      <c r="AG205" s="1">
        <v>6.1189242485805639</v>
      </c>
      <c r="AH205" s="1">
        <v>6.1189242485805639</v>
      </c>
      <c r="AI205" s="1">
        <v>6.2967180545016745</v>
      </c>
      <c r="AJ205" s="1">
        <v>6.2967180545016745</v>
      </c>
      <c r="AK205" s="1">
        <v>6.2967180545016745</v>
      </c>
      <c r="AL205" s="1">
        <v>6.2967180545016745</v>
      </c>
      <c r="AM205" s="1">
        <v>6.5098599486243751</v>
      </c>
      <c r="AN205" s="1">
        <v>6.5098599486243751</v>
      </c>
      <c r="AO205" s="1">
        <v>6.5098599486243751</v>
      </c>
      <c r="AP205" s="1">
        <v>6.5098599486243751</v>
      </c>
      <c r="AQ205" s="1">
        <v>7.332663846102812</v>
      </c>
      <c r="AR205" s="1">
        <v>7.332663846102812</v>
      </c>
      <c r="AS205" s="1">
        <v>7.332663846102812</v>
      </c>
      <c r="AT205" s="1">
        <v>7.332663846102812</v>
      </c>
      <c r="AU205" s="1">
        <v>7.5705006589015609</v>
      </c>
      <c r="AV205" s="1">
        <v>7.5705006589015609</v>
      </c>
      <c r="AW205" s="1">
        <v>7.5705006589015609</v>
      </c>
      <c r="AX205" s="1">
        <v>7.5705006589015609</v>
      </c>
      <c r="AY205" s="1">
        <v>7.8031716776515623</v>
      </c>
      <c r="AZ205" s="1">
        <v>7.8031716776515623</v>
      </c>
      <c r="BA205" s="1">
        <v>7.8031716776515623</v>
      </c>
      <c r="BB205" s="1">
        <v>7.8031716776515623</v>
      </c>
      <c r="BC205" s="1">
        <v>7.9201482607437486</v>
      </c>
      <c r="BD205" s="1">
        <v>7.9201482607437486</v>
      </c>
      <c r="BE205" s="1">
        <v>7.9201482607437486</v>
      </c>
      <c r="BF205" s="1">
        <v>7.9201482607437486</v>
      </c>
      <c r="BG205" s="1">
        <v>8.1861163615824992</v>
      </c>
      <c r="BH205" s="1">
        <v>8.1861163615824992</v>
      </c>
      <c r="BI205" s="1">
        <v>8.1861163615824992</v>
      </c>
      <c r="BJ205" s="1">
        <v>8.1861163615824992</v>
      </c>
      <c r="BK205" s="1">
        <v>8.1797077479143763</v>
      </c>
      <c r="BL205" s="1">
        <v>8.1797077479143763</v>
      </c>
      <c r="BM205" s="1">
        <v>8.1797077479143763</v>
      </c>
      <c r="BN205" s="1">
        <v>8.1797077479143763</v>
      </c>
      <c r="BO205" s="1">
        <v>7.360724624918749</v>
      </c>
      <c r="BP205" s="1">
        <v>7.360724624918749</v>
      </c>
      <c r="BQ205" s="1">
        <v>7.360724624918749</v>
      </c>
      <c r="BR205" s="1">
        <v>7.360724624918749</v>
      </c>
      <c r="BS205" s="1">
        <v>7.3935832096428111</v>
      </c>
      <c r="BT205" s="1">
        <v>7.3935832096428111</v>
      </c>
      <c r="BU205" s="1">
        <v>7.3935832096428111</v>
      </c>
      <c r="BV205" s="1">
        <v>7.3935832096428111</v>
      </c>
      <c r="BW205" s="1">
        <v>7.4641448654253129</v>
      </c>
      <c r="BX205" s="1">
        <v>7.4641448654253129</v>
      </c>
      <c r="BY205" s="1">
        <v>7.4641448654253129</v>
      </c>
      <c r="BZ205" s="1">
        <v>7.4641448654253129</v>
      </c>
      <c r="CA205" s="1">
        <v>7.6410848302034404</v>
      </c>
      <c r="CB205" s="1">
        <v>7.6410848302034404</v>
      </c>
      <c r="CC205" s="1">
        <v>7.6410848302034404</v>
      </c>
      <c r="CD205" s="1">
        <v>7.6410848302034404</v>
      </c>
      <c r="CE205" s="1">
        <v>7.9100608452175001</v>
      </c>
      <c r="CF205" s="1">
        <v>7.9100608452175001</v>
      </c>
      <c r="CG205" s="1">
        <v>7.9100608452175001</v>
      </c>
      <c r="CH205" s="1">
        <v>7.9100608452175001</v>
      </c>
      <c r="CI205" s="1">
        <v>10.1284451149875</v>
      </c>
      <c r="CJ205" s="1">
        <v>10.1284451149875</v>
      </c>
      <c r="CK205" s="1">
        <v>10.1284451149875</v>
      </c>
      <c r="CL205" s="1">
        <v>10.1284451149875</v>
      </c>
      <c r="CM205" s="1">
        <v>11.589465317429999</v>
      </c>
      <c r="CN205" s="1">
        <v>11.589465317429999</v>
      </c>
    </row>
    <row r="206" spans="1:92" x14ac:dyDescent="0.35">
      <c r="A206" t="s">
        <v>50</v>
      </c>
      <c r="B206" s="1">
        <v>4.84</v>
      </c>
      <c r="C206" s="1">
        <v>5.34</v>
      </c>
      <c r="D206" s="1">
        <v>5.34</v>
      </c>
      <c r="E206" s="1">
        <v>5.34</v>
      </c>
      <c r="F206" s="1">
        <v>5.34</v>
      </c>
      <c r="G206" s="1">
        <v>5.25</v>
      </c>
      <c r="H206" s="1">
        <v>7.14</v>
      </c>
      <c r="I206" s="1">
        <v>7.14</v>
      </c>
      <c r="J206" s="1">
        <v>7.14</v>
      </c>
      <c r="K206" s="1">
        <v>8.2200000000000006</v>
      </c>
      <c r="L206" s="1">
        <v>8.2200000000000006</v>
      </c>
      <c r="M206" s="1">
        <v>8.2200000000000006</v>
      </c>
      <c r="N206" s="1">
        <v>8.2200000000000006</v>
      </c>
      <c r="O206" s="1">
        <v>11.13</v>
      </c>
      <c r="P206" s="1">
        <v>11.13</v>
      </c>
      <c r="Q206" s="1">
        <v>11.13</v>
      </c>
      <c r="R206" s="1">
        <v>11.13</v>
      </c>
      <c r="S206" s="1">
        <v>11.13</v>
      </c>
      <c r="T206" s="1">
        <v>11.23</v>
      </c>
      <c r="U206" s="1">
        <v>11.23</v>
      </c>
      <c r="V206" s="1">
        <v>11.23</v>
      </c>
      <c r="W206" s="1">
        <v>11.09</v>
      </c>
      <c r="X206" s="1">
        <v>11.09</v>
      </c>
      <c r="Y206" s="1">
        <v>11.09</v>
      </c>
      <c r="Z206" s="1">
        <v>11.09</v>
      </c>
      <c r="AA206" s="1">
        <v>13.52</v>
      </c>
      <c r="AB206" s="1">
        <v>13.52</v>
      </c>
      <c r="AC206" s="1">
        <v>13.82</v>
      </c>
      <c r="AD206" s="1">
        <v>13.82</v>
      </c>
      <c r="AE206" s="1">
        <v>15.036508749999998</v>
      </c>
      <c r="AF206" s="1">
        <v>15.036508749999998</v>
      </c>
      <c r="AG206" s="1">
        <v>15.036508749999998</v>
      </c>
      <c r="AH206" s="1">
        <v>15.036508749999998</v>
      </c>
      <c r="AI206" s="1">
        <v>14.578549999999998</v>
      </c>
      <c r="AJ206" s="1">
        <v>14.578549999999998</v>
      </c>
      <c r="AK206" s="1">
        <v>14.578549999999998</v>
      </c>
      <c r="AL206" s="1">
        <v>14.578549999999998</v>
      </c>
      <c r="AM206" s="1">
        <v>15.463474999999999</v>
      </c>
      <c r="AN206" s="1">
        <v>15.463474999999999</v>
      </c>
      <c r="AO206" s="1">
        <v>15.463474999999999</v>
      </c>
      <c r="AP206" s="1">
        <v>15.463474999999999</v>
      </c>
      <c r="AQ206" s="1">
        <v>16.693959906249997</v>
      </c>
      <c r="AR206" s="1">
        <v>16.693959906249997</v>
      </c>
      <c r="AS206" s="1">
        <v>16.693959906249997</v>
      </c>
      <c r="AT206" s="1">
        <v>16.693959906249997</v>
      </c>
      <c r="AU206" s="1">
        <v>17.126436453124999</v>
      </c>
      <c r="AV206" s="1">
        <v>17.126436453124999</v>
      </c>
      <c r="AW206" s="1">
        <v>17.126436453124999</v>
      </c>
      <c r="AX206" s="1">
        <v>17.126436453124999</v>
      </c>
      <c r="AY206" s="1">
        <v>17.592411781249996</v>
      </c>
      <c r="AZ206" s="1">
        <v>17.592411781249996</v>
      </c>
      <c r="BA206" s="1">
        <v>17.592411781249996</v>
      </c>
      <c r="BB206" s="1">
        <v>17.592411781249996</v>
      </c>
      <c r="BC206" s="1">
        <v>18.356636734375002</v>
      </c>
      <c r="BD206" s="1">
        <v>18.356636734375002</v>
      </c>
      <c r="BE206" s="1">
        <v>18.356636734375002</v>
      </c>
      <c r="BF206" s="1">
        <v>18.356636734375002</v>
      </c>
      <c r="BG206" s="1">
        <v>19.041962343749997</v>
      </c>
      <c r="BH206" s="1">
        <v>19.041962343749997</v>
      </c>
      <c r="BI206" s="1">
        <v>19.041962343749997</v>
      </c>
      <c r="BJ206" s="1">
        <v>19.041962343749997</v>
      </c>
      <c r="BK206" s="1">
        <v>18.797853640625</v>
      </c>
      <c r="BL206" s="1">
        <v>18.797853640625</v>
      </c>
      <c r="BM206" s="1">
        <v>18.797853640625</v>
      </c>
      <c r="BN206" s="1">
        <v>18.797853640625</v>
      </c>
      <c r="BO206" s="1">
        <v>17.388481203125</v>
      </c>
      <c r="BP206" s="1">
        <v>17.388481203125</v>
      </c>
      <c r="BQ206" s="1">
        <v>17.388481203125</v>
      </c>
      <c r="BR206" s="1">
        <v>17.388481203125</v>
      </c>
      <c r="BS206" s="1">
        <v>16.863853359374996</v>
      </c>
      <c r="BT206" s="1">
        <v>16.863853359374996</v>
      </c>
      <c r="BU206" s="1">
        <v>16.863853359374996</v>
      </c>
      <c r="BV206" s="1">
        <v>16.863853359374996</v>
      </c>
      <c r="BW206" s="1">
        <v>17.174768264999997</v>
      </c>
      <c r="BX206" s="1">
        <v>17.174768264999997</v>
      </c>
      <c r="BY206" s="1">
        <v>17.174768264999997</v>
      </c>
      <c r="BZ206" s="1">
        <v>17.174768264999997</v>
      </c>
      <c r="CA206" s="1">
        <v>16.458075040000001</v>
      </c>
      <c r="CB206" s="1">
        <v>16.458075040000001</v>
      </c>
      <c r="CC206" s="1">
        <v>16.458075040000001</v>
      </c>
      <c r="CD206" s="1">
        <v>16.458075040000001</v>
      </c>
      <c r="CE206" s="1">
        <v>17.578307864999999</v>
      </c>
      <c r="CF206" s="1">
        <v>17.578307864999999</v>
      </c>
      <c r="CG206" s="1">
        <v>17.578307864999999</v>
      </c>
      <c r="CH206" s="1">
        <v>17.578307864999999</v>
      </c>
      <c r="CI206" s="1">
        <v>21.144287665</v>
      </c>
      <c r="CJ206" s="1">
        <v>21.144287665</v>
      </c>
      <c r="CK206" s="1">
        <v>21.144287665</v>
      </c>
      <c r="CL206" s="1">
        <v>21.144287665</v>
      </c>
      <c r="CM206" s="1">
        <v>23.6554567025</v>
      </c>
      <c r="CN206" s="1">
        <v>23.6554567025</v>
      </c>
    </row>
    <row r="207" spans="1:92" x14ac:dyDescent="0.35">
      <c r="A207" t="s">
        <v>61</v>
      </c>
      <c r="B207" s="1">
        <v>7.84</v>
      </c>
      <c r="C207" s="1">
        <v>8.27</v>
      </c>
      <c r="D207" s="1">
        <v>8.27</v>
      </c>
      <c r="E207" s="1">
        <v>8.27</v>
      </c>
      <c r="F207" s="1">
        <v>8.27</v>
      </c>
      <c r="G207" s="1">
        <v>8.27</v>
      </c>
      <c r="H207" s="1">
        <v>8.27</v>
      </c>
      <c r="I207" s="1">
        <v>8.27</v>
      </c>
      <c r="J207" s="1">
        <v>8.27</v>
      </c>
      <c r="K207" s="1">
        <v>8.1300000000000008</v>
      </c>
      <c r="L207" s="1">
        <v>8.1300000000000008</v>
      </c>
      <c r="M207" s="1">
        <v>8.1300000000000008</v>
      </c>
      <c r="N207" s="1">
        <v>8.1300000000000008</v>
      </c>
      <c r="O207" s="1">
        <v>8.8000000000000007</v>
      </c>
      <c r="P207" s="1">
        <v>8.8000000000000007</v>
      </c>
      <c r="Q207" s="1">
        <v>8.8000000000000007</v>
      </c>
      <c r="R207" s="1">
        <v>8.8000000000000007</v>
      </c>
      <c r="S207" s="1">
        <v>8.77</v>
      </c>
      <c r="T207" s="1">
        <v>8.77</v>
      </c>
      <c r="U207" s="1">
        <v>8.77</v>
      </c>
      <c r="V207" s="1">
        <v>8.77</v>
      </c>
      <c r="W207" s="1">
        <v>9.11</v>
      </c>
      <c r="X207" s="1">
        <v>9.11</v>
      </c>
      <c r="Y207" s="1">
        <v>9.11</v>
      </c>
      <c r="Z207" s="1">
        <v>9.11</v>
      </c>
      <c r="AA207" s="1">
        <v>9.17</v>
      </c>
      <c r="AB207" s="1">
        <v>9.17</v>
      </c>
      <c r="AC207" s="1">
        <v>9.3699999999999992</v>
      </c>
      <c r="AD207" s="1">
        <v>9.3699999999999992</v>
      </c>
      <c r="AE207" s="1">
        <v>9.668293386871408</v>
      </c>
      <c r="AF207" s="1">
        <v>9.6129432863354403</v>
      </c>
      <c r="AG207" s="1">
        <v>9.6129432863354403</v>
      </c>
      <c r="AH207" s="1">
        <v>9.6129432863354403</v>
      </c>
      <c r="AI207" s="1">
        <v>10.10471612509606</v>
      </c>
      <c r="AJ207" s="1">
        <v>10.10471612509606</v>
      </c>
      <c r="AK207" s="1">
        <v>10.10471612509606</v>
      </c>
      <c r="AL207" s="1">
        <v>10.10471612509606</v>
      </c>
      <c r="AM207" s="1">
        <v>10.133705960942413</v>
      </c>
      <c r="AN207" s="1">
        <v>10.133705960942413</v>
      </c>
      <c r="AO207" s="1">
        <v>10.133705960942413</v>
      </c>
      <c r="AP207" s="1">
        <v>10.133705960942413</v>
      </c>
      <c r="AQ207" s="1">
        <v>10.553786338092197</v>
      </c>
      <c r="AR207" s="1">
        <v>10.553786338092197</v>
      </c>
      <c r="AS207" s="1">
        <v>10.553786338092197</v>
      </c>
      <c r="AT207" s="1">
        <v>10.553786338092197</v>
      </c>
      <c r="AU207" s="1">
        <v>10.475714752260963</v>
      </c>
      <c r="AV207" s="1">
        <v>10.475714752260963</v>
      </c>
      <c r="AW207" s="1">
        <v>10.475714752260963</v>
      </c>
      <c r="AX207" s="1">
        <v>10.475714752260963</v>
      </c>
      <c r="AY207" s="1">
        <v>10.517804452568942</v>
      </c>
      <c r="AZ207" s="1">
        <v>10.517804452568942</v>
      </c>
      <c r="BA207" s="1">
        <v>10.517804452568942</v>
      </c>
      <c r="BB207" s="1">
        <v>10.517804452568942</v>
      </c>
      <c r="BC207" s="1">
        <v>10.557053264564018</v>
      </c>
      <c r="BD207" s="1">
        <v>10.557053264564018</v>
      </c>
      <c r="BE207" s="1">
        <v>10.557053264564018</v>
      </c>
      <c r="BF207" s="1">
        <v>10.557053264564018</v>
      </c>
      <c r="BG207" s="1">
        <v>11.025908817710354</v>
      </c>
      <c r="BH207" s="1">
        <v>11.025908817710354</v>
      </c>
      <c r="BI207" s="1">
        <v>11.025908817710354</v>
      </c>
      <c r="BJ207" s="1">
        <v>11.025908817710354</v>
      </c>
      <c r="BK207" s="1">
        <v>11.122109999999999</v>
      </c>
      <c r="BL207" s="1">
        <v>11.122109999999999</v>
      </c>
      <c r="BM207" s="1">
        <v>11.122109999999999</v>
      </c>
      <c r="BN207" s="1">
        <v>11.122109999999999</v>
      </c>
      <c r="BO207" s="1">
        <v>9.6819439320000011</v>
      </c>
      <c r="BP207" s="1">
        <v>9.6819439320000011</v>
      </c>
      <c r="BQ207" s="1">
        <v>9.6819439320000011</v>
      </c>
      <c r="BR207" s="1">
        <v>9.6819439320000011</v>
      </c>
      <c r="BS207" s="1">
        <v>9.6506224307999986</v>
      </c>
      <c r="BT207" s="1">
        <v>9.6506224307999986</v>
      </c>
      <c r="BU207" s="1">
        <v>9.6506224307999986</v>
      </c>
      <c r="BV207" s="1">
        <v>9.6506224307999986</v>
      </c>
      <c r="BW207" s="1">
        <v>10.7636754861</v>
      </c>
      <c r="BX207" s="1">
        <v>10.7636754861</v>
      </c>
      <c r="BY207" s="1">
        <v>10.7636754861</v>
      </c>
      <c r="BZ207" s="1">
        <v>10.7636754861</v>
      </c>
      <c r="CA207" s="1">
        <v>12.0787803375</v>
      </c>
      <c r="CB207" s="1">
        <v>12.0787803375</v>
      </c>
      <c r="CC207" s="1">
        <v>12.0787803375</v>
      </c>
      <c r="CD207" s="1">
        <v>12.0787803375</v>
      </c>
      <c r="CE207" s="1">
        <v>14.536582187500001</v>
      </c>
      <c r="CF207" s="1">
        <v>14.536582187500001</v>
      </c>
      <c r="CG207" s="1">
        <v>14.536582187500001</v>
      </c>
      <c r="CH207" s="1">
        <v>14.536582187500001</v>
      </c>
      <c r="CI207" s="1">
        <v>17.838483750000002</v>
      </c>
      <c r="CJ207" s="1">
        <v>17.838483750000002</v>
      </c>
      <c r="CK207" s="1">
        <v>17.838483750000002</v>
      </c>
      <c r="CL207" s="1">
        <v>17.838483750000002</v>
      </c>
      <c r="CM207" s="1">
        <v>20.741924687499999</v>
      </c>
      <c r="CN207" s="1">
        <v>20.741924687499999</v>
      </c>
    </row>
    <row r="208" spans="1:92" x14ac:dyDescent="0.35">
      <c r="A208" t="s">
        <v>56</v>
      </c>
      <c r="B208" s="1">
        <v>7.67</v>
      </c>
      <c r="C208" s="1">
        <v>6.8</v>
      </c>
      <c r="D208" s="1">
        <v>6.8</v>
      </c>
      <c r="E208" s="1">
        <v>6.8</v>
      </c>
      <c r="F208" s="1">
        <v>6.8</v>
      </c>
      <c r="G208" s="1">
        <v>6.96</v>
      </c>
      <c r="H208" s="1">
        <v>6.96</v>
      </c>
      <c r="I208" s="1">
        <v>6.96</v>
      </c>
      <c r="J208" s="1">
        <v>6.96</v>
      </c>
      <c r="K208" s="1">
        <v>6.77</v>
      </c>
      <c r="L208" s="1">
        <v>6.77</v>
      </c>
      <c r="M208" s="1">
        <v>6.77</v>
      </c>
      <c r="N208" s="1">
        <v>6.77</v>
      </c>
      <c r="O208" s="1">
        <v>7.15</v>
      </c>
      <c r="P208" s="1">
        <v>7.15</v>
      </c>
      <c r="Q208" s="1">
        <v>7.15</v>
      </c>
      <c r="R208" s="1">
        <v>7.15</v>
      </c>
      <c r="S208" s="1">
        <v>7.12</v>
      </c>
      <c r="T208" s="1">
        <v>7.12</v>
      </c>
      <c r="U208" s="1">
        <v>7.12</v>
      </c>
      <c r="V208" s="1">
        <v>7.12</v>
      </c>
      <c r="W208" s="1">
        <v>7.24</v>
      </c>
      <c r="X208" s="1">
        <v>7.24</v>
      </c>
      <c r="Y208" s="1">
        <v>7.24</v>
      </c>
      <c r="Z208" s="1">
        <v>7.24</v>
      </c>
      <c r="AA208" s="1">
        <v>7.44</v>
      </c>
      <c r="AB208" s="1">
        <v>7.44</v>
      </c>
      <c r="AC208" s="1">
        <v>7.61</v>
      </c>
      <c r="AD208" s="1">
        <v>7.61</v>
      </c>
      <c r="AE208" s="1">
        <v>7.8465802589067604</v>
      </c>
      <c r="AF208" s="1">
        <v>7.8046910781353755</v>
      </c>
      <c r="AG208" s="1">
        <v>7.8046910781353755</v>
      </c>
      <c r="AH208" s="1">
        <v>7.8046910781353755</v>
      </c>
      <c r="AI208" s="1">
        <v>7.9257082733060695</v>
      </c>
      <c r="AJ208" s="1">
        <v>7.9257082733060695</v>
      </c>
      <c r="AK208" s="1">
        <v>7.9257082733060695</v>
      </c>
      <c r="AL208" s="1">
        <v>7.9257082733060695</v>
      </c>
      <c r="AM208" s="1">
        <v>7.8573141609374586</v>
      </c>
      <c r="AN208" s="1">
        <v>7.8573141609374586</v>
      </c>
      <c r="AO208" s="1">
        <v>7.8573141609374586</v>
      </c>
      <c r="AP208" s="1">
        <v>7.8573141609374586</v>
      </c>
      <c r="AQ208" s="1">
        <v>8.1738963505565572</v>
      </c>
      <c r="AR208" s="1">
        <v>8.1738963505565572</v>
      </c>
      <c r="AS208" s="1">
        <v>8.1738963505565572</v>
      </c>
      <c r="AT208" s="1">
        <v>8.1738963505565572</v>
      </c>
      <c r="AU208" s="1">
        <v>8.0246923258434641</v>
      </c>
      <c r="AV208" s="1">
        <v>8.0246923258434641</v>
      </c>
      <c r="AW208" s="1">
        <v>8.0246923258434641</v>
      </c>
      <c r="AX208" s="1">
        <v>8.0246923258434641</v>
      </c>
      <c r="AY208" s="1">
        <v>8.0562765087726103</v>
      </c>
      <c r="AZ208" s="1">
        <v>8.0562765087726103</v>
      </c>
      <c r="BA208" s="1">
        <v>8.0562765087726103</v>
      </c>
      <c r="BB208" s="1">
        <v>8.0562765087726103</v>
      </c>
      <c r="BC208" s="1">
        <v>8.0817745755244434</v>
      </c>
      <c r="BD208" s="1">
        <v>8.0817745755244434</v>
      </c>
      <c r="BE208" s="1">
        <v>8.0817745755244434</v>
      </c>
      <c r="BF208" s="1">
        <v>8.0817745755244434</v>
      </c>
      <c r="BG208" s="1">
        <v>8.4435987584542946</v>
      </c>
      <c r="BH208" s="1">
        <v>8.4435987584542946</v>
      </c>
      <c r="BI208" s="1">
        <v>8.4435987584542946</v>
      </c>
      <c r="BJ208" s="1">
        <v>8.4435987584542946</v>
      </c>
      <c r="BK208" s="1">
        <v>8.5196231999999998</v>
      </c>
      <c r="BL208" s="1">
        <v>8.5196231999999998</v>
      </c>
      <c r="BM208" s="1">
        <v>8.5196231999999998</v>
      </c>
      <c r="BN208" s="1">
        <v>8.5196231999999998</v>
      </c>
      <c r="BO208" s="1">
        <v>7.5551158079999983</v>
      </c>
      <c r="BP208" s="1">
        <v>7.5551158079999983</v>
      </c>
      <c r="BQ208" s="1">
        <v>7.5551158079999983</v>
      </c>
      <c r="BR208" s="1">
        <v>7.5551158079999983</v>
      </c>
      <c r="BS208" s="1">
        <v>7.4122222175999992</v>
      </c>
      <c r="BT208" s="1">
        <v>7.4122222175999992</v>
      </c>
      <c r="BU208" s="1">
        <v>7.4122222175999992</v>
      </c>
      <c r="BV208" s="1">
        <v>7.4122222175999992</v>
      </c>
      <c r="BW208" s="1">
        <v>8.314028212500002</v>
      </c>
      <c r="BX208" s="1">
        <v>8.314028212500002</v>
      </c>
      <c r="BY208" s="1">
        <v>8.314028212500002</v>
      </c>
      <c r="BZ208" s="1">
        <v>8.314028212500002</v>
      </c>
      <c r="CA208" s="1">
        <v>9.7533768374999994</v>
      </c>
      <c r="CB208" s="1">
        <v>9.7533768374999994</v>
      </c>
      <c r="CC208" s="1">
        <v>9.7533768374999994</v>
      </c>
      <c r="CD208" s="1">
        <v>9.7533768374999994</v>
      </c>
      <c r="CE208" s="1">
        <v>11.9487946875</v>
      </c>
      <c r="CF208" s="1">
        <v>11.9487946875</v>
      </c>
      <c r="CG208" s="1">
        <v>11.9487946875</v>
      </c>
      <c r="CH208" s="1">
        <v>11.9487946875</v>
      </c>
      <c r="CI208" s="1">
        <v>15.288085625000001</v>
      </c>
      <c r="CJ208" s="1">
        <v>15.288085625000001</v>
      </c>
      <c r="CK208" s="1">
        <v>15.288085625000001</v>
      </c>
      <c r="CL208" s="1">
        <v>15.288085625000001</v>
      </c>
      <c r="CM208" s="1">
        <v>16.490982750000001</v>
      </c>
      <c r="CN208" s="1">
        <v>16.490982750000001</v>
      </c>
    </row>
    <row r="209" spans="1:92" x14ac:dyDescent="0.35">
      <c r="A209" t="s">
        <v>52</v>
      </c>
      <c r="B209" s="1">
        <v>6.07</v>
      </c>
      <c r="C209" s="1">
        <v>6.58</v>
      </c>
      <c r="D209" s="1">
        <v>6.58</v>
      </c>
      <c r="E209" s="1">
        <v>6.58</v>
      </c>
      <c r="F209" s="1">
        <v>6.58</v>
      </c>
      <c r="G209" s="1">
        <v>6.7</v>
      </c>
      <c r="H209" s="1">
        <v>6.7</v>
      </c>
      <c r="I209" s="1">
        <v>6.7</v>
      </c>
      <c r="J209" s="1">
        <v>6.7</v>
      </c>
      <c r="K209" s="1">
        <v>6.59</v>
      </c>
      <c r="L209" s="1">
        <v>6.59</v>
      </c>
      <c r="M209" s="1">
        <v>6.59</v>
      </c>
      <c r="N209" s="1">
        <v>6.59</v>
      </c>
      <c r="O209" s="1">
        <v>6.97</v>
      </c>
      <c r="P209" s="1">
        <v>6.97</v>
      </c>
      <c r="Q209" s="1">
        <v>6.97</v>
      </c>
      <c r="R209" s="1">
        <v>6.97</v>
      </c>
      <c r="S209" s="1">
        <v>6.94</v>
      </c>
      <c r="T209" s="1">
        <v>6.94</v>
      </c>
      <c r="U209" s="1">
        <v>6.94</v>
      </c>
      <c r="V209" s="1">
        <v>6.94</v>
      </c>
      <c r="W209" s="1">
        <v>7.06</v>
      </c>
      <c r="X209" s="1">
        <v>7.06</v>
      </c>
      <c r="Y209" s="1">
        <v>7.06</v>
      </c>
      <c r="Z209" s="1">
        <v>7.06</v>
      </c>
      <c r="AA209" s="1">
        <v>7.26</v>
      </c>
      <c r="AB209" s="1">
        <v>7.26</v>
      </c>
      <c r="AC209" s="1">
        <v>7.42</v>
      </c>
      <c r="AD209" s="1">
        <v>7.42</v>
      </c>
      <c r="AE209" s="1">
        <v>7.6509904124091488</v>
      </c>
      <c r="AF209" s="1">
        <v>7.6097175524430529</v>
      </c>
      <c r="AG209" s="1">
        <v>7.6097175524430529</v>
      </c>
      <c r="AH209" s="1">
        <v>7.6097175524430529</v>
      </c>
      <c r="AI209" s="1">
        <v>7.9257082733060695</v>
      </c>
      <c r="AJ209" s="1">
        <v>7.9257082733060695</v>
      </c>
      <c r="AK209" s="1">
        <v>7.9257082733060695</v>
      </c>
      <c r="AL209" s="1">
        <v>7.9257082733060695</v>
      </c>
      <c r="AM209" s="1">
        <v>7.8573141609374586</v>
      </c>
      <c r="AN209" s="1">
        <v>7.8573141609374586</v>
      </c>
      <c r="AO209" s="1">
        <v>7.8573141609374586</v>
      </c>
      <c r="AP209" s="1">
        <v>7.8573141609374586</v>
      </c>
      <c r="AQ209" s="1">
        <v>8.1738963505565572</v>
      </c>
      <c r="AR209" s="1">
        <v>8.1738963505565572</v>
      </c>
      <c r="AS209" s="1">
        <v>8.1738963505565572</v>
      </c>
      <c r="AT209" s="1">
        <v>8.1738963505565572</v>
      </c>
      <c r="AU209" s="1">
        <v>8.0246923258434641</v>
      </c>
      <c r="AV209" s="1">
        <v>8.0246923258434641</v>
      </c>
      <c r="AW209" s="1">
        <v>8.0246923258434641</v>
      </c>
      <c r="AX209" s="1">
        <v>8.0246923258434641</v>
      </c>
      <c r="AY209" s="1">
        <v>8.0562765087726103</v>
      </c>
      <c r="AZ209" s="1">
        <v>8.0562765087726103</v>
      </c>
      <c r="BA209" s="1">
        <v>8.0562765087726103</v>
      </c>
      <c r="BB209" s="1">
        <v>8.0562765087726103</v>
      </c>
      <c r="BC209" s="1">
        <v>8.0817745755244434</v>
      </c>
      <c r="BD209" s="1">
        <v>8.0817745755244434</v>
      </c>
      <c r="BE209" s="1">
        <v>8.0817745755244434</v>
      </c>
      <c r="BF209" s="1">
        <v>8.0817745755244434</v>
      </c>
      <c r="BG209" s="1">
        <v>8.4435987584542946</v>
      </c>
      <c r="BH209" s="1">
        <v>8.4435987584542946</v>
      </c>
      <c r="BI209" s="1">
        <v>8.4435987584542946</v>
      </c>
      <c r="BJ209" s="1">
        <v>8.4435987584542946</v>
      </c>
      <c r="BK209" s="1">
        <v>8.5196231999999998</v>
      </c>
      <c r="BL209" s="1">
        <v>8.5196231999999998</v>
      </c>
      <c r="BM209" s="1">
        <v>8.5196231999999998</v>
      </c>
      <c r="BN209" s="1">
        <v>8.5196231999999998</v>
      </c>
      <c r="BO209" s="1">
        <v>7.5551158079999983</v>
      </c>
      <c r="BP209" s="1">
        <v>7.5551158079999983</v>
      </c>
      <c r="BQ209" s="1">
        <v>7.5551158079999983</v>
      </c>
      <c r="BR209" s="1">
        <v>7.5551158079999983</v>
      </c>
      <c r="BS209" s="1">
        <v>7.4122222175999992</v>
      </c>
      <c r="BT209" s="1">
        <v>7.4122222175999992</v>
      </c>
      <c r="BU209" s="1">
        <v>7.4122222175999992</v>
      </c>
      <c r="BV209" s="1">
        <v>7.4122222175999992</v>
      </c>
      <c r="BW209" s="1">
        <v>8.314028212500002</v>
      </c>
      <c r="BX209" s="1">
        <v>8.314028212500002</v>
      </c>
      <c r="BY209" s="1">
        <v>8.314028212500002</v>
      </c>
      <c r="BZ209" s="1">
        <v>8.314028212500002</v>
      </c>
      <c r="CA209" s="1">
        <v>9.7533768374999994</v>
      </c>
      <c r="CB209" s="1">
        <v>9.7533768374999994</v>
      </c>
      <c r="CC209" s="1">
        <v>9.7533768374999994</v>
      </c>
      <c r="CD209" s="1">
        <v>9.7533768374999994</v>
      </c>
      <c r="CE209" s="1">
        <v>11.4952346875</v>
      </c>
      <c r="CF209" s="1">
        <v>11.4952346875</v>
      </c>
      <c r="CG209" s="1">
        <v>11.4952346875</v>
      </c>
      <c r="CH209" s="1">
        <v>11.4952346875</v>
      </c>
      <c r="CI209" s="1">
        <v>15.288085625000001</v>
      </c>
      <c r="CJ209" s="1">
        <v>15.288085625000001</v>
      </c>
      <c r="CK209" s="1">
        <v>15.288085625000001</v>
      </c>
      <c r="CL209" s="1">
        <v>15.288085625000001</v>
      </c>
      <c r="CM209" s="1">
        <v>16.490982750000001</v>
      </c>
      <c r="CN209" s="1">
        <v>16.490982750000001</v>
      </c>
    </row>
    <row r="210" spans="1:92" x14ac:dyDescent="0.35">
      <c r="A210" t="s">
        <v>69</v>
      </c>
      <c r="B210" s="1">
        <v>5.26</v>
      </c>
      <c r="C210" s="1">
        <v>5.08</v>
      </c>
      <c r="D210" s="1">
        <v>5.08</v>
      </c>
      <c r="E210" s="1">
        <v>5.08</v>
      </c>
      <c r="F210" s="1">
        <v>5.08</v>
      </c>
      <c r="G210" s="1">
        <v>5.56</v>
      </c>
      <c r="H210" s="1">
        <v>5.56</v>
      </c>
      <c r="I210" s="1">
        <v>5.56</v>
      </c>
      <c r="J210" s="1">
        <v>5.56</v>
      </c>
      <c r="K210" s="1">
        <v>5.95</v>
      </c>
      <c r="L210" s="1">
        <v>5.95</v>
      </c>
      <c r="M210" s="1">
        <v>5.95</v>
      </c>
      <c r="N210" s="1">
        <v>5.95</v>
      </c>
      <c r="O210" s="1">
        <v>6.31</v>
      </c>
      <c r="P210" s="1">
        <v>6.31</v>
      </c>
      <c r="Q210" s="1">
        <v>6.31</v>
      </c>
      <c r="R210" s="1">
        <v>6.31</v>
      </c>
      <c r="S210" s="1">
        <v>6.34</v>
      </c>
      <c r="T210" s="1">
        <v>6.34</v>
      </c>
      <c r="U210" s="1">
        <v>5.8</v>
      </c>
      <c r="V210" s="1">
        <v>5.8</v>
      </c>
      <c r="W210" s="1">
        <v>5.95</v>
      </c>
      <c r="X210" s="1">
        <v>5.95</v>
      </c>
      <c r="Y210" s="1">
        <v>5.95</v>
      </c>
      <c r="Z210" s="1">
        <v>5.95</v>
      </c>
      <c r="AA210" s="1">
        <v>6</v>
      </c>
      <c r="AB210" s="1">
        <v>6</v>
      </c>
      <c r="AC210" s="1">
        <v>6.14</v>
      </c>
      <c r="AD210" s="1">
        <v>6.14</v>
      </c>
      <c r="AE210" s="1">
        <v>6.3723790081249998</v>
      </c>
      <c r="AF210" s="1">
        <v>6.3723790081249998</v>
      </c>
      <c r="AG210" s="1">
        <v>6.3723790081249998</v>
      </c>
      <c r="AH210" s="1">
        <v>6.3723790081249998</v>
      </c>
      <c r="AI210" s="1">
        <v>7.055396208124999</v>
      </c>
      <c r="AJ210" s="1">
        <v>7.055396208124999</v>
      </c>
      <c r="AK210" s="1">
        <v>7.055396208124999</v>
      </c>
      <c r="AL210" s="1">
        <v>7.055396208124999</v>
      </c>
      <c r="AM210" s="1">
        <v>7.7902538124999996</v>
      </c>
      <c r="AN210" s="1">
        <v>7.7902538124999996</v>
      </c>
      <c r="AO210" s="1">
        <v>7.7902538124999996</v>
      </c>
      <c r="AP210" s="1">
        <v>7.7902538124999996</v>
      </c>
      <c r="AQ210" s="1">
        <v>7.5012703124999991</v>
      </c>
      <c r="AR210" s="1">
        <v>7.5012703124999991</v>
      </c>
      <c r="AS210" s="1">
        <v>7.5012703124999991</v>
      </c>
      <c r="AT210" s="1">
        <v>7.5012703124999991</v>
      </c>
      <c r="AU210" s="1">
        <v>7.8853703124999992</v>
      </c>
      <c r="AV210" s="1">
        <v>7.8853703124999992</v>
      </c>
      <c r="AW210" s="1">
        <v>7.8853703124999992</v>
      </c>
      <c r="AX210" s="1">
        <v>7.8853703124999992</v>
      </c>
      <c r="AY210" s="1">
        <v>7.9290703125000004</v>
      </c>
      <c r="AZ210" s="1">
        <v>7.9290703125000004</v>
      </c>
      <c r="BA210" s="1">
        <v>7.9290703125000004</v>
      </c>
      <c r="BB210" s="1">
        <v>7.9290703125000004</v>
      </c>
      <c r="BC210" s="1">
        <v>7.9520703124999983</v>
      </c>
      <c r="BD210" s="1">
        <v>7.9520703124999983</v>
      </c>
      <c r="BE210" s="1">
        <v>7.9520703124999983</v>
      </c>
      <c r="BF210" s="1">
        <v>7.9520703124999983</v>
      </c>
      <c r="BG210" s="1">
        <v>8.3430703125000001</v>
      </c>
      <c r="BH210" s="1">
        <v>8.3430703125000001</v>
      </c>
      <c r="BI210" s="1">
        <v>8.3430703125000001</v>
      </c>
      <c r="BJ210" s="1">
        <v>8.3430703125000001</v>
      </c>
      <c r="BK210" s="1">
        <v>9.0169703124999998</v>
      </c>
      <c r="BL210" s="1">
        <v>9.0169703124999998</v>
      </c>
      <c r="BM210" s="1">
        <v>9.0169703124999998</v>
      </c>
      <c r="BN210" s="1">
        <v>9.0169703124999998</v>
      </c>
      <c r="BO210" s="1">
        <v>7.9629723124999998</v>
      </c>
      <c r="BP210" s="1">
        <v>7.9629723124999998</v>
      </c>
      <c r="BQ210" s="1">
        <v>7.9629723124999998</v>
      </c>
      <c r="BR210" s="1">
        <v>7.9629723124999998</v>
      </c>
      <c r="BS210" s="1">
        <v>7.967599912499999</v>
      </c>
      <c r="BT210" s="1">
        <v>7.967599912499999</v>
      </c>
      <c r="BU210" s="1">
        <v>7.967599912499999</v>
      </c>
      <c r="BV210" s="1">
        <v>7.967599912499999</v>
      </c>
      <c r="BW210" s="1">
        <v>8.6935026249999989</v>
      </c>
      <c r="BX210" s="1">
        <v>8.6935026249999989</v>
      </c>
      <c r="BY210" s="1">
        <v>8.6935026249999989</v>
      </c>
      <c r="BZ210" s="1">
        <v>8.6935026249999989</v>
      </c>
      <c r="CA210" s="1">
        <v>9.5015141874999998</v>
      </c>
      <c r="CB210" s="1">
        <v>9.5015141874999998</v>
      </c>
      <c r="CC210" s="1">
        <v>9.5015141874999998</v>
      </c>
      <c r="CD210" s="1">
        <v>9.5015141874999998</v>
      </c>
      <c r="CE210" s="1">
        <v>9.6529404374999999</v>
      </c>
      <c r="CF210" s="1">
        <v>9.6529404374999999</v>
      </c>
      <c r="CG210" s="1">
        <v>9.6529404374999999</v>
      </c>
      <c r="CH210" s="1">
        <v>9.6529404374999999</v>
      </c>
      <c r="CI210" s="1">
        <v>12.327264</v>
      </c>
      <c r="CJ210" s="1">
        <v>12.327264</v>
      </c>
      <c r="CK210" s="1">
        <v>12.327264</v>
      </c>
      <c r="CL210" s="1">
        <v>12.327264</v>
      </c>
      <c r="CM210" s="1">
        <v>13.1738983125</v>
      </c>
      <c r="CN210" s="1">
        <v>13.1738983125</v>
      </c>
    </row>
    <row r="211" spans="1:92" x14ac:dyDescent="0.35">
      <c r="A211" t="s">
        <v>70</v>
      </c>
      <c r="B211" s="1">
        <v>7.03</v>
      </c>
      <c r="C211" s="1">
        <v>7.39</v>
      </c>
      <c r="D211" s="1">
        <v>7.39</v>
      </c>
      <c r="E211" s="1">
        <v>7.39</v>
      </c>
      <c r="F211" s="1">
        <v>7.39</v>
      </c>
      <c r="G211" s="1">
        <v>7.66</v>
      </c>
      <c r="H211" s="1">
        <v>7.66</v>
      </c>
      <c r="I211" s="1">
        <v>7.66</v>
      </c>
      <c r="J211" s="1">
        <v>7.66</v>
      </c>
      <c r="K211" s="1">
        <v>7.99</v>
      </c>
      <c r="L211" s="1">
        <v>7.99</v>
      </c>
      <c r="M211" s="1">
        <v>7.99</v>
      </c>
      <c r="N211" s="1">
        <v>7.99</v>
      </c>
      <c r="O211" s="1">
        <v>8.01</v>
      </c>
      <c r="P211" s="1">
        <v>8.01</v>
      </c>
      <c r="Q211" s="1">
        <v>8.01</v>
      </c>
      <c r="R211" s="1">
        <v>8.01</v>
      </c>
      <c r="S211" s="1">
        <v>8.01</v>
      </c>
      <c r="T211" s="1">
        <v>8.01</v>
      </c>
      <c r="U211" s="1">
        <v>8.01</v>
      </c>
      <c r="V211" s="1">
        <v>8.01</v>
      </c>
      <c r="W211" s="1">
        <v>8.26</v>
      </c>
      <c r="X211" s="1">
        <v>8.26</v>
      </c>
      <c r="Y211" s="1">
        <v>8.26</v>
      </c>
      <c r="Z211" s="1">
        <v>8.26</v>
      </c>
      <c r="AA211" s="1">
        <v>7.86</v>
      </c>
      <c r="AB211" s="1">
        <v>7.86</v>
      </c>
      <c r="AC211" s="1">
        <v>8.0299999999999994</v>
      </c>
      <c r="AD211" s="1">
        <v>8.0299999999999994</v>
      </c>
      <c r="AE211" s="1">
        <v>8.3327997343749978</v>
      </c>
      <c r="AF211" s="1">
        <v>8.3327997343749978</v>
      </c>
      <c r="AG211" s="1">
        <v>8.3327997343749978</v>
      </c>
      <c r="AH211" s="1">
        <v>8.3327997343749978</v>
      </c>
      <c r="AI211" s="1">
        <v>9.2113249843750005</v>
      </c>
      <c r="AJ211" s="1">
        <v>9.2113249843750005</v>
      </c>
      <c r="AK211" s="1">
        <v>9.2113249843750005</v>
      </c>
      <c r="AL211" s="1">
        <v>9.2113249843750005</v>
      </c>
      <c r="AM211" s="1">
        <v>9.3365276406249968</v>
      </c>
      <c r="AN211" s="1">
        <v>9.3365276406249968</v>
      </c>
      <c r="AO211" s="1">
        <v>9.3365276406249968</v>
      </c>
      <c r="AP211" s="1">
        <v>9.3365276406249968</v>
      </c>
      <c r="AQ211" s="1">
        <v>8.3706703124999979</v>
      </c>
      <c r="AR211" s="1">
        <v>8.3706703124999979</v>
      </c>
      <c r="AS211" s="1">
        <v>8.3706703124999979</v>
      </c>
      <c r="AT211" s="1">
        <v>8.3706703124999979</v>
      </c>
      <c r="AU211" s="1">
        <v>8.5293703124999993</v>
      </c>
      <c r="AV211" s="1">
        <v>8.5293703124999993</v>
      </c>
      <c r="AW211" s="1">
        <v>8.5293703124999993</v>
      </c>
      <c r="AX211" s="1">
        <v>8.5293703124999993</v>
      </c>
      <c r="AY211" s="1">
        <v>8.4741703124999983</v>
      </c>
      <c r="AZ211" s="1">
        <v>8.4741703124999983</v>
      </c>
      <c r="BA211" s="1">
        <v>8.4741703124999983</v>
      </c>
      <c r="BB211" s="1">
        <v>8.4741703124999983</v>
      </c>
      <c r="BC211" s="1">
        <v>8.497170312499998</v>
      </c>
      <c r="BD211" s="1">
        <v>8.497170312499998</v>
      </c>
      <c r="BE211" s="1">
        <v>8.497170312499998</v>
      </c>
      <c r="BF211" s="1">
        <v>8.497170312499998</v>
      </c>
      <c r="BG211" s="1">
        <v>8.9617703125000006</v>
      </c>
      <c r="BH211" s="1">
        <v>8.9617703125000006</v>
      </c>
      <c r="BI211" s="1">
        <v>8.9617703125000006</v>
      </c>
      <c r="BJ211" s="1">
        <v>8.9617703125000006</v>
      </c>
      <c r="BK211" s="1">
        <v>9.8656703124999972</v>
      </c>
      <c r="BL211" s="1">
        <v>9.8656703124999972</v>
      </c>
      <c r="BM211" s="1">
        <v>9.8656703124999972</v>
      </c>
      <c r="BN211" s="1">
        <v>9.8656703124999972</v>
      </c>
      <c r="BO211" s="1">
        <v>8.554670312499999</v>
      </c>
      <c r="BP211" s="1">
        <v>8.554670312499999</v>
      </c>
      <c r="BQ211" s="1">
        <v>8.554670312499999</v>
      </c>
      <c r="BR211" s="1">
        <v>8.554670312499999</v>
      </c>
      <c r="BS211" s="1">
        <v>8.4247203124999999</v>
      </c>
      <c r="BT211" s="1">
        <v>8.4247203124999999</v>
      </c>
      <c r="BU211" s="1">
        <v>8.4247203124999999</v>
      </c>
      <c r="BV211" s="1">
        <v>8.4247203124999999</v>
      </c>
      <c r="BW211" s="1">
        <v>9.4821956249999992</v>
      </c>
      <c r="BX211" s="1">
        <v>9.4821956249999992</v>
      </c>
      <c r="BY211" s="1">
        <v>9.4821956249999992</v>
      </c>
      <c r="BZ211" s="1">
        <v>9.4821956249999992</v>
      </c>
      <c r="CA211" s="1">
        <v>10.565087374999999</v>
      </c>
      <c r="CB211" s="1">
        <v>10.565087374999999</v>
      </c>
      <c r="CC211" s="1">
        <v>10.565087374999999</v>
      </c>
      <c r="CD211" s="1">
        <v>10.565087374999999</v>
      </c>
      <c r="CE211" s="1">
        <v>10.8734613125</v>
      </c>
      <c r="CF211" s="1">
        <v>10.8734613125</v>
      </c>
      <c r="CG211" s="1">
        <v>10.8734613125</v>
      </c>
      <c r="CH211" s="1">
        <v>10.8734613125</v>
      </c>
      <c r="CI211" s="1">
        <v>14.3832325625</v>
      </c>
      <c r="CJ211" s="1">
        <v>14.3832325625</v>
      </c>
      <c r="CK211" s="1">
        <v>14.3832325625</v>
      </c>
      <c r="CL211" s="1">
        <v>14.3832325625</v>
      </c>
      <c r="CM211" s="1">
        <v>15.072568437499999</v>
      </c>
      <c r="CN211" s="1">
        <v>15.072568437499999</v>
      </c>
    </row>
    <row r="212" spans="1:92" x14ac:dyDescent="0.35">
      <c r="A212" t="s">
        <v>58</v>
      </c>
      <c r="B212" s="1">
        <v>7.27</v>
      </c>
      <c r="C212" s="1">
        <v>7.91</v>
      </c>
      <c r="D212" s="1">
        <v>7.91</v>
      </c>
      <c r="E212" s="1">
        <v>7.91</v>
      </c>
      <c r="F212" s="1">
        <v>7.91</v>
      </c>
      <c r="G212" s="1">
        <v>7.97</v>
      </c>
      <c r="H212" s="1">
        <v>7.97</v>
      </c>
      <c r="I212" s="1">
        <v>7.97</v>
      </c>
      <c r="J212" s="1">
        <v>7.97</v>
      </c>
      <c r="K212" s="1">
        <v>7.92</v>
      </c>
      <c r="L212" s="1">
        <v>7.92</v>
      </c>
      <c r="M212" s="1">
        <v>7.92</v>
      </c>
      <c r="N212" s="1">
        <v>7.92</v>
      </c>
      <c r="O212" s="1">
        <v>8.5299999999999994</v>
      </c>
      <c r="P212" s="1">
        <v>8.5299999999999994</v>
      </c>
      <c r="Q212" s="1">
        <v>8.5299999999999994</v>
      </c>
      <c r="R212" s="1">
        <v>8.5299999999999994</v>
      </c>
      <c r="S212" s="1">
        <v>8.5</v>
      </c>
      <c r="T212" s="1">
        <v>8.5</v>
      </c>
      <c r="U212" s="1">
        <v>8.5</v>
      </c>
      <c r="V212" s="1">
        <v>8.5</v>
      </c>
      <c r="W212" s="1">
        <v>8.82</v>
      </c>
      <c r="X212" s="1">
        <v>8.82</v>
      </c>
      <c r="Y212" s="1">
        <v>8.82</v>
      </c>
      <c r="Z212" s="1">
        <v>8.82</v>
      </c>
      <c r="AA212" s="1">
        <v>8.8800000000000008</v>
      </c>
      <c r="AB212" s="1">
        <v>8.8800000000000008</v>
      </c>
      <c r="AC212" s="1">
        <v>9.07</v>
      </c>
      <c r="AD212" s="1">
        <v>9.07</v>
      </c>
      <c r="AE212" s="1">
        <v>9.3586595432525517</v>
      </c>
      <c r="AF212" s="1">
        <v>9.3075241586692794</v>
      </c>
      <c r="AG212" s="1">
        <v>9.3075241586692794</v>
      </c>
      <c r="AH212" s="1">
        <v>9.3075241586692794</v>
      </c>
      <c r="AI212" s="1">
        <v>10.104971805044221</v>
      </c>
      <c r="AJ212" s="1">
        <v>10.104971805044221</v>
      </c>
      <c r="AK212" s="1">
        <v>10.104971805044221</v>
      </c>
      <c r="AL212" s="1">
        <v>10.104971805044221</v>
      </c>
      <c r="AM212" s="1">
        <v>10.133705960942413</v>
      </c>
      <c r="AN212" s="1">
        <v>10.133705960942413</v>
      </c>
      <c r="AO212" s="1">
        <v>10.133705960942413</v>
      </c>
      <c r="AP212" s="1">
        <v>10.133705960942413</v>
      </c>
      <c r="AQ212" s="1">
        <v>10.553786338092197</v>
      </c>
      <c r="AR212" s="1">
        <v>10.553786338092197</v>
      </c>
      <c r="AS212" s="1">
        <v>10.553786338092197</v>
      </c>
      <c r="AT212" s="1">
        <v>10.553786338092197</v>
      </c>
      <c r="AU212" s="1">
        <v>10.475714752260963</v>
      </c>
      <c r="AV212" s="1">
        <v>10.475714752260963</v>
      </c>
      <c r="AW212" s="1">
        <v>10.475714752260963</v>
      </c>
      <c r="AX212" s="1">
        <v>10.475714752260963</v>
      </c>
      <c r="AY212" s="1">
        <v>10.517804452568942</v>
      </c>
      <c r="AZ212" s="1">
        <v>10.517804452568942</v>
      </c>
      <c r="BA212" s="1">
        <v>10.517804452568942</v>
      </c>
      <c r="BB212" s="1">
        <v>10.517804452568942</v>
      </c>
      <c r="BC212" s="1">
        <v>10.557053264564018</v>
      </c>
      <c r="BD212" s="1">
        <v>10.557053264564018</v>
      </c>
      <c r="BE212" s="1">
        <v>10.557053264564018</v>
      </c>
      <c r="BF212" s="1">
        <v>10.557053264564018</v>
      </c>
      <c r="BG212" s="1">
        <v>11.025908817710354</v>
      </c>
      <c r="BH212" s="1">
        <v>11.025908817710354</v>
      </c>
      <c r="BI212" s="1">
        <v>11.025908817710354</v>
      </c>
      <c r="BJ212" s="1">
        <v>11.025908817710354</v>
      </c>
      <c r="BK212" s="1">
        <v>11.122109999999999</v>
      </c>
      <c r="BL212" s="1">
        <v>11.122109999999999</v>
      </c>
      <c r="BM212" s="1">
        <v>11.122109999999999</v>
      </c>
      <c r="BN212" s="1">
        <v>11.122109999999999</v>
      </c>
      <c r="BO212" s="1">
        <v>9.6819439320000011</v>
      </c>
      <c r="BP212" s="1">
        <v>9.6819439320000011</v>
      </c>
      <c r="BQ212" s="1">
        <v>9.6819439320000011</v>
      </c>
      <c r="BR212" s="1">
        <v>9.6819439320000011</v>
      </c>
      <c r="BS212" s="1">
        <v>9.6506224307999986</v>
      </c>
      <c r="BT212" s="1">
        <v>9.6506224307999986</v>
      </c>
      <c r="BU212" s="1">
        <v>9.6506224307999986</v>
      </c>
      <c r="BV212" s="1">
        <v>9.6506224307999986</v>
      </c>
      <c r="BW212" s="1">
        <v>10.7636754861</v>
      </c>
      <c r="BX212" s="1">
        <v>10.7636754861</v>
      </c>
      <c r="BY212" s="1">
        <v>10.7636754861</v>
      </c>
      <c r="BZ212" s="1">
        <v>10.7636754861</v>
      </c>
      <c r="CA212" s="1">
        <v>12.0787803375</v>
      </c>
      <c r="CB212" s="1">
        <v>12.0787803375</v>
      </c>
      <c r="CC212" s="1">
        <v>12.0787803375</v>
      </c>
      <c r="CD212" s="1">
        <v>12.0787803375</v>
      </c>
      <c r="CE212" s="1">
        <v>14.536582187500001</v>
      </c>
      <c r="CF212" s="1">
        <v>14.536582187500001</v>
      </c>
      <c r="CG212" s="1">
        <v>14.536582187500001</v>
      </c>
      <c r="CH212" s="1">
        <v>14.536582187500001</v>
      </c>
      <c r="CI212" s="1">
        <v>17.838483750000002</v>
      </c>
      <c r="CJ212" s="1">
        <v>17.838483750000002</v>
      </c>
      <c r="CK212" s="1">
        <v>17.838483750000002</v>
      </c>
      <c r="CL212" s="1">
        <v>17.838483750000002</v>
      </c>
      <c r="CM212" s="1">
        <v>20.741924687499999</v>
      </c>
      <c r="CN212" s="1">
        <v>20.741924687499999</v>
      </c>
    </row>
    <row r="213" spans="1:92" x14ac:dyDescent="0.35">
      <c r="A213" t="s">
        <v>55</v>
      </c>
      <c r="B213" s="1">
        <v>6.19</v>
      </c>
      <c r="C213" s="1">
        <v>6.57</v>
      </c>
      <c r="D213" s="1">
        <v>6.57</v>
      </c>
      <c r="E213" s="1">
        <v>6.57</v>
      </c>
      <c r="F213" s="1">
        <v>6.57</v>
      </c>
      <c r="G213" s="1">
        <v>6.81</v>
      </c>
      <c r="H213" s="1">
        <v>6.81</v>
      </c>
      <c r="I213" s="1">
        <v>6.81</v>
      </c>
      <c r="J213" s="1">
        <v>6.81</v>
      </c>
      <c r="K213" s="1">
        <v>6.62</v>
      </c>
      <c r="L213" s="1">
        <v>6.62</v>
      </c>
      <c r="M213" s="1">
        <v>6.62</v>
      </c>
      <c r="N213" s="1">
        <v>6.62</v>
      </c>
      <c r="O213" s="1">
        <v>7.04</v>
      </c>
      <c r="P213" s="1">
        <v>7.04</v>
      </c>
      <c r="Q213" s="1">
        <v>7.04</v>
      </c>
      <c r="R213" s="1">
        <v>7.04</v>
      </c>
      <c r="S213" s="1">
        <v>7.01</v>
      </c>
      <c r="T213" s="1">
        <v>7.01</v>
      </c>
      <c r="U213" s="1">
        <v>7.01</v>
      </c>
      <c r="V213" s="1">
        <v>7.01</v>
      </c>
      <c r="W213" s="1">
        <v>7.17</v>
      </c>
      <c r="X213" s="1">
        <v>7.17</v>
      </c>
      <c r="Y213" s="1">
        <v>7.17</v>
      </c>
      <c r="Z213" s="1">
        <v>7.17</v>
      </c>
      <c r="AA213" s="1">
        <v>7.36</v>
      </c>
      <c r="AB213" s="1">
        <v>7.36</v>
      </c>
      <c r="AC213" s="1">
        <v>7.52</v>
      </c>
      <c r="AD213" s="1">
        <v>7.52</v>
      </c>
      <c r="AE213" s="1">
        <v>7.7607787891436475</v>
      </c>
      <c r="AF213" s="1">
        <v>7.7157934176297633</v>
      </c>
      <c r="AG213" s="1">
        <v>7.7157934176297633</v>
      </c>
      <c r="AH213" s="1">
        <v>7.7157934176297633</v>
      </c>
      <c r="AI213" s="1">
        <v>7.9257082733060695</v>
      </c>
      <c r="AJ213" s="1">
        <v>7.9257082733060695</v>
      </c>
      <c r="AK213" s="1">
        <v>7.9257082733060695</v>
      </c>
      <c r="AL213" s="1">
        <v>7.9257082733060695</v>
      </c>
      <c r="AM213" s="1">
        <v>7.8573141609374586</v>
      </c>
      <c r="AN213" s="1">
        <v>7.8573141609374586</v>
      </c>
      <c r="AO213" s="1">
        <v>7.8573141609374586</v>
      </c>
      <c r="AP213" s="1">
        <v>7.8573141609374586</v>
      </c>
      <c r="AQ213" s="1">
        <v>8.1738963505565572</v>
      </c>
      <c r="AR213" s="1">
        <v>8.1738963505565572</v>
      </c>
      <c r="AS213" s="1">
        <v>8.1738963505565572</v>
      </c>
      <c r="AT213" s="1">
        <v>8.1738963505565572</v>
      </c>
      <c r="AU213" s="1">
        <v>8.0246923258434641</v>
      </c>
      <c r="AV213" s="1">
        <v>8.0246923258434641</v>
      </c>
      <c r="AW213" s="1">
        <v>8.0246923258434641</v>
      </c>
      <c r="AX213" s="1">
        <v>8.0246923258434641</v>
      </c>
      <c r="AY213" s="1">
        <v>8.0562765087726103</v>
      </c>
      <c r="AZ213" s="1">
        <v>8.0562765087726103</v>
      </c>
      <c r="BA213" s="1">
        <v>8.0562765087726103</v>
      </c>
      <c r="BB213" s="1">
        <v>8.0562765087726103</v>
      </c>
      <c r="BC213" s="1">
        <v>8.0817745755244434</v>
      </c>
      <c r="BD213" s="1">
        <v>8.0817745755244434</v>
      </c>
      <c r="BE213" s="1">
        <v>8.0817745755244434</v>
      </c>
      <c r="BF213" s="1">
        <v>8.0817745755244434</v>
      </c>
      <c r="BG213" s="1">
        <v>8.4435987584542946</v>
      </c>
      <c r="BH213" s="1">
        <v>8.4435987584542946</v>
      </c>
      <c r="BI213" s="1">
        <v>8.4435987584542946</v>
      </c>
      <c r="BJ213" s="1">
        <v>8.4435987584542946</v>
      </c>
      <c r="BK213" s="1">
        <v>8.5196231999999998</v>
      </c>
      <c r="BL213" s="1">
        <v>8.5196231999999998</v>
      </c>
      <c r="BM213" s="1">
        <v>8.5196231999999998</v>
      </c>
      <c r="BN213" s="1">
        <v>8.5196231999999998</v>
      </c>
      <c r="BO213" s="1">
        <v>7.5551158079999983</v>
      </c>
      <c r="BP213" s="1">
        <v>7.5551158079999983</v>
      </c>
      <c r="BQ213" s="1">
        <v>7.5551158079999983</v>
      </c>
      <c r="BR213" s="1">
        <v>7.5551158079999983</v>
      </c>
      <c r="BS213" s="1">
        <v>7.4122222175999992</v>
      </c>
      <c r="BT213" s="1">
        <v>7.4122222175999992</v>
      </c>
      <c r="BU213" s="1">
        <v>7.4122222175999992</v>
      </c>
      <c r="BV213" s="1">
        <v>7.4122222175999992</v>
      </c>
      <c r="BW213" s="1">
        <v>8.314028212500002</v>
      </c>
      <c r="BX213" s="1">
        <v>8.314028212500002</v>
      </c>
      <c r="BY213" s="1">
        <v>8.314028212500002</v>
      </c>
      <c r="BZ213" s="1">
        <v>8.314028212500002</v>
      </c>
      <c r="CA213" s="1">
        <v>9.7533768374999994</v>
      </c>
      <c r="CB213" s="1">
        <v>9.7533768374999994</v>
      </c>
      <c r="CC213" s="1">
        <v>9.7533768374999994</v>
      </c>
      <c r="CD213" s="1">
        <v>9.7533768374999994</v>
      </c>
      <c r="CE213" s="1">
        <v>11.9487946875</v>
      </c>
      <c r="CF213" s="1">
        <v>11.9487946875</v>
      </c>
      <c r="CG213" s="1">
        <v>11.9487946875</v>
      </c>
      <c r="CH213" s="1">
        <v>11.9487946875</v>
      </c>
      <c r="CI213" s="1">
        <v>15.288085625000001</v>
      </c>
      <c r="CJ213" s="1">
        <v>15.288085625000001</v>
      </c>
      <c r="CK213" s="1">
        <v>15.288085625000001</v>
      </c>
      <c r="CL213" s="1">
        <v>15.288085625000001</v>
      </c>
      <c r="CM213" s="1">
        <v>16.490982750000001</v>
      </c>
      <c r="CN213" s="1">
        <v>16.490982750000001</v>
      </c>
    </row>
    <row r="214" spans="1:92" x14ac:dyDescent="0.35">
      <c r="A214" t="s">
        <v>62</v>
      </c>
      <c r="B214" s="1">
        <v>4.8099999999999996</v>
      </c>
      <c r="C214" s="1">
        <v>4.8099999999999996</v>
      </c>
      <c r="D214" s="1">
        <v>4.99</v>
      </c>
      <c r="E214" s="1">
        <v>4.99</v>
      </c>
      <c r="F214" s="1">
        <v>4.99</v>
      </c>
      <c r="G214" s="1">
        <v>5.9943797724999985</v>
      </c>
      <c r="H214" s="1">
        <v>5.9943797724999985</v>
      </c>
      <c r="I214" s="1">
        <v>5.9943797724999985</v>
      </c>
      <c r="J214" s="1">
        <v>5.9943797724999985</v>
      </c>
      <c r="K214" s="1">
        <v>5.9943797724999985</v>
      </c>
      <c r="L214" s="1">
        <v>5.9943797724999985</v>
      </c>
      <c r="M214" s="1">
        <v>5.9943797724999985</v>
      </c>
      <c r="N214" s="1">
        <v>5.9943797724999985</v>
      </c>
      <c r="O214" s="1">
        <v>5.9943797724999985</v>
      </c>
      <c r="P214" s="1">
        <v>5.9943797724999985</v>
      </c>
      <c r="Q214" s="1">
        <v>5.9943797724999985</v>
      </c>
      <c r="R214" s="1">
        <v>5.9943797724999985</v>
      </c>
      <c r="S214" s="1">
        <v>6.3245604125000012</v>
      </c>
      <c r="T214" s="1">
        <v>6.3245604125000012</v>
      </c>
      <c r="U214" s="1">
        <v>6.3245604125000012</v>
      </c>
      <c r="V214" s="1">
        <v>6.3245604125000012</v>
      </c>
      <c r="W214" s="1">
        <v>6.3703083324999987</v>
      </c>
      <c r="X214" s="1">
        <v>6.3703083324999987</v>
      </c>
      <c r="Y214" s="1">
        <v>6.3703083324999987</v>
      </c>
      <c r="Z214" s="1">
        <v>6.3703083324999987</v>
      </c>
      <c r="AA214" s="1">
        <v>6.8884532524999997</v>
      </c>
      <c r="AB214" s="1">
        <v>6.8884532524999997</v>
      </c>
      <c r="AC214" s="1">
        <v>6.8884532524999997</v>
      </c>
      <c r="AD214" s="1">
        <v>6.8884532524999997</v>
      </c>
      <c r="AE214" s="1">
        <v>7.3653255924999996</v>
      </c>
      <c r="AF214" s="1">
        <v>7.3653255924999996</v>
      </c>
      <c r="AG214" s="1">
        <v>7.3653255924999996</v>
      </c>
      <c r="AH214" s="1">
        <v>7.3653255924999996</v>
      </c>
      <c r="AI214" s="1">
        <v>8.1962470524999986</v>
      </c>
      <c r="AJ214" s="1">
        <v>8.1962470524999986</v>
      </c>
      <c r="AK214" s="1">
        <v>8.1962470524999986</v>
      </c>
      <c r="AL214" s="1">
        <v>8.1962470524999986</v>
      </c>
      <c r="AM214" s="1">
        <v>8.8646888074999985</v>
      </c>
      <c r="AN214" s="1">
        <v>8.8646888074999985</v>
      </c>
      <c r="AO214" s="1">
        <v>8.8646888074999985</v>
      </c>
      <c r="AP214" s="1">
        <v>8.8646888074999985</v>
      </c>
      <c r="AQ214" s="1">
        <v>9.2345259324999986</v>
      </c>
      <c r="AR214" s="1">
        <v>9.2345259324999986</v>
      </c>
      <c r="AS214" s="1">
        <v>9.2345259324999986</v>
      </c>
      <c r="AT214" s="1">
        <v>9.2345259324999986</v>
      </c>
      <c r="AU214" s="1">
        <v>10.247941812499999</v>
      </c>
      <c r="AV214" s="1">
        <v>10.247941812499999</v>
      </c>
      <c r="AW214" s="1">
        <v>10.247941812499999</v>
      </c>
      <c r="AX214" s="1">
        <v>10.247941812499999</v>
      </c>
      <c r="AY214" s="1">
        <v>10.511489612499998</v>
      </c>
      <c r="AZ214" s="1">
        <v>10.511489612499998</v>
      </c>
      <c r="BA214" s="1">
        <v>10.511489612499998</v>
      </c>
      <c r="BB214" s="1">
        <v>10.511489612499998</v>
      </c>
      <c r="BC214" s="1">
        <v>10.673099112499999</v>
      </c>
      <c r="BD214" s="1">
        <v>10.673099112499999</v>
      </c>
      <c r="BE214" s="1">
        <v>10.673099112499999</v>
      </c>
      <c r="BF214" s="1">
        <v>10.673099112499999</v>
      </c>
      <c r="BG214" s="1">
        <v>10.673099112499999</v>
      </c>
      <c r="BH214" s="1">
        <v>10.673099112499999</v>
      </c>
      <c r="BI214" s="1">
        <v>10.673099112499999</v>
      </c>
      <c r="BJ214" s="1">
        <v>10.673099112499999</v>
      </c>
      <c r="BK214" s="1">
        <v>11.109693392500001</v>
      </c>
      <c r="BL214" s="1">
        <v>11.109693392500001</v>
      </c>
      <c r="BM214" s="1">
        <v>11.109693392500001</v>
      </c>
      <c r="BN214" s="1">
        <v>11.109693392500001</v>
      </c>
      <c r="BO214" s="1">
        <v>11.973682642499998</v>
      </c>
      <c r="BP214" s="1">
        <v>11.973682642499998</v>
      </c>
      <c r="BQ214" s="1">
        <v>11.973682642499998</v>
      </c>
      <c r="BR214" s="1">
        <v>11.973682642499998</v>
      </c>
      <c r="BS214" s="1">
        <v>11.820775192499998</v>
      </c>
      <c r="BT214" s="1">
        <v>11.820775192499998</v>
      </c>
      <c r="BU214" s="1">
        <v>11.820775192499998</v>
      </c>
      <c r="BV214" s="1">
        <v>11.820775192499998</v>
      </c>
      <c r="BW214" s="1">
        <v>12.580996204999998</v>
      </c>
      <c r="BX214" s="1">
        <v>12.580996204999998</v>
      </c>
      <c r="BY214" s="1">
        <v>12.580996204999998</v>
      </c>
      <c r="BZ214" s="1">
        <v>12.580996204999998</v>
      </c>
      <c r="CA214" s="1">
        <v>15.0348847775</v>
      </c>
      <c r="CB214" s="1">
        <v>15.0348847775</v>
      </c>
      <c r="CC214" s="1">
        <v>15.0348847775</v>
      </c>
      <c r="CD214" s="1">
        <v>15.0348847775</v>
      </c>
      <c r="CE214" s="1">
        <v>14.848322749999999</v>
      </c>
      <c r="CF214" s="1">
        <v>14.848322749999999</v>
      </c>
      <c r="CG214" s="1">
        <v>14.848322749999999</v>
      </c>
      <c r="CH214" s="1">
        <v>14.848322749999999</v>
      </c>
      <c r="CI214" s="1">
        <v>15.896954562499999</v>
      </c>
      <c r="CJ214" s="1">
        <v>15.896954562499999</v>
      </c>
      <c r="CK214" s="1">
        <v>15.896954562499999</v>
      </c>
      <c r="CL214" s="1">
        <v>15.896954562499999</v>
      </c>
      <c r="CM214" s="1">
        <v>16.324011375000001</v>
      </c>
      <c r="CN214" s="1">
        <v>16.324011375000001</v>
      </c>
    </row>
    <row r="215" spans="1:92" x14ac:dyDescent="0.35">
      <c r="A215" t="s">
        <v>64</v>
      </c>
      <c r="B215" s="1">
        <v>5.56</v>
      </c>
      <c r="C215" s="1">
        <v>5.55</v>
      </c>
      <c r="D215" s="1">
        <v>5.55</v>
      </c>
      <c r="E215" s="1">
        <v>5.66</v>
      </c>
      <c r="F215" s="1">
        <v>5.66</v>
      </c>
      <c r="G215" s="1">
        <v>5.66</v>
      </c>
      <c r="H215" s="1">
        <v>5.66</v>
      </c>
      <c r="I215" s="1">
        <v>5.66</v>
      </c>
      <c r="J215" s="1">
        <v>5.66</v>
      </c>
      <c r="K215" s="1">
        <v>5.66</v>
      </c>
      <c r="L215" s="1">
        <v>5.66</v>
      </c>
      <c r="M215" s="1">
        <v>5.66</v>
      </c>
      <c r="N215" s="1">
        <v>5.66</v>
      </c>
      <c r="O215" s="1">
        <v>5.87</v>
      </c>
      <c r="P215" s="1">
        <v>5.87</v>
      </c>
      <c r="Q215" s="1">
        <v>5.87</v>
      </c>
      <c r="R215" s="1">
        <v>5.87</v>
      </c>
      <c r="S215" s="1">
        <v>6.19</v>
      </c>
      <c r="T215" s="1">
        <v>6.19</v>
      </c>
      <c r="U215" s="1">
        <v>6.22</v>
      </c>
      <c r="V215" s="1">
        <v>6.22</v>
      </c>
      <c r="W215" s="1">
        <v>8.01</v>
      </c>
      <c r="X215" s="1">
        <v>8.01</v>
      </c>
      <c r="Y215" s="1">
        <v>8.01</v>
      </c>
      <c r="Z215" s="1">
        <v>8.01</v>
      </c>
      <c r="AA215" s="1">
        <v>8.2100000000000009</v>
      </c>
      <c r="AB215" s="1">
        <v>8.2100000000000009</v>
      </c>
      <c r="AC215" s="1">
        <v>8.4</v>
      </c>
      <c r="AD215" s="1">
        <v>8.4</v>
      </c>
      <c r="AE215" s="1">
        <v>8.3974724999999992</v>
      </c>
      <c r="AF215" s="1">
        <v>8.3974724999999992</v>
      </c>
      <c r="AG215" s="1">
        <v>8.6061285000000005</v>
      </c>
      <c r="AH215" s="1">
        <v>8.6061285000000005</v>
      </c>
      <c r="AI215" s="1">
        <v>8.7339769681499995</v>
      </c>
      <c r="AJ215" s="1">
        <v>8.7339769681499995</v>
      </c>
      <c r="AK215" s="1">
        <v>8.7339769681499995</v>
      </c>
      <c r="AL215" s="1">
        <v>8.7339769681499995</v>
      </c>
      <c r="AM215" s="1">
        <v>9.0417053023200005</v>
      </c>
      <c r="AN215" s="1">
        <v>9.0417053023200005</v>
      </c>
      <c r="AO215" s="1">
        <v>9.0417053023200005</v>
      </c>
      <c r="AP215" s="1">
        <v>9.0417053023200005</v>
      </c>
      <c r="AQ215" s="1">
        <v>9.6239474999999981</v>
      </c>
      <c r="AR215" s="1">
        <v>10.053679499999998</v>
      </c>
      <c r="AS215" s="1">
        <v>10.053679499999998</v>
      </c>
      <c r="AT215" s="1">
        <v>10.053679499999998</v>
      </c>
      <c r="AU215" s="1">
        <v>10.4523615</v>
      </c>
      <c r="AV215" s="1">
        <v>10.4523615</v>
      </c>
      <c r="AW215" s="1">
        <v>10.4523615</v>
      </c>
      <c r="AX215" s="1">
        <v>10.4523615</v>
      </c>
      <c r="AY215" s="1">
        <v>11.269907999999997</v>
      </c>
      <c r="AZ215" s="1">
        <v>11.269907999999997</v>
      </c>
      <c r="BA215" s="1">
        <v>11.269907999999997</v>
      </c>
      <c r="BB215" s="1">
        <v>11.269907999999997</v>
      </c>
      <c r="BC215" s="1">
        <v>11.775945374999999</v>
      </c>
      <c r="BD215" s="1">
        <v>11.775945374999999</v>
      </c>
      <c r="BE215" s="1">
        <v>11.775945374999999</v>
      </c>
      <c r="BF215" s="1">
        <v>11.775945374999999</v>
      </c>
      <c r="BG215" s="1">
        <v>12.072162374999998</v>
      </c>
      <c r="BH215" s="1">
        <v>12.072162374999998</v>
      </c>
      <c r="BI215" s="1">
        <v>13.519514289603038</v>
      </c>
      <c r="BJ215" s="1">
        <v>13.519514289603038</v>
      </c>
      <c r="BK215" s="1">
        <v>13.667925275346283</v>
      </c>
      <c r="BL215" s="1">
        <v>13.667925275346283</v>
      </c>
      <c r="BM215" s="1">
        <v>13.667925275346283</v>
      </c>
      <c r="BN215" s="1">
        <v>13.667925275346283</v>
      </c>
      <c r="BO215" s="1">
        <v>12.199111162500001</v>
      </c>
      <c r="BP215" s="1">
        <v>12.199111162500001</v>
      </c>
      <c r="BQ215" s="1">
        <v>12.199111162500001</v>
      </c>
      <c r="BR215" s="1">
        <v>12.199111162500001</v>
      </c>
      <c r="BS215" s="1">
        <v>12.915588762499999</v>
      </c>
      <c r="BT215" s="1">
        <v>12.915588762499999</v>
      </c>
      <c r="BU215" s="1">
        <v>12.915588762499999</v>
      </c>
      <c r="BV215" s="1">
        <v>12.915588762499999</v>
      </c>
      <c r="BW215" s="1">
        <v>14.004813275</v>
      </c>
      <c r="BX215" s="1">
        <v>14.004813275</v>
      </c>
      <c r="BY215" s="1">
        <v>14.004813275</v>
      </c>
      <c r="BZ215" s="1">
        <v>14.004813275</v>
      </c>
      <c r="CA215" s="1">
        <v>13.8589860875</v>
      </c>
      <c r="CB215" s="1">
        <v>13.8589860875</v>
      </c>
      <c r="CC215" s="1">
        <v>13.8589860875</v>
      </c>
      <c r="CD215" s="1">
        <v>13.8589860875</v>
      </c>
      <c r="CE215" s="1">
        <v>15.548353000000001</v>
      </c>
      <c r="CF215" s="1">
        <v>15.548353000000001</v>
      </c>
      <c r="CG215" s="1">
        <v>15.548353000000001</v>
      </c>
      <c r="CH215" s="1">
        <v>15.548353000000001</v>
      </c>
      <c r="CI215" s="1">
        <v>16.537654637500001</v>
      </c>
      <c r="CJ215" s="1">
        <v>16.537654637500001</v>
      </c>
      <c r="CK215" s="1">
        <v>16.537654637500001</v>
      </c>
      <c r="CL215" s="1">
        <v>16.537654637500001</v>
      </c>
      <c r="CM215" s="1">
        <v>18.745205634375001</v>
      </c>
      <c r="CN215" s="1">
        <v>18.745205634375001</v>
      </c>
    </row>
    <row r="216" spans="1:92" x14ac:dyDescent="0.35">
      <c r="A216" t="s">
        <v>63</v>
      </c>
      <c r="B216" s="1">
        <v>5.59</v>
      </c>
      <c r="C216" s="1">
        <v>5.59</v>
      </c>
      <c r="D216" s="1">
        <v>5.59</v>
      </c>
      <c r="E216" s="1">
        <v>5.7</v>
      </c>
      <c r="F216" s="1">
        <v>5.7</v>
      </c>
      <c r="G216" s="1">
        <v>5.7</v>
      </c>
      <c r="H216" s="1">
        <v>5.7</v>
      </c>
      <c r="I216" s="1">
        <v>5.7</v>
      </c>
      <c r="J216" s="1">
        <v>5.7</v>
      </c>
      <c r="K216" s="1">
        <v>5.7</v>
      </c>
      <c r="L216" s="1">
        <v>5.7</v>
      </c>
      <c r="M216" s="1">
        <v>5.7</v>
      </c>
      <c r="N216" s="1">
        <v>5.7</v>
      </c>
      <c r="O216" s="1">
        <v>6.14</v>
      </c>
      <c r="P216" s="1">
        <v>6.14</v>
      </c>
      <c r="Q216" s="1">
        <v>6.14</v>
      </c>
      <c r="R216" s="1">
        <v>6.14</v>
      </c>
      <c r="S216" s="1">
        <v>6.26</v>
      </c>
      <c r="T216" s="1">
        <v>6.26</v>
      </c>
      <c r="U216" s="1">
        <v>6.29</v>
      </c>
      <c r="V216" s="1">
        <v>6.29</v>
      </c>
      <c r="W216" s="1">
        <v>7.96</v>
      </c>
      <c r="X216" s="1">
        <v>7.96</v>
      </c>
      <c r="Y216" s="1">
        <v>7.96</v>
      </c>
      <c r="Z216" s="1">
        <v>7.96</v>
      </c>
      <c r="AA216" s="1">
        <v>7.99</v>
      </c>
      <c r="AB216" s="1">
        <v>7.99</v>
      </c>
      <c r="AC216" s="1">
        <v>8.17</v>
      </c>
      <c r="AD216" s="1">
        <v>8.17</v>
      </c>
      <c r="AE216" s="1">
        <v>8.1652184999999982</v>
      </c>
      <c r="AF216" s="1">
        <v>8.1652184999999982</v>
      </c>
      <c r="AG216" s="1">
        <v>8.3670435000000012</v>
      </c>
      <c r="AH216" s="1">
        <v>8.3670435000000012</v>
      </c>
      <c r="AI216" s="1">
        <v>8.4532774633649996</v>
      </c>
      <c r="AJ216" s="1">
        <v>8.4532774633649996</v>
      </c>
      <c r="AK216" s="1">
        <v>8.4532774633649996</v>
      </c>
      <c r="AL216" s="1">
        <v>8.4532774633649996</v>
      </c>
      <c r="AM216" s="1">
        <v>8.7507363034575008</v>
      </c>
      <c r="AN216" s="1">
        <v>8.7507363034575008</v>
      </c>
      <c r="AO216" s="1">
        <v>8.7507363034575008</v>
      </c>
      <c r="AP216" s="1">
        <v>8.7507363034575008</v>
      </c>
      <c r="AQ216" s="1">
        <v>8.5966938922949971</v>
      </c>
      <c r="AR216" s="1">
        <v>9.7183395000000008</v>
      </c>
      <c r="AS216" s="1">
        <v>9.7183395000000008</v>
      </c>
      <c r="AT216" s="1">
        <v>9.7183395000000008</v>
      </c>
      <c r="AU216" s="1">
        <v>10.105843500000001</v>
      </c>
      <c r="AV216" s="1">
        <v>10.105843500000001</v>
      </c>
      <c r="AW216" s="1">
        <v>10.105843500000001</v>
      </c>
      <c r="AX216" s="1">
        <v>10.105843500000001</v>
      </c>
      <c r="AY216" s="1">
        <v>10.874951999999997</v>
      </c>
      <c r="AZ216" s="1">
        <v>10.874951999999997</v>
      </c>
      <c r="BA216" s="1">
        <v>10.874951999999997</v>
      </c>
      <c r="BB216" s="1">
        <v>10.874951999999997</v>
      </c>
      <c r="BC216" s="1">
        <v>11.364532874999998</v>
      </c>
      <c r="BD216" s="1">
        <v>11.364532874999998</v>
      </c>
      <c r="BE216" s="1">
        <v>11.364532874999998</v>
      </c>
      <c r="BF216" s="1">
        <v>11.364532874999998</v>
      </c>
      <c r="BG216" s="1">
        <v>11.648407499999998</v>
      </c>
      <c r="BH216" s="1">
        <v>11.648407499999998</v>
      </c>
      <c r="BI216" s="1">
        <v>13.519514289603038</v>
      </c>
      <c r="BJ216" s="1">
        <v>13.519514289603038</v>
      </c>
      <c r="BK216" s="1">
        <v>13.667925275346283</v>
      </c>
      <c r="BL216" s="1">
        <v>13.667925275346283</v>
      </c>
      <c r="BM216" s="1">
        <v>13.667925275346283</v>
      </c>
      <c r="BN216" s="1">
        <v>13.667925275346283</v>
      </c>
      <c r="BO216" s="1">
        <v>12.199111162500001</v>
      </c>
      <c r="BP216" s="1">
        <v>12.199111162500001</v>
      </c>
      <c r="BQ216" s="1">
        <v>12.199111162500001</v>
      </c>
      <c r="BR216" s="1">
        <v>12.199111162500001</v>
      </c>
      <c r="BS216" s="1">
        <v>12.915588762499999</v>
      </c>
      <c r="BT216" s="1">
        <v>12.915588762499999</v>
      </c>
      <c r="BU216" s="1">
        <v>12.915588762499999</v>
      </c>
      <c r="BV216" s="1">
        <v>12.915588762499999</v>
      </c>
      <c r="BW216" s="1">
        <v>14.004813275</v>
      </c>
      <c r="BX216" s="1">
        <v>14.004813275</v>
      </c>
      <c r="BY216" s="1">
        <v>14.004813275</v>
      </c>
      <c r="BZ216" s="1">
        <v>14.004813275</v>
      </c>
      <c r="CA216" s="1">
        <v>13.8589860875</v>
      </c>
      <c r="CB216" s="1">
        <v>13.8589860875</v>
      </c>
      <c r="CC216" s="1">
        <v>13.8589860875</v>
      </c>
      <c r="CD216" s="1">
        <v>13.8589860875</v>
      </c>
      <c r="CE216" s="1">
        <v>15.548353000000001</v>
      </c>
      <c r="CF216" s="1">
        <v>15.548353000000001</v>
      </c>
      <c r="CG216" s="1">
        <v>15.548353000000001</v>
      </c>
      <c r="CH216" s="1">
        <v>15.548353000000001</v>
      </c>
      <c r="CI216" s="1">
        <v>16.537654637500001</v>
      </c>
      <c r="CJ216" s="1">
        <v>16.537654637500001</v>
      </c>
      <c r="CK216" s="1">
        <v>16.537654637500001</v>
      </c>
      <c r="CL216" s="1">
        <v>16.537654637500001</v>
      </c>
      <c r="CM216" s="1">
        <v>18.745205634375001</v>
      </c>
      <c r="CN216" s="1">
        <v>18.745205634375001</v>
      </c>
    </row>
    <row r="217" spans="1:92" x14ac:dyDescent="0.35">
      <c r="A217" t="s">
        <v>65</v>
      </c>
      <c r="B217" s="1">
        <v>4.84</v>
      </c>
      <c r="C217" s="1">
        <v>4.97</v>
      </c>
      <c r="D217" s="1">
        <v>4.97</v>
      </c>
      <c r="E217" s="1">
        <v>5.0999999999999996</v>
      </c>
      <c r="F217" s="1">
        <v>5.0999999999999996</v>
      </c>
      <c r="G217" s="1">
        <v>5.9</v>
      </c>
      <c r="H217" s="1">
        <v>5.9</v>
      </c>
      <c r="I217" s="1">
        <v>5.9</v>
      </c>
      <c r="J217" s="1">
        <v>5.9</v>
      </c>
      <c r="K217" s="1">
        <v>6.52</v>
      </c>
      <c r="L217" s="1">
        <v>6.52</v>
      </c>
      <c r="M217" s="1">
        <v>6.52</v>
      </c>
      <c r="N217" s="1">
        <v>6.52</v>
      </c>
      <c r="O217" s="1">
        <v>7.08</v>
      </c>
      <c r="P217" s="1">
        <v>7.08</v>
      </c>
      <c r="Q217" s="1">
        <v>7.08</v>
      </c>
      <c r="R217" s="1">
        <v>7.08</v>
      </c>
      <c r="S217" s="1">
        <v>7.85</v>
      </c>
      <c r="T217" s="1">
        <v>7.85</v>
      </c>
      <c r="U217" s="1">
        <v>7.85</v>
      </c>
      <c r="V217" s="1">
        <v>7.85</v>
      </c>
      <c r="W217" s="1">
        <v>8.1199999999999992</v>
      </c>
      <c r="X217" s="1">
        <v>8.1199999999999992</v>
      </c>
      <c r="Y217" s="1">
        <v>8.1199999999999992</v>
      </c>
      <c r="Z217" s="1">
        <v>8.1199999999999992</v>
      </c>
      <c r="AA217" s="1">
        <v>8.4600000000000009</v>
      </c>
      <c r="AB217" s="1">
        <v>8.4600000000000009</v>
      </c>
      <c r="AC217" s="1">
        <v>8.65</v>
      </c>
      <c r="AD217" s="1">
        <v>8.65</v>
      </c>
      <c r="AE217" s="1">
        <v>8.9787212746649203</v>
      </c>
      <c r="AF217" s="1">
        <v>8.9787212746649203</v>
      </c>
      <c r="AG217" s="1">
        <v>8.9787212746649203</v>
      </c>
      <c r="AH217" s="1">
        <v>8.9787212746649203</v>
      </c>
      <c r="AI217" s="1">
        <v>9.3323435752127359</v>
      </c>
      <c r="AJ217" s="1">
        <v>9.3323435752127359</v>
      </c>
      <c r="AK217" s="1">
        <v>9.3323435752127359</v>
      </c>
      <c r="AL217" s="1">
        <v>9.3323435752127359</v>
      </c>
      <c r="AM217" s="1">
        <v>9.3497033857142871</v>
      </c>
      <c r="AN217" s="1">
        <v>9.3497033857142871</v>
      </c>
      <c r="AO217" s="1">
        <v>9.3497033857142871</v>
      </c>
      <c r="AP217" s="1">
        <v>9.3497033857142871</v>
      </c>
      <c r="AQ217" s="1">
        <v>9.6431823584425498</v>
      </c>
      <c r="AR217" s="1">
        <v>9.6431823584425498</v>
      </c>
      <c r="AS217" s="1">
        <v>9.6431823584425498</v>
      </c>
      <c r="AT217" s="1">
        <v>9.6431823584425498</v>
      </c>
      <c r="AU217" s="1">
        <v>10.109330850037209</v>
      </c>
      <c r="AV217" s="1">
        <v>10.109330850037209</v>
      </c>
      <c r="AW217" s="1">
        <v>10.109330850037209</v>
      </c>
      <c r="AX217" s="1">
        <v>10.109330850037209</v>
      </c>
      <c r="AY217" s="1">
        <v>10.237815766682875</v>
      </c>
      <c r="AZ217" s="1">
        <v>10.237815766682875</v>
      </c>
      <c r="BA217" s="1">
        <v>10.237815766682875</v>
      </c>
      <c r="BB217" s="1">
        <v>10.237815766682875</v>
      </c>
      <c r="BC217" s="1">
        <v>10.459271098764722</v>
      </c>
      <c r="BD217" s="1">
        <v>10.459271098764722</v>
      </c>
      <c r="BE217" s="1">
        <v>10.459271098764722</v>
      </c>
      <c r="BF217" s="1">
        <v>10.459271098764722</v>
      </c>
      <c r="BG217" s="1">
        <v>10.961966758685955</v>
      </c>
      <c r="BH217" s="1">
        <v>10.961966758685955</v>
      </c>
      <c r="BI217" s="1">
        <v>10.961966758685955</v>
      </c>
      <c r="BJ217" s="1">
        <v>10.961966758685955</v>
      </c>
      <c r="BK217" s="1">
        <v>11.495944854612675</v>
      </c>
      <c r="BL217" s="1">
        <v>11.495944854612675</v>
      </c>
      <c r="BM217" s="1">
        <v>11.495944854612675</v>
      </c>
      <c r="BN217" s="1">
        <v>11.495944854612675</v>
      </c>
      <c r="BO217" s="1">
        <v>12.000864889587127</v>
      </c>
      <c r="BP217" s="1">
        <v>12.000864889587127</v>
      </c>
      <c r="BQ217" s="1">
        <v>12.000864889587127</v>
      </c>
      <c r="BR217" s="1">
        <v>12.000864889587127</v>
      </c>
      <c r="BS217" s="1">
        <v>12.324884299086962</v>
      </c>
      <c r="BT217" s="1">
        <v>12.324884299086962</v>
      </c>
      <c r="BU217" s="1">
        <v>12.324884299086962</v>
      </c>
      <c r="BV217" s="1">
        <v>12.324884299086962</v>
      </c>
      <c r="BW217" s="1">
        <v>13.071206967104267</v>
      </c>
      <c r="BX217" s="1">
        <v>13.071206967104267</v>
      </c>
      <c r="BY217" s="1">
        <v>13.071206967104267</v>
      </c>
      <c r="BZ217" s="1">
        <v>13.071206967104267</v>
      </c>
      <c r="CA217" s="1">
        <v>13.831581141425101</v>
      </c>
      <c r="CB217" s="1">
        <v>13.831581141425101</v>
      </c>
      <c r="CC217" s="1">
        <v>13.831581141425101</v>
      </c>
      <c r="CD217" s="1">
        <v>13.831581141425101</v>
      </c>
      <c r="CE217" s="1">
        <v>14.891427909577899</v>
      </c>
      <c r="CF217" s="1">
        <v>14.891427909577899</v>
      </c>
      <c r="CG217" s="1">
        <v>14.891427909577899</v>
      </c>
      <c r="CH217" s="1">
        <v>14.891427909577899</v>
      </c>
      <c r="CI217" s="1">
        <v>15.190141781805</v>
      </c>
      <c r="CJ217" s="1">
        <v>15.190141781805</v>
      </c>
      <c r="CK217" s="1">
        <v>15.190141781805</v>
      </c>
      <c r="CL217" s="1">
        <v>15.190141781805</v>
      </c>
      <c r="CM217" s="1">
        <v>16.830144256833002</v>
      </c>
      <c r="CN217" s="1">
        <v>16.830144256833002</v>
      </c>
    </row>
    <row r="218" spans="1:92" x14ac:dyDescent="0.35">
      <c r="A218" t="s">
        <v>86</v>
      </c>
      <c r="B218" s="1">
        <v>5.58</v>
      </c>
      <c r="C218" s="1">
        <v>5.74</v>
      </c>
      <c r="D218" s="1">
        <v>5.74</v>
      </c>
      <c r="E218" s="1">
        <v>5.74</v>
      </c>
      <c r="F218" s="1">
        <v>5.74</v>
      </c>
      <c r="G218" s="1">
        <v>6.15</v>
      </c>
      <c r="H218" s="1">
        <v>6.15</v>
      </c>
      <c r="I218" s="1">
        <v>6.15</v>
      </c>
      <c r="J218" s="1">
        <v>6.15</v>
      </c>
      <c r="K218" s="1">
        <v>6.48</v>
      </c>
      <c r="L218" s="1">
        <v>6.48</v>
      </c>
      <c r="M218" s="1">
        <v>6.48</v>
      </c>
      <c r="N218" s="1">
        <v>6.48</v>
      </c>
      <c r="O218" s="1">
        <v>6.31</v>
      </c>
      <c r="P218" s="1">
        <v>6.31</v>
      </c>
      <c r="Q218" s="1">
        <v>6.31</v>
      </c>
      <c r="R218" s="1">
        <v>6.31</v>
      </c>
      <c r="S218" s="1">
        <v>6.97</v>
      </c>
      <c r="T218" s="1">
        <v>6.97</v>
      </c>
      <c r="U218" s="1">
        <v>6.97</v>
      </c>
      <c r="V218" s="1">
        <v>6.97</v>
      </c>
      <c r="W218" s="1">
        <v>7.2</v>
      </c>
      <c r="X218" s="1">
        <v>7.2</v>
      </c>
      <c r="Y218" s="1">
        <v>7.2</v>
      </c>
      <c r="Z218" s="1">
        <v>9.6999999999999993</v>
      </c>
      <c r="AA218" s="1">
        <v>9.6999999999999993</v>
      </c>
      <c r="AB218" s="1">
        <v>9.6999999999999993</v>
      </c>
      <c r="AC218" s="1">
        <v>9.92</v>
      </c>
      <c r="AD218" s="1">
        <v>9.92</v>
      </c>
      <c r="AE218" s="1">
        <v>10.494314218749999</v>
      </c>
      <c r="AF218" s="1">
        <v>10.494314218749999</v>
      </c>
      <c r="AG218" s="1">
        <v>10.494314218749999</v>
      </c>
      <c r="AH218" s="1">
        <v>10.494314218749999</v>
      </c>
      <c r="AI218" s="1">
        <v>13.358964218749998</v>
      </c>
      <c r="AJ218" s="1">
        <v>13.358964218749998</v>
      </c>
      <c r="AK218" s="1">
        <v>13.358964218749998</v>
      </c>
      <c r="AL218" s="1">
        <v>13.358964218749998</v>
      </c>
      <c r="AM218" s="1">
        <v>13.513064218749999</v>
      </c>
      <c r="AN218" s="1">
        <v>13.513064218749999</v>
      </c>
      <c r="AO218" s="1">
        <v>13.513064218749999</v>
      </c>
      <c r="AP218" s="1">
        <v>13.513064218749999</v>
      </c>
      <c r="AQ218" s="1">
        <v>14.077714218749998</v>
      </c>
      <c r="AR218" s="1">
        <v>14.077714218749998</v>
      </c>
      <c r="AS218" s="1">
        <v>14.077714218749998</v>
      </c>
      <c r="AT218" s="1">
        <v>14.077714218749998</v>
      </c>
      <c r="AU218" s="1">
        <v>14.607864218749999</v>
      </c>
      <c r="AV218" s="1">
        <v>14.607864218749999</v>
      </c>
      <c r="AW218" s="1">
        <v>14.607864218749999</v>
      </c>
      <c r="AX218" s="1">
        <v>14.607864218749999</v>
      </c>
      <c r="AY218" s="1">
        <v>15.039635240625</v>
      </c>
      <c r="AZ218" s="1">
        <v>15.039635240625</v>
      </c>
      <c r="BA218" s="1">
        <v>15.039635240625</v>
      </c>
      <c r="BB218" s="1">
        <v>15.039635240625</v>
      </c>
      <c r="BC218" s="1">
        <v>14.877024593749999</v>
      </c>
      <c r="BD218" s="1">
        <v>14.877024593749999</v>
      </c>
      <c r="BE218" s="1">
        <v>14.877024593749999</v>
      </c>
      <c r="BF218" s="1">
        <v>14.877024593749999</v>
      </c>
      <c r="BG218" s="1">
        <v>17.898456250000002</v>
      </c>
      <c r="BH218" s="1">
        <v>17.898456250000002</v>
      </c>
      <c r="BI218" s="1">
        <v>17.898456250000002</v>
      </c>
      <c r="BJ218" s="1">
        <v>17.898456250000002</v>
      </c>
      <c r="BK218" s="1">
        <v>20.62428337109375</v>
      </c>
      <c r="BL218" s="1">
        <v>20.62428337109375</v>
      </c>
      <c r="BM218" s="1">
        <v>20.62428337109375</v>
      </c>
      <c r="BN218" s="1">
        <v>20.62428337109375</v>
      </c>
      <c r="BO218" s="1">
        <v>18.132768121093747</v>
      </c>
      <c r="BP218" s="1">
        <v>18.132768121093747</v>
      </c>
      <c r="BQ218" s="1">
        <v>18.132768121093747</v>
      </c>
      <c r="BR218" s="1">
        <v>18.132768121093747</v>
      </c>
      <c r="BS218" s="1">
        <v>18.795628121093749</v>
      </c>
      <c r="BT218" s="1">
        <v>18.795628121093749</v>
      </c>
      <c r="BU218" s="1">
        <v>18.795628121093749</v>
      </c>
      <c r="BV218" s="1">
        <v>18.795628121093749</v>
      </c>
      <c r="BW218" s="1">
        <v>17.256896334375</v>
      </c>
      <c r="BX218" s="1">
        <v>17.256896334375</v>
      </c>
      <c r="BY218" s="1">
        <v>17.256896334375</v>
      </c>
      <c r="BZ218" s="1">
        <v>17.256896334375</v>
      </c>
      <c r="CA218" s="1">
        <v>16.587738000000002</v>
      </c>
      <c r="CB218" s="1">
        <v>16.587738000000002</v>
      </c>
      <c r="CC218" s="1">
        <v>16.587738000000002</v>
      </c>
      <c r="CD218" s="1">
        <v>16.587738000000002</v>
      </c>
      <c r="CE218" s="1">
        <v>17.61026840625</v>
      </c>
      <c r="CF218" s="1">
        <v>17.61026840625</v>
      </c>
      <c r="CG218" s="1">
        <v>17.61026840625</v>
      </c>
      <c r="CH218" s="1">
        <v>17.61026840625</v>
      </c>
      <c r="CI218" s="1">
        <v>19.902333765624999</v>
      </c>
      <c r="CJ218" s="1">
        <v>19.902333765624999</v>
      </c>
      <c r="CK218" s="1">
        <v>19.902333765624999</v>
      </c>
      <c r="CL218" s="1">
        <v>19.902333765624999</v>
      </c>
      <c r="CM218" s="1">
        <v>20.727445468749998</v>
      </c>
      <c r="CN218" s="1">
        <v>20.727445468749998</v>
      </c>
    </row>
    <row r="219" spans="1:92" x14ac:dyDescent="0.35">
      <c r="A219" t="s">
        <v>37</v>
      </c>
      <c r="B219" s="1">
        <v>4.41</v>
      </c>
      <c r="C219" s="1">
        <v>5.68</v>
      </c>
      <c r="D219" s="1">
        <v>5.68</v>
      </c>
      <c r="E219" s="1">
        <v>5.68</v>
      </c>
      <c r="F219" s="1">
        <v>5.68</v>
      </c>
      <c r="G219" s="1">
        <v>5.68</v>
      </c>
      <c r="H219" s="1">
        <v>5.68</v>
      </c>
      <c r="I219" s="1">
        <v>5.33</v>
      </c>
      <c r="J219" s="1">
        <v>5.33</v>
      </c>
      <c r="K219" s="1">
        <v>5.31</v>
      </c>
      <c r="L219" s="1">
        <v>5.31</v>
      </c>
      <c r="M219" s="1">
        <v>5.31</v>
      </c>
      <c r="N219" s="1">
        <v>5.43</v>
      </c>
      <c r="O219" s="1">
        <v>6.18</v>
      </c>
      <c r="P219" s="1">
        <v>6.18</v>
      </c>
      <c r="Q219" s="1">
        <v>6.18</v>
      </c>
      <c r="R219" s="1">
        <v>6.18</v>
      </c>
      <c r="S219" s="1">
        <v>6.38</v>
      </c>
      <c r="T219" s="1">
        <v>6.38</v>
      </c>
      <c r="U219" s="1">
        <v>6.38</v>
      </c>
      <c r="V219" s="1">
        <v>6.38</v>
      </c>
      <c r="W219" s="1">
        <v>7.2</v>
      </c>
      <c r="X219" s="1">
        <v>7.2</v>
      </c>
      <c r="Y219" s="1">
        <v>7.2</v>
      </c>
      <c r="Z219" s="1">
        <v>7.2</v>
      </c>
      <c r="AA219" s="1">
        <v>7.51</v>
      </c>
      <c r="AB219" s="1">
        <v>7.51</v>
      </c>
      <c r="AC219" s="1">
        <v>7.67</v>
      </c>
      <c r="AD219" s="1">
        <v>7.67</v>
      </c>
      <c r="AE219" s="1">
        <v>7.9198020312500006</v>
      </c>
      <c r="AF219" s="1">
        <v>7.9198020312500006</v>
      </c>
      <c r="AG219" s="1">
        <v>7.9198020312500006</v>
      </c>
      <c r="AH219" s="1">
        <v>7.9198020312500006</v>
      </c>
      <c r="AI219" s="1">
        <v>8.3452509999999975</v>
      </c>
      <c r="AJ219" s="1">
        <v>8.3452509999999975</v>
      </c>
      <c r="AK219" s="1">
        <v>8.3452509999999975</v>
      </c>
      <c r="AL219" s="1">
        <v>8.3452509999999975</v>
      </c>
      <c r="AM219" s="1">
        <v>8.9019764218749984</v>
      </c>
      <c r="AN219" s="1">
        <v>8.9019764218749984</v>
      </c>
      <c r="AO219" s="1">
        <v>8.9019764218749984</v>
      </c>
      <c r="AP219" s="1">
        <v>8.9019764218749984</v>
      </c>
      <c r="AQ219" s="1">
        <v>10.080700906249998</v>
      </c>
      <c r="AR219" s="1">
        <v>10.080700906249998</v>
      </c>
      <c r="AS219" s="1">
        <v>10.080700906249998</v>
      </c>
      <c r="AT219" s="1">
        <v>10.080700906249998</v>
      </c>
      <c r="AU219" s="1">
        <v>10.313126328125</v>
      </c>
      <c r="AV219" s="1">
        <v>10.313126328125</v>
      </c>
      <c r="AW219" s="1">
        <v>10.313126328125</v>
      </c>
      <c r="AX219" s="1">
        <v>10.313126328125</v>
      </c>
      <c r="AY219" s="1">
        <v>10.648926328125</v>
      </c>
      <c r="AZ219" s="1">
        <v>10.648926328125</v>
      </c>
      <c r="BA219" s="1">
        <v>10.648926328125</v>
      </c>
      <c r="BB219" s="1">
        <v>10.648926328125</v>
      </c>
      <c r="BC219" s="1">
        <v>10.816826328124998</v>
      </c>
      <c r="BD219" s="1">
        <v>10.816826328124998</v>
      </c>
      <c r="BE219" s="1">
        <v>10.816826328124998</v>
      </c>
      <c r="BF219" s="1">
        <v>10.816826328124998</v>
      </c>
      <c r="BG219" s="1">
        <v>10.668650624999998</v>
      </c>
      <c r="BH219" s="1">
        <v>10.668650624999998</v>
      </c>
      <c r="BI219" s="1">
        <v>10.668650624999998</v>
      </c>
      <c r="BJ219" s="1">
        <v>10.668650624999998</v>
      </c>
      <c r="BK219" s="1">
        <v>10.449052734374998</v>
      </c>
      <c r="BL219" s="1">
        <v>10.449052734374998</v>
      </c>
      <c r="BM219" s="1">
        <v>10.449052734374998</v>
      </c>
      <c r="BN219" s="1">
        <v>10.449052734374998</v>
      </c>
      <c r="BO219" s="1">
        <v>9.0000527343749983</v>
      </c>
      <c r="BP219" s="1">
        <v>9.0000527343749983</v>
      </c>
      <c r="BQ219" s="1">
        <v>9.0000527343749983</v>
      </c>
      <c r="BR219" s="1">
        <v>9.0000527343749983</v>
      </c>
      <c r="BS219" s="1">
        <v>9.0000527343749983</v>
      </c>
      <c r="BT219" s="1">
        <v>9.0000527343749983</v>
      </c>
      <c r="BU219" s="1">
        <v>9.0000527343749983</v>
      </c>
      <c r="BV219" s="1">
        <v>9.0000527343749983</v>
      </c>
      <c r="BW219" s="1">
        <v>9.0301054687499978</v>
      </c>
      <c r="BX219" s="1">
        <v>9.0301054687499978</v>
      </c>
      <c r="BY219" s="1">
        <v>9.0301054687499978</v>
      </c>
      <c r="BZ219" s="1">
        <v>9.0301054687499978</v>
      </c>
      <c r="CA219" s="1">
        <v>9.2214187499999998</v>
      </c>
      <c r="CB219" s="1">
        <v>9.2214187499999998</v>
      </c>
      <c r="CC219" s="1">
        <v>9.2214187499999998</v>
      </c>
      <c r="CD219" s="1">
        <v>9.2214187499999998</v>
      </c>
      <c r="CE219" s="1">
        <v>10.315140625</v>
      </c>
      <c r="CF219" s="1">
        <v>10.315140625</v>
      </c>
      <c r="CG219" s="1">
        <v>10.315140625</v>
      </c>
      <c r="CH219" s="1">
        <v>10.315140625</v>
      </c>
      <c r="CI219" s="1">
        <v>12.4501875</v>
      </c>
      <c r="CJ219" s="1">
        <v>12.4501875</v>
      </c>
      <c r="CK219" s="1">
        <v>12.4501875</v>
      </c>
      <c r="CL219" s="1">
        <v>12.4501875</v>
      </c>
      <c r="CM219" s="1">
        <v>14.375215624999999</v>
      </c>
      <c r="CN219" s="1">
        <v>14.375215624999999</v>
      </c>
    </row>
    <row r="220" spans="1:92" x14ac:dyDescent="0.35">
      <c r="A220" t="s">
        <v>67</v>
      </c>
      <c r="B220" s="1">
        <v>5.57</v>
      </c>
      <c r="C220" s="1">
        <v>5.68</v>
      </c>
      <c r="D220" s="1">
        <v>5.68</v>
      </c>
      <c r="E220" s="1">
        <v>5.68</v>
      </c>
      <c r="F220" s="1">
        <v>5.68</v>
      </c>
      <c r="G220" s="1">
        <v>5.68</v>
      </c>
      <c r="H220" s="1">
        <v>5.68</v>
      </c>
      <c r="I220" s="1">
        <v>5.33</v>
      </c>
      <c r="J220" s="1">
        <v>5.33</v>
      </c>
      <c r="K220" s="1">
        <v>4.99</v>
      </c>
      <c r="L220" s="1">
        <v>4.99</v>
      </c>
      <c r="M220" s="1">
        <v>4.99</v>
      </c>
      <c r="N220" s="1">
        <v>5.17</v>
      </c>
      <c r="O220" s="1">
        <v>6.06</v>
      </c>
      <c r="P220" s="1">
        <v>6.06</v>
      </c>
      <c r="Q220" s="1">
        <v>6.06</v>
      </c>
      <c r="R220" s="1">
        <v>6.06</v>
      </c>
      <c r="S220" s="1">
        <v>6.26</v>
      </c>
      <c r="T220" s="1">
        <v>6.26</v>
      </c>
      <c r="U220" s="1">
        <v>6.26</v>
      </c>
      <c r="V220" s="1">
        <v>6.26</v>
      </c>
      <c r="W220" s="1">
        <v>6.99</v>
      </c>
      <c r="X220" s="1">
        <v>6.99</v>
      </c>
      <c r="Y220" s="1">
        <v>6.99</v>
      </c>
      <c r="Z220" s="1">
        <v>6.99</v>
      </c>
      <c r="AA220" s="1">
        <v>6.98</v>
      </c>
      <c r="AB220" s="1">
        <v>6.98</v>
      </c>
      <c r="AC220" s="1">
        <v>7.13</v>
      </c>
      <c r="AD220" s="1">
        <v>7.13</v>
      </c>
      <c r="AE220" s="1">
        <v>7.5633020312499983</v>
      </c>
      <c r="AF220" s="1">
        <v>7.5633020312499983</v>
      </c>
      <c r="AG220" s="1">
        <v>7.5633020312499983</v>
      </c>
      <c r="AH220" s="1">
        <v>7.5633020312499983</v>
      </c>
      <c r="AI220" s="1">
        <v>8.2333502499999991</v>
      </c>
      <c r="AJ220" s="1">
        <v>8.2333502499999991</v>
      </c>
      <c r="AK220" s="1">
        <v>8.2333502499999991</v>
      </c>
      <c r="AL220" s="1">
        <v>8.2333502499999991</v>
      </c>
      <c r="AM220" s="1">
        <v>8.3358001562499986</v>
      </c>
      <c r="AN220" s="1">
        <v>8.3358001562499986</v>
      </c>
      <c r="AO220" s="1">
        <v>8.3358001562499986</v>
      </c>
      <c r="AP220" s="1">
        <v>8.3358001562499986</v>
      </c>
      <c r="AQ220" s="1">
        <v>9.5074546562499993</v>
      </c>
      <c r="AR220" s="1">
        <v>9.5074546562499993</v>
      </c>
      <c r="AS220" s="1">
        <v>9.5074546562499993</v>
      </c>
      <c r="AT220" s="1">
        <v>9.5074546562499993</v>
      </c>
      <c r="AU220" s="1">
        <v>9.8933763281249991</v>
      </c>
      <c r="AV220" s="1">
        <v>9.8933763281249991</v>
      </c>
      <c r="AW220" s="1">
        <v>9.8933763281249991</v>
      </c>
      <c r="AX220" s="1">
        <v>9.8933763281249991</v>
      </c>
      <c r="AY220" s="1">
        <v>9.8406506250000003</v>
      </c>
      <c r="AZ220" s="1">
        <v>9.8406506250000003</v>
      </c>
      <c r="BA220" s="1">
        <v>9.8406506250000003</v>
      </c>
      <c r="BB220" s="1">
        <v>9.8406506250000003</v>
      </c>
      <c r="BC220" s="1">
        <v>9.9234506249999992</v>
      </c>
      <c r="BD220" s="1">
        <v>9.9234506249999992</v>
      </c>
      <c r="BE220" s="1">
        <v>9.9234506249999992</v>
      </c>
      <c r="BF220" s="1">
        <v>9.9234506249999992</v>
      </c>
      <c r="BG220" s="1">
        <v>9.8406506250000003</v>
      </c>
      <c r="BH220" s="1">
        <v>9.8406506250000003</v>
      </c>
      <c r="BI220" s="1">
        <v>9.8406506250000003</v>
      </c>
      <c r="BJ220" s="1">
        <v>9.8406506250000003</v>
      </c>
      <c r="BK220" s="1">
        <v>9.9056777343750024</v>
      </c>
      <c r="BL220" s="1">
        <v>9.9056777343750024</v>
      </c>
      <c r="BM220" s="1">
        <v>9.9056777343750024</v>
      </c>
      <c r="BN220" s="1">
        <v>9.9056777343750024</v>
      </c>
      <c r="BO220" s="1">
        <v>8.568802734374998</v>
      </c>
      <c r="BP220" s="1">
        <v>8.568802734374998</v>
      </c>
      <c r="BQ220" s="1">
        <v>8.568802734374998</v>
      </c>
      <c r="BR220" s="1">
        <v>8.568802734374998</v>
      </c>
      <c r="BS220" s="1">
        <v>8.3100527343749988</v>
      </c>
      <c r="BT220" s="1">
        <v>8.3100527343749988</v>
      </c>
      <c r="BU220" s="1">
        <v>8.3100527343749988</v>
      </c>
      <c r="BV220" s="1">
        <v>8.3100527343749988</v>
      </c>
      <c r="BW220" s="1">
        <v>8.34010546875</v>
      </c>
      <c r="BX220" s="1">
        <v>8.34010546875</v>
      </c>
      <c r="BY220" s="1">
        <v>8.34010546875</v>
      </c>
      <c r="BZ220" s="1">
        <v>8.34010546875</v>
      </c>
      <c r="CA220" s="1">
        <v>9.0863458593749993</v>
      </c>
      <c r="CB220" s="1">
        <v>9.0863458593749993</v>
      </c>
      <c r="CC220" s="1">
        <v>9.0863458593749993</v>
      </c>
      <c r="CD220" s="1">
        <v>9.0863458593749993</v>
      </c>
      <c r="CE220" s="1">
        <v>9.3951406249999998</v>
      </c>
      <c r="CF220" s="1">
        <v>9.3951406249999998</v>
      </c>
      <c r="CG220" s="1">
        <v>9.3951406249999998</v>
      </c>
      <c r="CH220" s="1">
        <v>9.3951406249999998</v>
      </c>
      <c r="CI220" s="1">
        <v>11.760187500000001</v>
      </c>
      <c r="CJ220" s="1">
        <v>11.760187500000001</v>
      </c>
      <c r="CK220" s="1">
        <v>11.760187500000001</v>
      </c>
      <c r="CL220" s="1">
        <v>11.760187500000001</v>
      </c>
      <c r="CM220" s="1">
        <v>13.228234375</v>
      </c>
      <c r="CN220" s="1">
        <v>13.228234375</v>
      </c>
    </row>
    <row r="221" spans="1:92" x14ac:dyDescent="0.35">
      <c r="A221" t="s">
        <v>68</v>
      </c>
      <c r="B221" s="1">
        <v>5.46</v>
      </c>
      <c r="C221" s="1">
        <v>5.68</v>
      </c>
      <c r="D221" s="1">
        <v>5.68</v>
      </c>
      <c r="E221" s="1">
        <v>5.68</v>
      </c>
      <c r="F221" s="1">
        <v>5.68</v>
      </c>
      <c r="G221" s="1">
        <v>5.68</v>
      </c>
      <c r="H221" s="1">
        <v>5.68</v>
      </c>
      <c r="I221" s="1">
        <v>5.33</v>
      </c>
      <c r="J221" s="1">
        <v>5.33</v>
      </c>
      <c r="K221" s="1">
        <v>4.95</v>
      </c>
      <c r="L221" s="1">
        <v>4.95</v>
      </c>
      <c r="M221" s="1">
        <v>4.95</v>
      </c>
      <c r="N221" s="1">
        <v>5.17</v>
      </c>
      <c r="O221" s="1">
        <v>6.06</v>
      </c>
      <c r="P221" s="1">
        <v>6.06</v>
      </c>
      <c r="Q221" s="1">
        <v>6.06</v>
      </c>
      <c r="R221" s="1">
        <v>6.06</v>
      </c>
      <c r="S221" s="1">
        <v>6.26</v>
      </c>
      <c r="T221" s="1">
        <v>6.26</v>
      </c>
      <c r="U221" s="1">
        <v>6.26</v>
      </c>
      <c r="V221" s="1">
        <v>6.26</v>
      </c>
      <c r="W221" s="1">
        <v>6.99</v>
      </c>
      <c r="X221" s="1">
        <v>6.99</v>
      </c>
      <c r="Y221" s="1">
        <v>6.99</v>
      </c>
      <c r="Z221" s="1">
        <v>6.99</v>
      </c>
      <c r="AA221" s="1">
        <v>6.98</v>
      </c>
      <c r="AB221" s="1">
        <v>6.98</v>
      </c>
      <c r="AC221" s="1">
        <v>7.13</v>
      </c>
      <c r="AD221" s="1">
        <v>7.13</v>
      </c>
      <c r="AE221" s="1">
        <v>7.5633020312499983</v>
      </c>
      <c r="AF221" s="1">
        <v>7.5633020312499983</v>
      </c>
      <c r="AG221" s="1">
        <v>7.5633020312499983</v>
      </c>
      <c r="AH221" s="1">
        <v>7.5633020312499983</v>
      </c>
      <c r="AI221" s="1">
        <v>8.2333502499999991</v>
      </c>
      <c r="AJ221" s="1">
        <v>8.2333502499999991</v>
      </c>
      <c r="AK221" s="1">
        <v>8.2333502499999991</v>
      </c>
      <c r="AL221" s="1">
        <v>8.2333502499999991</v>
      </c>
      <c r="AM221" s="1">
        <v>8.3358001562499986</v>
      </c>
      <c r="AN221" s="1">
        <v>8.3358001562499986</v>
      </c>
      <c r="AO221" s="1">
        <v>8.3358001562499986</v>
      </c>
      <c r="AP221" s="1">
        <v>8.3358001562499986</v>
      </c>
      <c r="AQ221" s="1">
        <v>9.5074546562499993</v>
      </c>
      <c r="AR221" s="1">
        <v>9.5074546562499993</v>
      </c>
      <c r="AS221" s="1">
        <v>9.5074546562499993</v>
      </c>
      <c r="AT221" s="1">
        <v>9.5074546562499993</v>
      </c>
      <c r="AU221" s="1">
        <v>9.8933763281249991</v>
      </c>
      <c r="AV221" s="1">
        <v>9.8933763281249991</v>
      </c>
      <c r="AW221" s="1">
        <v>9.8933763281249991</v>
      </c>
      <c r="AX221" s="1">
        <v>9.8933763281249991</v>
      </c>
      <c r="AY221" s="1">
        <v>9.8406506250000003</v>
      </c>
      <c r="AZ221" s="1">
        <v>9.8406506250000003</v>
      </c>
      <c r="BA221" s="1">
        <v>9.8406506250000003</v>
      </c>
      <c r="BB221" s="1">
        <v>9.8406506250000003</v>
      </c>
      <c r="BC221" s="1">
        <v>9.9234506249999992</v>
      </c>
      <c r="BD221" s="1">
        <v>9.9234506249999992</v>
      </c>
      <c r="BE221" s="1">
        <v>9.9234506249999992</v>
      </c>
      <c r="BF221" s="1">
        <v>9.9234506249999992</v>
      </c>
      <c r="BG221" s="1">
        <v>9.8406506250000003</v>
      </c>
      <c r="BH221" s="1">
        <v>9.8406506250000003</v>
      </c>
      <c r="BI221" s="1">
        <v>9.8406506250000003</v>
      </c>
      <c r="BJ221" s="1">
        <v>9.8406506250000003</v>
      </c>
      <c r="BK221" s="1">
        <v>9.9056777343750024</v>
      </c>
      <c r="BL221" s="1">
        <v>9.9056777343750024</v>
      </c>
      <c r="BM221" s="1">
        <v>9.9056777343750024</v>
      </c>
      <c r="BN221" s="1">
        <v>9.9056777343750024</v>
      </c>
      <c r="BO221" s="1">
        <v>8.568802734374998</v>
      </c>
      <c r="BP221" s="1">
        <v>8.568802734374998</v>
      </c>
      <c r="BQ221" s="1">
        <v>8.568802734374998</v>
      </c>
      <c r="BR221" s="1">
        <v>8.568802734374998</v>
      </c>
      <c r="BS221" s="1">
        <v>8.3100527343749988</v>
      </c>
      <c r="BT221" s="1">
        <v>8.3100527343749988</v>
      </c>
      <c r="BU221" s="1">
        <v>8.3100527343749988</v>
      </c>
      <c r="BV221" s="1">
        <v>8.3100527343749988</v>
      </c>
      <c r="BW221" s="1">
        <v>8.34010546875</v>
      </c>
      <c r="BX221" s="1">
        <v>8.34010546875</v>
      </c>
      <c r="BY221" s="1">
        <v>8.34010546875</v>
      </c>
      <c r="BZ221" s="1">
        <v>8.34010546875</v>
      </c>
      <c r="CA221" s="1">
        <v>9.0863458593749993</v>
      </c>
      <c r="CB221" s="1">
        <v>9.0863458593749993</v>
      </c>
      <c r="CC221" s="1">
        <v>9.0863458593749993</v>
      </c>
      <c r="CD221" s="1">
        <v>9.0863458593749993</v>
      </c>
      <c r="CE221" s="1">
        <v>9.3951406249999998</v>
      </c>
      <c r="CF221" s="1">
        <v>9.3951406249999998</v>
      </c>
      <c r="CG221" s="1">
        <v>9.3951406249999998</v>
      </c>
      <c r="CH221" s="1">
        <v>9.3951406249999998</v>
      </c>
      <c r="CI221" s="1">
        <v>11.760187500000001</v>
      </c>
      <c r="CJ221" s="1">
        <v>11.760187500000001</v>
      </c>
      <c r="CK221" s="1">
        <v>11.760187500000001</v>
      </c>
      <c r="CL221" s="1">
        <v>11.760187500000001</v>
      </c>
      <c r="CM221" s="1">
        <v>13.228234375</v>
      </c>
      <c r="CN221" s="1">
        <v>13.228234375</v>
      </c>
    </row>
    <row r="222" spans="1:92" x14ac:dyDescent="0.35">
      <c r="A222" t="s">
        <v>72</v>
      </c>
      <c r="B222" s="1">
        <v>5.51</v>
      </c>
      <c r="C222" s="1">
        <v>5.62</v>
      </c>
      <c r="D222" s="1">
        <v>5.62</v>
      </c>
      <c r="E222" s="1">
        <v>5.62</v>
      </c>
      <c r="F222" s="1">
        <v>5.62</v>
      </c>
      <c r="G222" s="1">
        <v>5.53</v>
      </c>
      <c r="H222" s="1">
        <v>5.53</v>
      </c>
      <c r="I222" s="1">
        <v>5.53</v>
      </c>
      <c r="J222" s="1">
        <v>5.53</v>
      </c>
      <c r="K222" s="1">
        <v>5.6</v>
      </c>
      <c r="L222" s="1">
        <v>5.6</v>
      </c>
      <c r="M222" s="1">
        <v>5.6</v>
      </c>
      <c r="N222" s="1">
        <v>5.6</v>
      </c>
      <c r="O222" s="1">
        <v>6.4</v>
      </c>
      <c r="P222" s="1">
        <v>6.4</v>
      </c>
      <c r="Q222" s="1">
        <v>6.4</v>
      </c>
      <c r="R222" s="1">
        <v>6.4</v>
      </c>
      <c r="S222" s="1">
        <v>7.5</v>
      </c>
      <c r="T222" s="1">
        <v>7.5</v>
      </c>
      <c r="U222" s="1">
        <v>7.5</v>
      </c>
      <c r="V222" s="1">
        <v>7.5</v>
      </c>
      <c r="W222" s="1">
        <v>7.85</v>
      </c>
      <c r="X222" s="1">
        <v>7.85</v>
      </c>
      <c r="Y222" s="1">
        <v>7.85</v>
      </c>
      <c r="Z222" s="1">
        <v>7.85</v>
      </c>
      <c r="AA222" s="1">
        <v>8.16</v>
      </c>
      <c r="AB222" s="1">
        <v>8.16</v>
      </c>
      <c r="AC222" s="1">
        <v>8.34</v>
      </c>
      <c r="AD222" s="1">
        <v>8.34</v>
      </c>
      <c r="AE222" s="1">
        <v>8.0128963281249987</v>
      </c>
      <c r="AF222" s="1">
        <v>8.0128963281249987</v>
      </c>
      <c r="AG222" s="1">
        <v>8.0128963281249987</v>
      </c>
      <c r="AH222" s="1">
        <v>8.0128963281249987</v>
      </c>
      <c r="AI222" s="1">
        <v>8.3197235156250002</v>
      </c>
      <c r="AJ222" s="1">
        <v>8.3197235156250002</v>
      </c>
      <c r="AK222" s="1">
        <v>8.3197235156250002</v>
      </c>
      <c r="AL222" s="1">
        <v>8.3197235156250002</v>
      </c>
      <c r="AM222" s="1">
        <v>7.7880785156249992</v>
      </c>
      <c r="AN222" s="1">
        <v>7.7880785156249992</v>
      </c>
      <c r="AO222" s="1">
        <v>7.7880785156249992</v>
      </c>
      <c r="AP222" s="1">
        <v>7.7880785156249992</v>
      </c>
      <c r="AQ222" s="1">
        <v>8.2395703124999997</v>
      </c>
      <c r="AR222" s="1">
        <v>8.2395703124999997</v>
      </c>
      <c r="AS222" s="1">
        <v>8.2395703124999997</v>
      </c>
      <c r="AT222" s="1">
        <v>8.2395703124999997</v>
      </c>
      <c r="AU222" s="1">
        <v>8.032570312499999</v>
      </c>
      <c r="AV222" s="1">
        <v>8.032570312499999</v>
      </c>
      <c r="AW222" s="1">
        <v>8.032570312499999</v>
      </c>
      <c r="AX222" s="1">
        <v>8.032570312499999</v>
      </c>
      <c r="AY222" s="1">
        <v>8.1245703124999995</v>
      </c>
      <c r="AZ222" s="1">
        <v>8.1245703124999995</v>
      </c>
      <c r="BA222" s="1">
        <v>8.1245703124999995</v>
      </c>
      <c r="BB222" s="1">
        <v>8.1245703124999995</v>
      </c>
      <c r="BC222" s="1">
        <v>7.8310903125000006</v>
      </c>
      <c r="BD222" s="1">
        <v>7.8310903125000006</v>
      </c>
      <c r="BE222" s="1">
        <v>7.8310903125000006</v>
      </c>
      <c r="BF222" s="1">
        <v>7.8310903125000006</v>
      </c>
      <c r="BG222" s="1">
        <v>7.9449403124999991</v>
      </c>
      <c r="BH222" s="1">
        <v>7.9449403124999991</v>
      </c>
      <c r="BI222" s="1">
        <v>7.9449403124999991</v>
      </c>
      <c r="BJ222" s="1">
        <v>7.9449403124999991</v>
      </c>
      <c r="BK222" s="1">
        <v>8.1935703125000003</v>
      </c>
      <c r="BL222" s="1">
        <v>8.1935703125000003</v>
      </c>
      <c r="BM222" s="1">
        <v>8.1935703125000003</v>
      </c>
      <c r="BN222" s="1">
        <v>8.1935703125000003</v>
      </c>
      <c r="BO222" s="1">
        <v>7.9290703125000004</v>
      </c>
      <c r="BP222" s="1">
        <v>7.9290703125000004</v>
      </c>
      <c r="BQ222" s="1">
        <v>7.9290703125000004</v>
      </c>
      <c r="BR222" s="1">
        <v>7.9290703125000004</v>
      </c>
      <c r="BS222" s="1">
        <v>8.3439443124999997</v>
      </c>
      <c r="BT222" s="1">
        <v>8.3439443124999997</v>
      </c>
      <c r="BU222" s="1">
        <v>8.3439443124999997</v>
      </c>
      <c r="BV222" s="1">
        <v>8.3439443124999997</v>
      </c>
      <c r="BW222" s="1">
        <v>8.5096406249999994</v>
      </c>
      <c r="BX222" s="1">
        <v>8.5096406249999994</v>
      </c>
      <c r="BY222" s="1">
        <v>8.5096406249999994</v>
      </c>
      <c r="BZ222" s="1">
        <v>8.5096406249999994</v>
      </c>
      <c r="CA222" s="1">
        <v>8.7486609375000004</v>
      </c>
      <c r="CB222" s="1">
        <v>8.7486609375000004</v>
      </c>
      <c r="CC222" s="1">
        <v>8.7486609375000004</v>
      </c>
      <c r="CD222" s="1">
        <v>8.7486609375000004</v>
      </c>
      <c r="CE222" s="1">
        <v>9.4190462499999992</v>
      </c>
      <c r="CF222" s="1">
        <v>9.4190462499999992</v>
      </c>
      <c r="CG222" s="1">
        <v>9.4190462499999992</v>
      </c>
      <c r="CH222" s="1">
        <v>9.4190462499999992</v>
      </c>
      <c r="CI222" s="1">
        <v>11.369956562500001</v>
      </c>
      <c r="CJ222" s="1">
        <v>11.369956562500001</v>
      </c>
      <c r="CK222" s="1">
        <v>11.369956562500001</v>
      </c>
      <c r="CL222" s="1">
        <v>11.369956562500001</v>
      </c>
      <c r="CM222" s="1">
        <v>12.721291375</v>
      </c>
      <c r="CN222" s="1">
        <v>12.721291375</v>
      </c>
    </row>
    <row r="223" spans="1:92" x14ac:dyDescent="0.35">
      <c r="A223" t="s">
        <v>73</v>
      </c>
      <c r="B223" s="1">
        <v>4.1100000000000003</v>
      </c>
      <c r="C223" s="1">
        <v>4.32</v>
      </c>
      <c r="D223" s="1">
        <v>4.32</v>
      </c>
      <c r="E223" s="1">
        <v>4.32</v>
      </c>
      <c r="F223" s="1">
        <v>4.21</v>
      </c>
      <c r="G223" s="1">
        <v>4.54</v>
      </c>
      <c r="H223" s="1">
        <v>4.54</v>
      </c>
      <c r="I223" s="1">
        <v>4.54</v>
      </c>
      <c r="J223" s="1">
        <v>4.54</v>
      </c>
      <c r="K223" s="1">
        <v>4.92</v>
      </c>
      <c r="L223" s="1">
        <v>4.92</v>
      </c>
      <c r="M223" s="1">
        <v>4.92</v>
      </c>
      <c r="N223" s="1">
        <v>4.92</v>
      </c>
      <c r="O223" s="1">
        <v>5.81</v>
      </c>
      <c r="P223" s="1">
        <v>5.81</v>
      </c>
      <c r="Q223" s="1">
        <v>5.81</v>
      </c>
      <c r="R223" s="1">
        <v>5.81</v>
      </c>
      <c r="S223" s="1">
        <v>6.88</v>
      </c>
      <c r="T223" s="1">
        <v>6.88</v>
      </c>
      <c r="U223" s="1">
        <v>6.88</v>
      </c>
      <c r="V223" s="1">
        <v>6.88</v>
      </c>
      <c r="W223" s="1">
        <v>7.15</v>
      </c>
      <c r="X223" s="1">
        <v>7.15</v>
      </c>
      <c r="Y223" s="1">
        <v>7.15</v>
      </c>
      <c r="Z223" s="1">
        <v>7.15</v>
      </c>
      <c r="AA223" s="1">
        <v>7.31</v>
      </c>
      <c r="AB223" s="1">
        <v>7.31</v>
      </c>
      <c r="AC223" s="1">
        <v>7.47</v>
      </c>
      <c r="AD223" s="1">
        <v>7.47</v>
      </c>
      <c r="AE223" s="1">
        <v>7.1785483133906247</v>
      </c>
      <c r="AF223" s="1">
        <v>7.1785483133906247</v>
      </c>
      <c r="AG223" s="1">
        <v>7.1785483133906247</v>
      </c>
      <c r="AH223" s="1">
        <v>7.1785483133906247</v>
      </c>
      <c r="AI223" s="1">
        <v>7.5283444785937501</v>
      </c>
      <c r="AJ223" s="1">
        <v>7.5283444785937501</v>
      </c>
      <c r="AK223" s="1">
        <v>7.5283444785937501</v>
      </c>
      <c r="AL223" s="1">
        <v>7.5283444785937501</v>
      </c>
      <c r="AM223" s="1">
        <v>7.6225294785937496</v>
      </c>
      <c r="AN223" s="1">
        <v>7.6225294785937496</v>
      </c>
      <c r="AO223" s="1">
        <v>7.6225294785937496</v>
      </c>
      <c r="AP223" s="1">
        <v>7.6225294785937496</v>
      </c>
      <c r="AQ223" s="1">
        <v>8.022377826562499</v>
      </c>
      <c r="AR223" s="1">
        <v>8.022377826562499</v>
      </c>
      <c r="AS223" s="1">
        <v>8.0210703124999991</v>
      </c>
      <c r="AT223" s="1">
        <v>8.0210703124999991</v>
      </c>
      <c r="AU223" s="1">
        <v>8.032570312499999</v>
      </c>
      <c r="AV223" s="1">
        <v>8.032570312499999</v>
      </c>
      <c r="AW223" s="1">
        <v>8.032570312499999</v>
      </c>
      <c r="AX223" s="1">
        <v>8.032570312499999</v>
      </c>
      <c r="AY223" s="1">
        <v>8.1245703124999995</v>
      </c>
      <c r="AZ223" s="1">
        <v>8.1245703124999995</v>
      </c>
      <c r="BA223" s="1">
        <v>8.1245703124999995</v>
      </c>
      <c r="BB223" s="1">
        <v>8.1245703124999995</v>
      </c>
      <c r="BC223" s="1">
        <v>8.1935703125000003</v>
      </c>
      <c r="BD223" s="1">
        <v>8.1935703125000003</v>
      </c>
      <c r="BE223" s="1">
        <v>8.1935703125000003</v>
      </c>
      <c r="BF223" s="1">
        <v>8.1935703125000003</v>
      </c>
      <c r="BG223" s="1">
        <v>8.1935703125000003</v>
      </c>
      <c r="BH223" s="1">
        <v>8.1935703125000003</v>
      </c>
      <c r="BI223" s="1">
        <v>8.1935703125000003</v>
      </c>
      <c r="BJ223" s="1">
        <v>8.1935703125000003</v>
      </c>
      <c r="BK223" s="1">
        <v>8.1935703125000003</v>
      </c>
      <c r="BL223" s="1">
        <v>8.1935703125000003</v>
      </c>
      <c r="BM223" s="1">
        <v>8.1935703125000003</v>
      </c>
      <c r="BN223" s="1">
        <v>8.1935703125000003</v>
      </c>
      <c r="BO223" s="1">
        <v>7.9290703125000004</v>
      </c>
      <c r="BP223" s="1">
        <v>7.9290703125000004</v>
      </c>
      <c r="BQ223" s="1">
        <v>7.9290703125000004</v>
      </c>
      <c r="BR223" s="1">
        <v>7.9290703125000004</v>
      </c>
      <c r="BS223" s="1">
        <v>8.3439443124999997</v>
      </c>
      <c r="BT223" s="1">
        <v>8.3439443124999997</v>
      </c>
      <c r="BU223" s="1">
        <v>8.3439443124999997</v>
      </c>
      <c r="BV223" s="1">
        <v>8.3439443124999997</v>
      </c>
      <c r="BW223" s="1">
        <v>8.5096406249999994</v>
      </c>
      <c r="BX223" s="1">
        <v>8.5096406249999994</v>
      </c>
      <c r="BY223" s="1">
        <v>8.5096406249999994</v>
      </c>
      <c r="BZ223" s="1">
        <v>8.5096406249999994</v>
      </c>
      <c r="CA223" s="1">
        <v>8.6451609375</v>
      </c>
      <c r="CB223" s="1">
        <v>8.6451609375</v>
      </c>
      <c r="CC223" s="1">
        <v>8.6451609375</v>
      </c>
      <c r="CD223" s="1">
        <v>8.6451609375</v>
      </c>
      <c r="CE223" s="1">
        <v>9.3155462500000006</v>
      </c>
      <c r="CF223" s="1">
        <v>9.3155462500000006</v>
      </c>
      <c r="CG223" s="1">
        <v>9.3155462500000006</v>
      </c>
      <c r="CH223" s="1">
        <v>9.3155462500000006</v>
      </c>
      <c r="CI223" s="1">
        <v>11.2549565625</v>
      </c>
      <c r="CJ223" s="1">
        <v>11.2549565625</v>
      </c>
      <c r="CK223" s="1">
        <v>11.2549565625</v>
      </c>
      <c r="CL223" s="1">
        <v>11.2549565625</v>
      </c>
      <c r="CM223" s="1">
        <v>12.617791374999999</v>
      </c>
      <c r="CN223" s="1">
        <v>12.617791374999999</v>
      </c>
    </row>
    <row r="224" spans="1:92" x14ac:dyDescent="0.35">
      <c r="A224" t="s">
        <v>82</v>
      </c>
      <c r="B224" s="1">
        <v>3.43</v>
      </c>
      <c r="C224" s="1">
        <v>3.43</v>
      </c>
      <c r="D224" s="1">
        <v>3.4</v>
      </c>
      <c r="E224" s="1">
        <v>3.4</v>
      </c>
      <c r="F224" s="1">
        <v>3.51</v>
      </c>
      <c r="G224" s="1">
        <v>3.77</v>
      </c>
      <c r="H224" s="1">
        <v>3.77</v>
      </c>
      <c r="I224" s="1">
        <v>3.77</v>
      </c>
      <c r="J224" s="1">
        <v>3.77</v>
      </c>
      <c r="K224" s="1">
        <v>4.07</v>
      </c>
      <c r="L224" s="1">
        <v>4.07</v>
      </c>
      <c r="M224" s="1">
        <v>4.07</v>
      </c>
      <c r="N224" s="1">
        <v>4.07</v>
      </c>
      <c r="O224" s="1">
        <v>4.1900000000000004</v>
      </c>
      <c r="P224" s="1">
        <v>4.1900000000000004</v>
      </c>
      <c r="Q224" s="1">
        <v>4.1900000000000004</v>
      </c>
      <c r="R224" s="1">
        <v>4.1900000000000004</v>
      </c>
      <c r="S224" s="1">
        <v>4.4000000000000004</v>
      </c>
      <c r="T224" s="1">
        <v>4.4000000000000004</v>
      </c>
      <c r="U224" s="1">
        <v>4.4000000000000004</v>
      </c>
      <c r="V224" s="1">
        <v>4.4000000000000004</v>
      </c>
      <c r="W224" s="1">
        <v>4.62</v>
      </c>
      <c r="X224" s="1">
        <v>4.62</v>
      </c>
      <c r="Y224" s="1">
        <v>4.62</v>
      </c>
      <c r="Z224" s="1">
        <v>4.62</v>
      </c>
      <c r="AA224" s="1">
        <v>4.7300000000000004</v>
      </c>
      <c r="AB224" s="1">
        <v>4.7300000000000004</v>
      </c>
      <c r="AC224" s="1">
        <v>4.83</v>
      </c>
      <c r="AD224" s="1">
        <v>4.83</v>
      </c>
      <c r="AE224" s="1">
        <v>5.0701703124999993</v>
      </c>
      <c r="AF224" s="1">
        <v>5.0701703124999993</v>
      </c>
      <c r="AG224" s="1">
        <v>5.0701703124999993</v>
      </c>
      <c r="AH224" s="1">
        <v>5.0701703124999993</v>
      </c>
      <c r="AI224" s="1">
        <v>5.1920703125000003</v>
      </c>
      <c r="AJ224" s="1">
        <v>5.1920703125000003</v>
      </c>
      <c r="AK224" s="1">
        <v>5.1920703125000003</v>
      </c>
      <c r="AL224" s="1">
        <v>5.1920703125000003</v>
      </c>
      <c r="AM224" s="1">
        <v>5.2633703124999993</v>
      </c>
      <c r="AN224" s="1">
        <v>5.2633703124999993</v>
      </c>
      <c r="AO224" s="1">
        <v>5.2633703124999993</v>
      </c>
      <c r="AP224" s="1">
        <v>5.2633703124999993</v>
      </c>
      <c r="AQ224" s="1">
        <v>5.4243703124999998</v>
      </c>
      <c r="AR224" s="1">
        <v>5.4243703124999998</v>
      </c>
      <c r="AS224" s="1">
        <v>5.4243703124999998</v>
      </c>
      <c r="AT224" s="1">
        <v>5.4243703124999998</v>
      </c>
      <c r="AU224" s="1">
        <v>5.4243703124999998</v>
      </c>
      <c r="AV224" s="1">
        <v>5.4243703124999998</v>
      </c>
      <c r="AW224" s="1">
        <v>5.4243703124999998</v>
      </c>
      <c r="AX224" s="1">
        <v>5.4243703124999998</v>
      </c>
      <c r="AY224" s="1">
        <v>5.6129703124999999</v>
      </c>
      <c r="AZ224" s="1">
        <v>5.6129703124999999</v>
      </c>
      <c r="BA224" s="1">
        <v>5.6129703124999999</v>
      </c>
      <c r="BB224" s="1">
        <v>5.6129703124999999</v>
      </c>
      <c r="BC224" s="1">
        <v>6.1419703124999998</v>
      </c>
      <c r="BD224" s="1">
        <v>6.1419703124999998</v>
      </c>
      <c r="BE224" s="1">
        <v>6.1419703124999998</v>
      </c>
      <c r="BF224" s="1">
        <v>6.1419703124999998</v>
      </c>
      <c r="BG224" s="1">
        <v>6.3236703124999982</v>
      </c>
      <c r="BH224" s="1">
        <v>6.3236703124999982</v>
      </c>
      <c r="BI224" s="1">
        <v>6.3236703124999982</v>
      </c>
      <c r="BJ224" s="1">
        <v>6.3236703124999982</v>
      </c>
      <c r="BK224" s="1">
        <v>6.5030703125000002</v>
      </c>
      <c r="BL224" s="1">
        <v>6.5030703125000002</v>
      </c>
      <c r="BM224" s="1">
        <v>6.5030703125000002</v>
      </c>
      <c r="BN224" s="1">
        <v>6.5030703125000002</v>
      </c>
      <c r="BO224" s="1">
        <v>6.7721703124999992</v>
      </c>
      <c r="BP224" s="1">
        <v>6.7721703124999992</v>
      </c>
      <c r="BQ224" s="1">
        <v>6.7721703124999992</v>
      </c>
      <c r="BR224" s="1">
        <v>6.7721703124999992</v>
      </c>
      <c r="BS224" s="1">
        <v>6.8618703124999989</v>
      </c>
      <c r="BT224" s="1">
        <v>6.8618703124999989</v>
      </c>
      <c r="BU224" s="1">
        <v>6.8618703124999989</v>
      </c>
      <c r="BV224" s="1">
        <v>6.8618703124999989</v>
      </c>
      <c r="BW224" s="1">
        <v>7.2170406249999983</v>
      </c>
      <c r="BX224" s="1">
        <v>7.2170406249999983</v>
      </c>
      <c r="BY224" s="1">
        <v>7.2170406249999983</v>
      </c>
      <c r="BZ224" s="1">
        <v>7.2170406249999983</v>
      </c>
      <c r="CA224" s="1">
        <v>8.7993687499999993</v>
      </c>
      <c r="CB224" s="1">
        <v>8.7993687499999993</v>
      </c>
      <c r="CC224" s="1">
        <v>8.7993687499999993</v>
      </c>
      <c r="CD224" s="1">
        <v>8.7993687499999993</v>
      </c>
      <c r="CE224" s="1">
        <v>10.342956609374999</v>
      </c>
      <c r="CF224" s="1">
        <v>10.342956609374999</v>
      </c>
      <c r="CG224" s="1">
        <v>10.342956609374999</v>
      </c>
      <c r="CH224" s="1">
        <v>10.342956609374999</v>
      </c>
      <c r="CI224" s="1">
        <v>12.604382375</v>
      </c>
      <c r="CJ224" s="1">
        <v>12.604382375</v>
      </c>
      <c r="CK224" s="1">
        <v>12.604382375</v>
      </c>
      <c r="CL224" s="1">
        <v>12.604382375</v>
      </c>
      <c r="CM224" s="1">
        <v>11.8542388125</v>
      </c>
      <c r="CN224" s="1">
        <v>11.8542388125</v>
      </c>
    </row>
    <row r="225" spans="1:92" x14ac:dyDescent="0.35">
      <c r="A225" t="s">
        <v>76</v>
      </c>
      <c r="B225" s="1">
        <v>5.2</v>
      </c>
      <c r="C225" s="1">
        <v>5.2</v>
      </c>
      <c r="D225" s="1">
        <v>5.2</v>
      </c>
      <c r="E225" s="1">
        <v>5.2</v>
      </c>
      <c r="F225" s="1">
        <v>5.2</v>
      </c>
      <c r="G225" s="1">
        <v>5.53</v>
      </c>
      <c r="H225" s="1">
        <v>5.53</v>
      </c>
      <c r="I225" s="1">
        <v>5.53</v>
      </c>
      <c r="J225" s="1">
        <v>5.53</v>
      </c>
      <c r="K225" s="1">
        <v>5.73</v>
      </c>
      <c r="L225" s="1">
        <v>5.73</v>
      </c>
      <c r="M225" s="1">
        <v>5.73</v>
      </c>
      <c r="N225" s="1">
        <v>5.73</v>
      </c>
      <c r="O225" s="1">
        <v>5.73</v>
      </c>
      <c r="P225" s="1">
        <v>5.73</v>
      </c>
      <c r="Q225" s="1">
        <v>6.18</v>
      </c>
      <c r="R225" s="1">
        <v>6.18</v>
      </c>
      <c r="S225" s="1">
        <v>6.18</v>
      </c>
      <c r="T225" s="1">
        <v>6.18</v>
      </c>
      <c r="U225" s="1">
        <v>6.18</v>
      </c>
      <c r="V225" s="1">
        <v>6.18</v>
      </c>
      <c r="W225" s="1">
        <v>6.48</v>
      </c>
      <c r="X225" s="1">
        <v>6.48</v>
      </c>
      <c r="Y225" s="1">
        <v>6.48</v>
      </c>
      <c r="Z225" s="1">
        <v>6.48</v>
      </c>
      <c r="AA225" s="1">
        <v>6.73</v>
      </c>
      <c r="AB225" s="1">
        <v>6.73</v>
      </c>
      <c r="AC225" s="1">
        <v>6.88</v>
      </c>
      <c r="AD225" s="1">
        <v>6.88</v>
      </c>
      <c r="AE225" s="1">
        <v>7.0941703124999993</v>
      </c>
      <c r="AF225" s="1">
        <v>7.0941703124999993</v>
      </c>
      <c r="AG225" s="1">
        <v>7.0941703124999993</v>
      </c>
      <c r="AH225" s="1">
        <v>7.0941703124999993</v>
      </c>
      <c r="AI225" s="1">
        <v>7.4874703125000002</v>
      </c>
      <c r="AJ225" s="1">
        <v>7.4874703125000002</v>
      </c>
      <c r="AK225" s="1">
        <v>7.4874703125000002</v>
      </c>
      <c r="AL225" s="1">
        <v>7.4874703125000002</v>
      </c>
      <c r="AM225" s="1">
        <v>8.2530454374999991</v>
      </c>
      <c r="AN225" s="1">
        <v>8.2530454374999991</v>
      </c>
      <c r="AO225" s="1">
        <v>8.2530454374999991</v>
      </c>
      <c r="AP225" s="1">
        <v>8.2530454374999991</v>
      </c>
      <c r="AQ225" s="1">
        <v>9.2289620312499974</v>
      </c>
      <c r="AR225" s="1">
        <v>9.2289620312499974</v>
      </c>
      <c r="AS225" s="1">
        <v>9.2289620312499974</v>
      </c>
      <c r="AT225" s="1">
        <v>9.2289620312499974</v>
      </c>
      <c r="AU225" s="1">
        <v>9.8798027343749997</v>
      </c>
      <c r="AV225" s="1">
        <v>9.8798027343749997</v>
      </c>
      <c r="AW225" s="1">
        <v>9.8798027343749997</v>
      </c>
      <c r="AX225" s="1">
        <v>9.8798027343749997</v>
      </c>
      <c r="AY225" s="1">
        <v>10.122512031249999</v>
      </c>
      <c r="AZ225" s="1">
        <v>10.122512031249999</v>
      </c>
      <c r="BA225" s="1">
        <v>10.122512031249999</v>
      </c>
      <c r="BB225" s="1">
        <v>10.122512031249999</v>
      </c>
      <c r="BC225" s="1">
        <v>10.267182031249996</v>
      </c>
      <c r="BD225" s="1">
        <v>10.267182031249996</v>
      </c>
      <c r="BE225" s="1">
        <v>10.267182031249996</v>
      </c>
      <c r="BF225" s="1">
        <v>10.267182031249996</v>
      </c>
      <c r="BG225" s="1">
        <v>9.5520527343749997</v>
      </c>
      <c r="BH225" s="1">
        <v>9.5520527343749997</v>
      </c>
      <c r="BI225" s="1">
        <v>9.5520527343749997</v>
      </c>
      <c r="BJ225" s="1">
        <v>9.5520527343749997</v>
      </c>
      <c r="BK225" s="1">
        <v>8.6221983843749985</v>
      </c>
      <c r="BL225" s="1">
        <v>8.6221983843749985</v>
      </c>
      <c r="BM225" s="1">
        <v>8.6221983843749985</v>
      </c>
      <c r="BN225" s="1">
        <v>8.6221983843749985</v>
      </c>
      <c r="BO225" s="1">
        <v>7.9629915318749989</v>
      </c>
      <c r="BP225" s="1">
        <v>7.9629915318749989</v>
      </c>
      <c r="BQ225" s="1">
        <v>7.9629915318749989</v>
      </c>
      <c r="BR225" s="1">
        <v>7.9629915318749989</v>
      </c>
      <c r="BS225" s="1">
        <v>7.9629915318749989</v>
      </c>
      <c r="BT225" s="1">
        <v>7.9629915318749989</v>
      </c>
      <c r="BU225" s="1">
        <v>7.9629915318749989</v>
      </c>
      <c r="BV225" s="1">
        <v>7.9629915318749989</v>
      </c>
      <c r="BW225" s="1">
        <v>7.82068864875</v>
      </c>
      <c r="BX225" s="1">
        <v>7.82068864875</v>
      </c>
      <c r="BY225" s="1">
        <v>7.82068864875</v>
      </c>
      <c r="BZ225" s="1">
        <v>7.82068864875</v>
      </c>
      <c r="CA225" s="1">
        <v>8.8861340931750004</v>
      </c>
      <c r="CB225" s="1">
        <v>8.8861340931750004</v>
      </c>
      <c r="CC225" s="1">
        <v>8.8861340931750004</v>
      </c>
      <c r="CD225" s="1">
        <v>8.8861340931750004</v>
      </c>
      <c r="CE225" s="1">
        <v>9.5198094965600006</v>
      </c>
      <c r="CF225" s="1">
        <v>9.5198094965600006</v>
      </c>
      <c r="CG225" s="1">
        <v>9.5198094965600006</v>
      </c>
      <c r="CH225" s="1">
        <v>9.5198094965600006</v>
      </c>
      <c r="CI225" s="1">
        <v>11.178473877165001</v>
      </c>
      <c r="CJ225" s="1">
        <v>11.178473877165001</v>
      </c>
      <c r="CK225" s="1">
        <v>11.178473877165001</v>
      </c>
      <c r="CL225" s="1">
        <v>11.178473877165001</v>
      </c>
      <c r="CM225" s="1">
        <v>12.888911278125001</v>
      </c>
      <c r="CN225" s="1">
        <v>12.888911278125001</v>
      </c>
    </row>
    <row r="226" spans="1:92" x14ac:dyDescent="0.35">
      <c r="A226" t="s">
        <v>75</v>
      </c>
      <c r="B226" s="1">
        <v>5.57</v>
      </c>
      <c r="C226" s="1">
        <v>5.71</v>
      </c>
      <c r="D226" s="1">
        <v>5.71</v>
      </c>
      <c r="E226" s="1">
        <v>5.71</v>
      </c>
      <c r="F226" s="1">
        <v>5.71</v>
      </c>
      <c r="G226" s="1">
        <v>5.64</v>
      </c>
      <c r="H226" s="1">
        <v>5.64</v>
      </c>
      <c r="I226" s="1">
        <v>5.64</v>
      </c>
      <c r="J226" s="1">
        <v>5.64</v>
      </c>
      <c r="K226" s="1">
        <v>6.01</v>
      </c>
      <c r="L226" s="1">
        <v>6.01</v>
      </c>
      <c r="M226" s="1">
        <v>6.01</v>
      </c>
      <c r="N226" s="1">
        <v>6.01</v>
      </c>
      <c r="O226" s="1">
        <v>5.84</v>
      </c>
      <c r="P226" s="1">
        <v>5.84</v>
      </c>
      <c r="Q226" s="1">
        <v>5.84</v>
      </c>
      <c r="R226" s="1">
        <v>5.84</v>
      </c>
      <c r="S226" s="1">
        <v>5.65</v>
      </c>
      <c r="T226" s="1">
        <v>5.65</v>
      </c>
      <c r="U226" s="1">
        <v>5.65</v>
      </c>
      <c r="V226" s="1">
        <v>5.65</v>
      </c>
      <c r="W226" s="1">
        <v>5.95</v>
      </c>
      <c r="X226" s="1">
        <v>5.95</v>
      </c>
      <c r="Y226" s="1">
        <v>5.95</v>
      </c>
      <c r="Z226" s="1">
        <v>5.95</v>
      </c>
      <c r="AA226" s="1">
        <v>6.04</v>
      </c>
      <c r="AB226" s="1">
        <v>6.04</v>
      </c>
      <c r="AC226" s="1">
        <v>6.17</v>
      </c>
      <c r="AD226" s="1">
        <v>6.17</v>
      </c>
      <c r="AE226" s="1">
        <v>6.1677321093749997</v>
      </c>
      <c r="AF226" s="1">
        <v>6.1677321093749997</v>
      </c>
      <c r="AG226" s="1">
        <v>6.1677321093749997</v>
      </c>
      <c r="AH226" s="1">
        <v>6.1677321093749997</v>
      </c>
      <c r="AI226" s="1">
        <v>6.3753455624999988</v>
      </c>
      <c r="AJ226" s="1">
        <v>6.3753455624999988</v>
      </c>
      <c r="AK226" s="1">
        <v>6.3753455624999988</v>
      </c>
      <c r="AL226" s="1">
        <v>6.3753455624999988</v>
      </c>
      <c r="AM226" s="1">
        <v>6.5420700468749997</v>
      </c>
      <c r="AN226" s="1">
        <v>6.5420700468749997</v>
      </c>
      <c r="AO226" s="1">
        <v>6.5420700468749997</v>
      </c>
      <c r="AP226" s="1">
        <v>6.5420700468749997</v>
      </c>
      <c r="AQ226" s="1">
        <v>7.4202193906249994</v>
      </c>
      <c r="AR226" s="1">
        <v>7.4202193906249994</v>
      </c>
      <c r="AS226" s="1">
        <v>7.4202193906249994</v>
      </c>
      <c r="AT226" s="1">
        <v>7.4202193906249994</v>
      </c>
      <c r="AU226" s="1">
        <v>5.1805703125000004</v>
      </c>
      <c r="AV226" s="1">
        <v>5.1805703125000004</v>
      </c>
      <c r="AW226" s="1">
        <v>5.1805703125000004</v>
      </c>
      <c r="AX226" s="1">
        <v>5.1805703125000004</v>
      </c>
      <c r="AY226" s="1">
        <v>5.4283953125000002</v>
      </c>
      <c r="AZ226" s="1">
        <v>5.4283953125000002</v>
      </c>
      <c r="BA226" s="1">
        <v>5.4283953125000002</v>
      </c>
      <c r="BB226" s="1">
        <v>5.4283953125000002</v>
      </c>
      <c r="BC226" s="1">
        <v>5.0080703124999992</v>
      </c>
      <c r="BD226" s="1">
        <v>5.0080703124999992</v>
      </c>
      <c r="BE226" s="1">
        <v>5.0080703124999992</v>
      </c>
      <c r="BF226" s="1">
        <v>5.0080703124999992</v>
      </c>
      <c r="BG226" s="1">
        <v>5.0080703124999992</v>
      </c>
      <c r="BH226" s="1">
        <v>7.3035421874999988</v>
      </c>
      <c r="BI226" s="1">
        <v>7.3035421874999988</v>
      </c>
      <c r="BJ226" s="1">
        <v>7.3035421874999988</v>
      </c>
      <c r="BK226" s="1">
        <v>7.1529472796875</v>
      </c>
      <c r="BL226" s="1">
        <v>7.1529472796875</v>
      </c>
      <c r="BM226" s="1">
        <v>7.1529472796875</v>
      </c>
      <c r="BN226" s="1">
        <v>7.1529472796875</v>
      </c>
      <c r="BO226" s="1">
        <v>6.1794447228124998</v>
      </c>
      <c r="BP226" s="1">
        <v>6.1794447228124998</v>
      </c>
      <c r="BQ226" s="1">
        <v>6.1794447228124998</v>
      </c>
      <c r="BR226" s="1">
        <v>6.1794447228124998</v>
      </c>
      <c r="BS226" s="1">
        <v>6.6089898549999999</v>
      </c>
      <c r="BT226" s="1">
        <v>6.6089898549999999</v>
      </c>
      <c r="BU226" s="1">
        <v>6.6089898549999999</v>
      </c>
      <c r="BV226" s="1">
        <v>6.6089898549999999</v>
      </c>
      <c r="BW226" s="1">
        <v>6.5107789062499997</v>
      </c>
      <c r="BX226" s="1">
        <v>6.5107789062499997</v>
      </c>
      <c r="BY226" s="1">
        <v>6.5107789062499997</v>
      </c>
      <c r="BZ226" s="1">
        <v>6.5107789062499997</v>
      </c>
      <c r="CA226" s="1">
        <v>6.7142555981364396</v>
      </c>
      <c r="CB226" s="1">
        <v>6.7142555981364396</v>
      </c>
      <c r="CC226" s="1">
        <v>6.7142555981364396</v>
      </c>
      <c r="CD226" s="1">
        <v>6.7142555981364396</v>
      </c>
      <c r="CE226" s="1">
        <v>6.9163468906250003</v>
      </c>
      <c r="CF226" s="1">
        <v>6.9163468906250003</v>
      </c>
      <c r="CG226" s="1">
        <v>6.9163468906250003</v>
      </c>
      <c r="CH226" s="1">
        <v>6.9163468906250003</v>
      </c>
      <c r="CI226" s="1">
        <v>8.1683148750000001</v>
      </c>
      <c r="CJ226" s="1">
        <v>8.1683148750000001</v>
      </c>
      <c r="CK226" s="1">
        <v>8.1683148750000001</v>
      </c>
      <c r="CL226" s="1">
        <v>8.1683148750000001</v>
      </c>
      <c r="CM226" s="1">
        <v>8.8682828593750003</v>
      </c>
      <c r="CN226" s="1">
        <v>8.8682828593750003</v>
      </c>
    </row>
    <row r="227" spans="1:92" x14ac:dyDescent="0.35">
      <c r="A227" t="s">
        <v>77</v>
      </c>
      <c r="B227" s="1">
        <v>6.39</v>
      </c>
      <c r="C227" s="1">
        <v>6.39</v>
      </c>
      <c r="D227" s="1">
        <v>6.39</v>
      </c>
      <c r="E227" s="1">
        <v>6.39</v>
      </c>
      <c r="F227" s="1">
        <v>6.39</v>
      </c>
      <c r="G227" s="1">
        <v>7.39</v>
      </c>
      <c r="H227" s="1">
        <v>7.58</v>
      </c>
      <c r="I227" s="1">
        <v>7.58</v>
      </c>
      <c r="J227" s="1">
        <v>7.58</v>
      </c>
      <c r="K227" s="1">
        <v>7.56</v>
      </c>
      <c r="L227" s="1">
        <v>7.56</v>
      </c>
      <c r="M227" s="1">
        <v>7.56</v>
      </c>
      <c r="N227" s="1">
        <v>7.56</v>
      </c>
      <c r="O227" s="1">
        <v>7.72</v>
      </c>
      <c r="P227" s="1">
        <v>7.93</v>
      </c>
      <c r="Q227" s="1">
        <v>7.93</v>
      </c>
      <c r="R227" s="1">
        <v>7.93</v>
      </c>
      <c r="S227" s="1">
        <v>7.93</v>
      </c>
      <c r="T227" s="1">
        <v>8.25</v>
      </c>
      <c r="U227" s="1">
        <v>8.25</v>
      </c>
      <c r="V227" s="1">
        <v>8.25</v>
      </c>
      <c r="W227" s="1">
        <v>8.25</v>
      </c>
      <c r="X227" s="1">
        <v>8.25</v>
      </c>
      <c r="Y227" s="1">
        <v>8.66</v>
      </c>
      <c r="Z227" s="1">
        <v>8.66</v>
      </c>
      <c r="AA227" s="1">
        <v>8.66</v>
      </c>
      <c r="AB227" s="1">
        <v>9.1</v>
      </c>
      <c r="AC227" s="1">
        <v>9.3000000000000007</v>
      </c>
      <c r="AD227" s="1">
        <v>9.3000000000000007</v>
      </c>
      <c r="AE227" s="1">
        <v>9.3037299999999998</v>
      </c>
      <c r="AF227" s="1">
        <v>9.7738499999999995</v>
      </c>
      <c r="AG227" s="1">
        <v>9.7738499999999995</v>
      </c>
      <c r="AH227" s="1">
        <v>9.7738499999999995</v>
      </c>
      <c r="AI227" s="1">
        <v>9.7738499999999995</v>
      </c>
      <c r="AJ227" s="1">
        <v>9.7738499999999995</v>
      </c>
      <c r="AK227" s="1">
        <v>9.7738499999999995</v>
      </c>
      <c r="AL227" s="1">
        <v>9.7738499999999995</v>
      </c>
      <c r="AM227" s="1">
        <v>10.073539999999999</v>
      </c>
      <c r="AN227" s="1">
        <v>10.073539999999999</v>
      </c>
      <c r="AO227" s="1">
        <v>10.073539999999999</v>
      </c>
      <c r="AP227" s="1">
        <v>10.073539999999999</v>
      </c>
      <c r="AQ227" s="1">
        <v>10.38289</v>
      </c>
      <c r="AR227" s="1">
        <v>10.38289</v>
      </c>
      <c r="AS227" s="1">
        <v>10.38289</v>
      </c>
      <c r="AT227" s="1">
        <v>10.38289</v>
      </c>
      <c r="AU227" s="1">
        <v>10.49835</v>
      </c>
      <c r="AV227" s="1">
        <v>10.49835</v>
      </c>
      <c r="AW227" s="1">
        <v>10.49835</v>
      </c>
      <c r="AX227" s="1">
        <v>10.49835</v>
      </c>
      <c r="AY227" s="1">
        <v>10.49835</v>
      </c>
      <c r="AZ227" s="1">
        <v>10.49835</v>
      </c>
      <c r="BA227" s="1">
        <v>10.49835</v>
      </c>
      <c r="BB227" s="1">
        <v>10.49835</v>
      </c>
      <c r="BC227" s="1">
        <v>10.614960000000002</v>
      </c>
      <c r="BD227" s="1">
        <v>10.614960000000002</v>
      </c>
      <c r="BE227" s="1">
        <v>10.614960000000002</v>
      </c>
      <c r="BF227" s="1">
        <v>10.614960000000002</v>
      </c>
      <c r="BG227" s="1">
        <v>10.852140312499998</v>
      </c>
      <c r="BH227" s="1">
        <v>10.852140312499998</v>
      </c>
      <c r="BI227" s="1">
        <v>10.852140312499998</v>
      </c>
      <c r="BJ227" s="1">
        <v>10.852140312499998</v>
      </c>
      <c r="BK227" s="1">
        <v>11.0745503125</v>
      </c>
      <c r="BL227" s="1">
        <v>11.0745503125</v>
      </c>
      <c r="BM227" s="1">
        <v>11.0745503125</v>
      </c>
      <c r="BN227" s="1">
        <v>11.0745503125</v>
      </c>
      <c r="BO227" s="1">
        <v>11.300410312499999</v>
      </c>
      <c r="BP227" s="1">
        <v>11.300410312499999</v>
      </c>
      <c r="BQ227" s="1">
        <v>11.300410312499999</v>
      </c>
      <c r="BR227" s="1">
        <v>11.300410312499999</v>
      </c>
      <c r="BS227" s="1">
        <v>11.535470312499999</v>
      </c>
      <c r="BT227" s="1">
        <v>11.535470312499999</v>
      </c>
      <c r="BU227" s="1">
        <v>11.535470312499999</v>
      </c>
      <c r="BV227" s="1">
        <v>11.535470312499999</v>
      </c>
      <c r="BW227" s="1">
        <v>11.782310625000001</v>
      </c>
      <c r="BX227" s="1">
        <v>11.782310625000001</v>
      </c>
      <c r="BY227" s="1">
        <v>11.782310625000001</v>
      </c>
      <c r="BZ227" s="1">
        <v>11.782310625000001</v>
      </c>
      <c r="CA227" s="1">
        <v>12.569880937500001</v>
      </c>
      <c r="CB227" s="1">
        <v>12.569880937500001</v>
      </c>
      <c r="CC227" s="1">
        <v>12.569880937500001</v>
      </c>
      <c r="CD227" s="1">
        <v>12.569880937500001</v>
      </c>
      <c r="CE227" s="1">
        <v>15.2587774078125</v>
      </c>
      <c r="CF227" s="1">
        <v>15.2587774078125</v>
      </c>
      <c r="CG227" s="1">
        <v>15.2587774078125</v>
      </c>
      <c r="CH227" s="1">
        <v>15.2587774078125</v>
      </c>
      <c r="CI227" s="1">
        <v>17.0576581875</v>
      </c>
      <c r="CJ227" s="1">
        <v>17.0576581875</v>
      </c>
      <c r="CK227" s="1">
        <v>17.0576581875</v>
      </c>
      <c r="CL227" s="1">
        <v>17.0576581875</v>
      </c>
      <c r="CM227" s="1">
        <v>18.387287324999999</v>
      </c>
      <c r="CN227" s="1">
        <v>18.387287324999999</v>
      </c>
    </row>
  </sheetData>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E5787-5106-4CDC-A29D-E6A55EDB4CF2}">
  <dimension ref="A1:F23"/>
  <sheetViews>
    <sheetView tabSelected="1" topLeftCell="A6" zoomScale="85" zoomScaleNormal="85" workbookViewId="0">
      <selection activeCell="D15" sqref="D15"/>
    </sheetView>
  </sheetViews>
  <sheetFormatPr defaultRowHeight="14.5" x14ac:dyDescent="0.35"/>
  <cols>
    <col min="1" max="1" width="40.1796875" bestFit="1" customWidth="1"/>
    <col min="2" max="2" width="12.81640625" customWidth="1"/>
    <col min="3" max="3" width="22" customWidth="1"/>
    <col min="4" max="4" width="30.81640625" bestFit="1" customWidth="1"/>
    <col min="5" max="5" width="19.453125" bestFit="1" customWidth="1"/>
    <col min="6" max="6" width="21.6328125" customWidth="1"/>
  </cols>
  <sheetData>
    <row r="1" spans="1:6" ht="18.5" x14ac:dyDescent="0.45">
      <c r="A1" s="74" t="s">
        <v>276</v>
      </c>
    </row>
    <row r="2" spans="1:6" x14ac:dyDescent="0.35">
      <c r="A2" s="36" t="s">
        <v>287</v>
      </c>
      <c r="D2" s="36" t="s">
        <v>288</v>
      </c>
      <c r="E2" s="36"/>
      <c r="F2" s="36"/>
    </row>
    <row r="3" spans="1:6" x14ac:dyDescent="0.35">
      <c r="A3" s="89" t="s">
        <v>277</v>
      </c>
      <c r="B3" s="106">
        <v>8000</v>
      </c>
      <c r="D3" s="101" t="s">
        <v>281</v>
      </c>
      <c r="E3" s="102" t="s">
        <v>282</v>
      </c>
      <c r="F3" s="103" t="s">
        <v>283</v>
      </c>
    </row>
    <row r="4" spans="1:6" x14ac:dyDescent="0.35">
      <c r="A4" s="90" t="s">
        <v>278</v>
      </c>
      <c r="B4" s="91">
        <f>SUMIFS(qsdep_long[Price_c_kWh],qsdep_long[Town],"New Zealand",qsdep_long[Component],"Lines",qsdep_long[Date],DATE(2026,8,15))</f>
        <v>16.813600950586999</v>
      </c>
      <c r="D4" s="97">
        <v>2019</v>
      </c>
      <c r="E4" s="104">
        <f>SUMIFS(qsdep_long[Price_c_kWh],qsdep_long[Town],"New Zealand",qsdep_long[Component],"Lines",qsdep_long[Date],DATE(D4,5,15))</f>
        <v>12.088818536032194</v>
      </c>
      <c r="F4" s="98"/>
    </row>
    <row r="5" spans="1:6" x14ac:dyDescent="0.35">
      <c r="A5" s="90" t="s">
        <v>279</v>
      </c>
      <c r="B5" s="91">
        <f>SUMIFS(qsdep_long[Price_c_kWh],qsdep_long[Town],"New Zealand",qsdep_long[Component],"Energy &amp; Other",qsdep_long[Date],DATE(2026,8,15))</f>
        <v>25.334057567091701</v>
      </c>
      <c r="D5" s="97">
        <v>2020</v>
      </c>
      <c r="E5" s="104">
        <f>SUMIFS(qsdep_long[Price_c_kWh],qsdep_long[Town],"New Zealand",qsdep_long[Component],"Lines",qsdep_long[Date],DATE(D5,5,15))</f>
        <v>11.086962095462596</v>
      </c>
      <c r="F5" s="98">
        <f>E5/E4-1</f>
        <v>-8.2874636390929624E-2</v>
      </c>
    </row>
    <row r="6" spans="1:6" x14ac:dyDescent="0.35">
      <c r="A6" s="92" t="s">
        <v>280</v>
      </c>
      <c r="B6" s="93">
        <f>(B4+B5)*B3/100</f>
        <v>3371.8126814142956</v>
      </c>
      <c r="D6" s="97">
        <v>2021</v>
      </c>
      <c r="E6" s="104">
        <f>SUMIFS(qsdep_long[Price_c_kWh],qsdep_long[Town],"New Zealand",qsdep_long[Component],"Lines",qsdep_long[Date],DATE(D6,5,15))</f>
        <v>11.348115088993497</v>
      </c>
      <c r="F6" s="98">
        <f t="shared" ref="F6:F11" si="0">E6/E5-1</f>
        <v>2.3554964045360949E-2</v>
      </c>
    </row>
    <row r="7" spans="1:6" x14ac:dyDescent="0.35">
      <c r="D7" s="97">
        <v>2022</v>
      </c>
      <c r="E7" s="104">
        <f>SUMIFS(qsdep_long[Price_c_kWh],qsdep_long[Town],"New Zealand",qsdep_long[Component],"Lines",qsdep_long[Date],DATE(D7,5,15))</f>
        <v>11.606246752307948</v>
      </c>
      <c r="F7" s="98">
        <f t="shared" si="0"/>
        <v>2.2746655395204041E-2</v>
      </c>
    </row>
    <row r="8" spans="1:6" x14ac:dyDescent="0.35">
      <c r="A8" s="36" t="s">
        <v>289</v>
      </c>
      <c r="D8" s="97">
        <v>2023</v>
      </c>
      <c r="E8" s="104">
        <f>SUMIFS(qsdep_long[Price_c_kWh],qsdep_long[Town],"New Zealand",qsdep_long[Component],"Lines",qsdep_long[Date],DATE(D8,5,15))</f>
        <v>11.8938186261793</v>
      </c>
      <c r="F8" s="98">
        <f t="shared" si="0"/>
        <v>2.4777335861325467E-2</v>
      </c>
    </row>
    <row r="9" spans="1:6" x14ac:dyDescent="0.35">
      <c r="A9" s="89" t="s">
        <v>284</v>
      </c>
      <c r="B9" s="94">
        <f>_xlfn.MINIFS(F5:F11,F5:F11,"&gt;0")</f>
        <v>2.2746655395204041E-2</v>
      </c>
      <c r="D9" s="97">
        <v>2024</v>
      </c>
      <c r="E9" s="104">
        <f>SUMIFS(qsdep_long[Price_c_kWh],qsdep_long[Town],"New Zealand",qsdep_long[Component],"Lines",qsdep_long[Date],DATE(D9,5,15))</f>
        <v>12.719860802354001</v>
      </c>
      <c r="F9" s="98">
        <f t="shared" si="0"/>
        <v>6.9451384970383945E-2</v>
      </c>
    </row>
    <row r="10" spans="1:6" x14ac:dyDescent="0.35">
      <c r="A10" s="90" t="s">
        <v>285</v>
      </c>
      <c r="B10" s="95">
        <f>(E11/E4)^(1/(D11-D4))-1</f>
        <v>4.8272403992808632E-2</v>
      </c>
      <c r="D10" s="97">
        <v>2025</v>
      </c>
      <c r="E10" s="104">
        <f>SUMIFS(qsdep_long[Price_c_kWh],qsdep_long[Town],"New Zealand",qsdep_long[Component],"Lines",qsdep_long[Date],DATE(D10,5,15))</f>
        <v>15.194558354755999</v>
      </c>
      <c r="F10" s="98">
        <f t="shared" si="0"/>
        <v>0.19455382341479854</v>
      </c>
    </row>
    <row r="11" spans="1:6" x14ac:dyDescent="0.35">
      <c r="A11" s="92" t="s">
        <v>286</v>
      </c>
      <c r="B11" s="96">
        <f>F11</f>
        <v>0.10666161981857925</v>
      </c>
      <c r="D11" s="99">
        <v>2026</v>
      </c>
      <c r="E11" s="105">
        <f>SUMIFS(qsdep_long[Price_c_kWh],qsdep_long[Town],"New Zealand",qsdep_long[Component],"Lines",qsdep_long[Date],DATE(D11,5,15))</f>
        <v>16.815234561302201</v>
      </c>
      <c r="F11" s="100">
        <f t="shared" si="0"/>
        <v>0.10666161981857925</v>
      </c>
    </row>
    <row r="13" spans="1:6" x14ac:dyDescent="0.35">
      <c r="A13" s="36" t="s">
        <v>290</v>
      </c>
    </row>
    <row r="14" spans="1:6" x14ac:dyDescent="0.35">
      <c r="A14" s="120" t="s">
        <v>291</v>
      </c>
      <c r="B14" s="120" t="s">
        <v>292</v>
      </c>
      <c r="C14" s="120" t="s">
        <v>293</v>
      </c>
      <c r="D14" s="120" t="s">
        <v>294</v>
      </c>
      <c r="E14" s="120" t="s">
        <v>295</v>
      </c>
      <c r="F14" s="120" t="s">
        <v>296</v>
      </c>
    </row>
    <row r="15" spans="1:6" x14ac:dyDescent="0.35">
      <c r="A15" s="118" t="s">
        <v>297</v>
      </c>
      <c r="B15" s="107">
        <f>B9</f>
        <v>2.2746655395204041E-2</v>
      </c>
      <c r="C15" s="104">
        <f>$B$4*(1+B15)</f>
        <v>17.196054137362477</v>
      </c>
      <c r="D15" s="104">
        <f>C15+$B$5</f>
        <v>42.530111704454178</v>
      </c>
      <c r="E15" s="108">
        <f>D15*$B$3/100</f>
        <v>3402.4089363563339</v>
      </c>
      <c r="F15" s="119">
        <f>E15-$B$6</f>
        <v>30.596254942038286</v>
      </c>
    </row>
    <row r="16" spans="1:6" x14ac:dyDescent="0.35">
      <c r="A16" s="118" t="s">
        <v>298</v>
      </c>
      <c r="B16" s="107">
        <f>B10</f>
        <v>4.8272403992808632E-2</v>
      </c>
      <c r="C16" s="104">
        <f t="shared" ref="C16:C17" si="1">$B$4*(1+B16)</f>
        <v>17.625233888247607</v>
      </c>
      <c r="D16" s="104">
        <f t="shared" ref="D16:D17" si="2">C16+$B$5</f>
        <v>42.959291455339311</v>
      </c>
      <c r="E16" s="108">
        <f t="shared" ref="E16:E17" si="3">D16*$B$3/100</f>
        <v>3436.7433164271451</v>
      </c>
      <c r="F16" s="119">
        <f t="shared" ref="F16:F17" si="4">E16-$B$6</f>
        <v>64.930635012849507</v>
      </c>
    </row>
    <row r="17" spans="1:6" x14ac:dyDescent="0.35">
      <c r="A17" s="118" t="s">
        <v>299</v>
      </c>
      <c r="B17" s="121">
        <f>B11</f>
        <v>0.10666161981857925</v>
      </c>
      <c r="C17" s="119">
        <f t="shared" si="1"/>
        <v>18.606966862959812</v>
      </c>
      <c r="D17" s="119">
        <f t="shared" si="2"/>
        <v>43.941024430051513</v>
      </c>
      <c r="E17" s="122">
        <f t="shared" si="3"/>
        <v>3515.2819544041208</v>
      </c>
      <c r="F17" s="119">
        <f t="shared" si="4"/>
        <v>143.46927298982519</v>
      </c>
    </row>
    <row r="19" spans="1:6" x14ac:dyDescent="0.35">
      <c r="A19" s="110" t="s">
        <v>300</v>
      </c>
    </row>
    <row r="20" spans="1:6" x14ac:dyDescent="0.35">
      <c r="A20" s="109" t="s">
        <v>301</v>
      </c>
      <c r="B20" s="109"/>
    </row>
    <row r="21" spans="1:6" x14ac:dyDescent="0.35">
      <c r="A21" s="109" t="s">
        <v>302</v>
      </c>
      <c r="B21" s="109"/>
    </row>
    <row r="22" spans="1:6" x14ac:dyDescent="0.35">
      <c r="A22" s="109" t="s">
        <v>303</v>
      </c>
    </row>
    <row r="23" spans="1:6" x14ac:dyDescent="0.35">
      <c r="A23" s="109" t="s">
        <v>304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FC7CE2-36ED-41BF-AD14-071EEBB46A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QSDEP_Summary_Report</vt:lpstr>
      <vt:lpstr>qsdep_long</vt:lpstr>
      <vt:lpstr>CPI</vt:lpstr>
      <vt:lpstr>RawData</vt:lpstr>
      <vt:lpstr>Q5_Scenarios</vt:lpstr>
      <vt:lpstr>QSDEP_Summary_Report!Print_Area</vt:lpstr>
      <vt:lpstr>QSDEP_Summary_Report!Print_Titles</vt:lpstr>
    </vt:vector>
  </TitlesOfParts>
  <Company>Ministry of Economic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QSDEP report 15 August 2026</dc:title>
  <cp:keywords>MAKO ID 193573757</cp:keywords>
  <cp:lastModifiedBy>Susmita Kumari Giri</cp:lastModifiedBy>
  <cp:lastPrinted>2026-08-27T22:34:34Z</cp:lastPrinted>
  <dcterms:created xsi:type="dcterms:W3CDTF">2014-05-08T01:32:02Z</dcterms:created>
  <dcterms:modified xsi:type="dcterms:W3CDTF">2026-10-26T06:48:36Z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fa2ea8f-33a2-4d89-bc10-4ca73b1a3f73_Enabled">
    <vt:lpwstr>true</vt:lpwstr>
  </property>
  <property fmtid="{D5CDD505-2E9C-101B-9397-08002B2CF9AE}" pid="3" name="MSIP_Label_ffa2ea8f-33a2-4d89-bc10-4ca73b1a3f73_SetDate">
    <vt:lpwstr>2023-06-07T03:25:54Z</vt:lpwstr>
  </property>
  <property fmtid="{D5CDD505-2E9C-101B-9397-08002B2CF9AE}" pid="4" name="MSIP_Label_ffa2ea8f-33a2-4d89-bc10-4ca73b1a3f73_Method">
    <vt:lpwstr>Privileged</vt:lpwstr>
  </property>
  <property fmtid="{D5CDD505-2E9C-101B-9397-08002B2CF9AE}" pid="5" name="MSIP_Label_ffa2ea8f-33a2-4d89-bc10-4ca73b1a3f73_Name">
    <vt:lpwstr>IN-CONFIDENCE</vt:lpwstr>
  </property>
  <property fmtid="{D5CDD505-2E9C-101B-9397-08002B2CF9AE}" pid="6" name="MSIP_Label_ffa2ea8f-33a2-4d89-bc10-4ca73b1a3f73_SiteId">
    <vt:lpwstr>78b2bd11-e42b-47ea-b011-2e04c3af5ec1</vt:lpwstr>
  </property>
  <property fmtid="{D5CDD505-2E9C-101B-9397-08002B2CF9AE}" pid="7" name="MSIP_Label_ffa2ea8f-33a2-4d89-bc10-4ca73b1a3f73_ActionId">
    <vt:lpwstr>692a02f1-d73c-4d6e-ba00-954cb0940c1f</vt:lpwstr>
  </property>
  <property fmtid="{D5CDD505-2E9C-101B-9397-08002B2CF9AE}" pid="8" name="MSIP_Label_ffa2ea8f-33a2-4d89-bc10-4ca73b1a3f73_ContentBits">
    <vt:lpwstr>0</vt:lpwstr>
  </property>
</Properties>
</file>